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nex I APR Report" sheetId="1" r:id="rId5"/>
    <sheet state="visible" name="Annex I (a)" sheetId="2" r:id="rId6"/>
    <sheet state="visible" name="Annex I (b)" sheetId="3" r:id="rId7"/>
    <sheet state="visible" name="Annex I (c)" sheetId="4" r:id="rId8"/>
    <sheet state="visible" name="Annex I (d)" sheetId="5" r:id="rId9"/>
    <sheet state="visible" name="Annex I (e)" sheetId="6" r:id="rId10"/>
    <sheet state="visible" name="Annex I (f)" sheetId="7" r:id="rId11"/>
    <sheet state="visible" name="Annex I (g)" sheetId="8" r:id="rId12"/>
  </sheets>
  <definedNames/>
  <calcPr/>
</workbook>
</file>

<file path=xl/sharedStrings.xml><?xml version="1.0" encoding="utf-8"?>
<sst xmlns="http://schemas.openxmlformats.org/spreadsheetml/2006/main" count="270" uniqueCount="120">
  <si>
    <t>Meta Code</t>
  </si>
  <si>
    <t>Project Code</t>
  </si>
  <si>
    <t>Legacy Code</t>
  </si>
  <si>
    <t>Agency</t>
  </si>
  <si>
    <t>Cluster</t>
  </si>
  <si>
    <t>Region</t>
  </si>
  <si>
    <t>Country</t>
  </si>
  <si>
    <t>Type</t>
  </si>
  <si>
    <t>Sector</t>
  </si>
  <si>
    <t>Project Title</t>
  </si>
  <si>
    <t>Date Approved</t>
  </si>
  <si>
    <t>Date of Completion per Proposal</t>
  </si>
  <si>
    <t>Status</t>
  </si>
  <si>
    <t>First Disbursement Date</t>
  </si>
  <si>
    <t>Planned Date of Completion</t>
  </si>
  <si>
    <t>Date Completed (Actual)</t>
  </si>
  <si>
    <t>Date of Financial Completion</t>
  </si>
  <si>
    <t>Consumption ODP/MT to be Phased Out per Proposal</t>
  </si>
  <si>
    <t>Production ODP/MT to be Phased Out per Proposal</t>
  </si>
  <si>
    <t>Consumption to be Phased Out per Proposal in CO2-eq Tonnes</t>
  </si>
  <si>
    <t>Production to be Phased Out per Proposal in CO2-eq Tonnes</t>
  </si>
  <si>
    <t>Consumption ODP/MT Phased Out</t>
  </si>
  <si>
    <t>Consumption Phased Out in CO2-eq Tonnes</t>
  </si>
  <si>
    <t>Production ODP/MT Phased Out</t>
  </si>
  <si>
    <t>Production Phased Out in CO2-eq Tonnes</t>
  </si>
  <si>
    <t>Approved Funding (US$)</t>
  </si>
  <si>
    <t>Adjustment (US$)</t>
  </si>
  <si>
    <t>Approved Funding plus Adjustments (US$)</t>
  </si>
  <si>
    <t>Per Cent of Funds Disbursed</t>
  </si>
  <si>
    <t>Balance (US$)</t>
  </si>
  <si>
    <t xml:space="preserve">Test balance </t>
  </si>
  <si>
    <t xml:space="preserve">validation </t>
  </si>
  <si>
    <t>Support Cost Approved (US$)</t>
  </si>
  <si>
    <t>Support Cost Adjustment (US$)</t>
  </si>
  <si>
    <t>Support Costs Approved Funding plus Adjustments (US$)</t>
  </si>
  <si>
    <t>Support Cost Balance (US$)</t>
  </si>
  <si>
    <t>Funds Disbursed (US$)</t>
  </si>
  <si>
    <t>Funds Committed (US$)</t>
  </si>
  <si>
    <t>Estimated Disbursement in Current Year (US$)</t>
  </si>
  <si>
    <t>Support Cost Disbursed (US$)</t>
  </si>
  <si>
    <t>Support Cost Committed (US$)</t>
  </si>
  <si>
    <t>Disbursements made to final beneficiaries from FECO/ MEP</t>
  </si>
  <si>
    <t xml:space="preserve">Funds advanced (US$) </t>
  </si>
  <si>
    <t xml:space="preserve">Implementation Delays/Status Report Decisions </t>
  </si>
  <si>
    <t>Date of Completion per Agreements or per Decisions</t>
  </si>
  <si>
    <t xml:space="preserve">Remarks (as of 31 December XXXX) </t>
  </si>
  <si>
    <t>Remarks (Current year)</t>
  </si>
  <si>
    <t>Gender Policy for All Projects Approved from 85th Mtg (Yes/No)</t>
  </si>
  <si>
    <t>empty</t>
  </si>
  <si>
    <t>Completed project flag</t>
  </si>
  <si>
    <t xml:space="preserve">Not completed flag </t>
  </si>
  <si>
    <t>Disbursed project flag</t>
  </si>
  <si>
    <t>Average number of months from approval to first disbursement</t>
  </si>
  <si>
    <t>Average number of months from approval to planned completion</t>
  </si>
  <si>
    <t xml:space="preserve">Phasout combined (Consumption + Productions) planned (Kg) </t>
  </si>
  <si>
    <t xml:space="preserve">Approval year </t>
  </si>
  <si>
    <t>Average length of delay in project planned completion</t>
  </si>
  <si>
    <t>Average number of months from approval to completion</t>
  </si>
  <si>
    <t>IVC/ARS/46/INV/23</t>
  </si>
  <si>
    <t>UNIDO</t>
  </si>
  <si>
    <t>AFR</t>
  </si>
  <si>
    <t>IVC</t>
  </si>
  <si>
    <t>INV</t>
  </si>
  <si>
    <t>ARS</t>
  </si>
  <si>
    <t xml:space="preserve"> Phase-out of CFC-12 in the manufacture of cosmetics aerosols (deodorants) by conversion to hydrocarbon aerosol propellant (HAP) at COPACI, Abidjan (terminal aerosol sector project)</t>
  </si>
  <si>
    <t>CLO</t>
  </si>
  <si>
    <t>(a) Annual summary data</t>
  </si>
  <si>
    <t xml:space="preserve">Number of Approvals </t>
  </si>
  <si>
    <t xml:space="preserve">Number of completed </t>
  </si>
  <si>
    <t xml:space="preserve">Per cent completed (%) </t>
  </si>
  <si>
    <t xml:space="preserve">Approved funding plus adjustments (US$) </t>
  </si>
  <si>
    <t xml:space="preserve">Funds disbursed (US$) </t>
  </si>
  <si>
    <t xml:space="preserve">Balance (US$) </t>
  </si>
  <si>
    <t>Sum of % of funding disb</t>
  </si>
  <si>
    <t>Grand Total</t>
  </si>
  <si>
    <t>(b) Cumulative completed investment projects</t>
  </si>
  <si>
    <t>Per cent of funds disbursed (%)</t>
  </si>
  <si>
    <t>Consumption Phased Out (ODP/MT)</t>
  </si>
  <si>
    <t>Production Phased Out (ODP/MT)</t>
  </si>
  <si>
    <t>Consumption Phased Out (CO2-eq)</t>
  </si>
  <si>
    <t>Production Phased Out (CO2-eq)</t>
  </si>
  <si>
    <t xml:space="preserve">Average number of months from approval to first disbursement  </t>
  </si>
  <si>
    <t xml:space="preserve">Average number of months from approval to completion </t>
  </si>
  <si>
    <t>Cost effectiveness to fund (US$/kg.)</t>
  </si>
  <si>
    <t>ASP</t>
  </si>
  <si>
    <t>EUR</t>
  </si>
  <si>
    <t>LAC</t>
  </si>
  <si>
    <t>(c) Cumulative completed non-investment projects</t>
  </si>
  <si>
    <t>GLO</t>
  </si>
  <si>
    <t>DES</t>
  </si>
  <si>
    <t>FOA</t>
  </si>
  <si>
    <t>FUM</t>
  </si>
  <si>
    <t>HAL</t>
  </si>
  <si>
    <t>MUS</t>
  </si>
  <si>
    <t>OTH</t>
  </si>
  <si>
    <t>PHA</t>
  </si>
  <si>
    <t>PRO</t>
  </si>
  <si>
    <t>REF</t>
  </si>
  <si>
    <t>SEV</t>
  </si>
  <si>
    <t>SOL</t>
  </si>
  <si>
    <t>(d) Cumulative completed project preparation activities</t>
  </si>
  <si>
    <t>KIP</t>
  </si>
  <si>
    <t>PAG</t>
  </si>
  <si>
    <t>STE</t>
  </si>
  <si>
    <t>(e) Cumulative ongoing investment projects</t>
  </si>
  <si>
    <t xml:space="preserve">Number of Projects </t>
  </si>
  <si>
    <t xml:space="preserve">  Funds Disbursed (US$)</t>
  </si>
  <si>
    <t>Number of projects disbursing</t>
  </si>
  <si>
    <t xml:space="preserve">Per cent of projects disbursing (%) </t>
  </si>
  <si>
    <t xml:space="preserve">Average of months from approval to first disbursement  </t>
  </si>
  <si>
    <t xml:space="preserve">Average number of months from approval to planned completion </t>
  </si>
  <si>
    <t>Average length of_x000a_delay in project_x000a_planned_x000a_completion</t>
  </si>
  <si>
    <t xml:space="preserve">Sum of Phasout combined (Consumption + Productions) planned (Kg) </t>
  </si>
  <si>
    <t>Overall costeffectiveness
to
the Fund
(US$/kg)</t>
  </si>
  <si>
    <t>(f) Cumulative ongoing non-investment projects</t>
  </si>
  <si>
    <t>EEF</t>
  </si>
  <si>
    <t>(g) Cumulative ongoing project preparation activities</t>
  </si>
  <si>
    <t>Number of projects</t>
  </si>
  <si>
    <t xml:space="preserve"> Funds Disbursed (US$)</t>
  </si>
  <si>
    <t>Average of months from approval to planned completion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</si>
</sst>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[$-409]mmm\-yy"/>
    <numFmt numFmtId="165" formatCode="#,##0.0"/>
    <numFmt numFmtId="166" formatCode="_-* #,##0_-;\-* #,##0_-;_-* &quot;-&quot;??_-;_-@"/>
    <numFmt numFmtId="167" formatCode="_-* #,##0.00_-;\-* #,##0.00_-;_-* &quot;-&quot;??_-;_-@"/>
  </numFmts>
  <fonts count="17">
    <font>
      <sz val="10.0"/>
      <color rgb="FF000000"/>
      <name val="Arial"/>
      <scheme val="minor"/>
    </font>
    <font>
      <b/>
      <color theme="1"/>
      <name val="Times New Roman"/>
    </font>
    <font>
      <b/>
      <color rgb="FF4F81BD"/>
      <name val="Times New Roman"/>
    </font>
    <font>
      <b/>
      <color rgb="FFFF0000"/>
      <name val="Times New Roman"/>
    </font>
    <font>
      <color theme="1"/>
      <name val="Times New Roman"/>
    </font>
    <font>
      <b/>
      <color rgb="FFFFFFFF"/>
      <name val="Times New Roman"/>
    </font>
    <font>
      <color theme="1"/>
      <name val="Arial"/>
    </font>
    <font>
      <sz val="9.0"/>
      <color theme="1"/>
      <name val="Times New Roman"/>
    </font>
    <font>
      <sz val="9.0"/>
      <color rgb="FF4F81BD"/>
      <name val="Times New Roman"/>
    </font>
    <font>
      <sz val="9.0"/>
      <color rgb="FFFF0000"/>
      <name val="Times New Roman"/>
    </font>
    <font>
      <color rgb="FF4F81BD"/>
      <name val="Times New Roman"/>
    </font>
    <font>
      <color rgb="FF366092"/>
      <name val="Times New Roman"/>
    </font>
    <font>
      <b/>
      <sz val="12.0"/>
      <color theme="1"/>
      <name val="Arial"/>
    </font>
    <font>
      <i/>
      <color theme="1"/>
      <name val="Arial"/>
    </font>
    <font>
      <color rgb="FFFFFFFF"/>
      <name val="Arial"/>
    </font>
    <font>
      <sz val="10.0"/>
      <color theme="1"/>
      <name val="Arial"/>
    </font>
    <font>
      <b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BFBFBF"/>
        <bgColor rgb="FFBFBFBF"/>
      </patternFill>
    </fill>
    <fill>
      <patternFill patternType="solid">
        <fgColor rgb="FFC6D9F0"/>
        <bgColor rgb="FFC6D9F0"/>
      </patternFill>
    </fill>
    <fill>
      <patternFill patternType="solid">
        <fgColor rgb="FF366092"/>
        <bgColor rgb="FF366092"/>
      </patternFill>
    </fill>
    <fill>
      <patternFill patternType="solid">
        <fgColor rgb="FFDBE5F1"/>
        <bgColor rgb="FFDBE5F1"/>
      </patternFill>
    </fill>
    <fill>
      <patternFill patternType="solid">
        <fgColor rgb="FFD9E0E8"/>
        <bgColor rgb="FFD9E0E8"/>
      </patternFill>
    </fill>
    <fill>
      <patternFill patternType="solid">
        <fgColor rgb="FF6883A4"/>
        <bgColor rgb="FF6883A4"/>
      </patternFill>
    </fill>
    <fill>
      <patternFill patternType="solid">
        <fgColor rgb="FFF2F5F7"/>
        <bgColor rgb="FFF2F5F7"/>
      </patternFill>
    </fill>
    <fill>
      <patternFill patternType="solid">
        <fgColor rgb="FFFFFFFF"/>
        <bgColor rgb="FFFFFFFF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</border>
    <border>
      <bottom style="thick">
        <color rgb="FF6883A4"/>
      </bottom>
    </border>
    <border>
      <right style="thin">
        <color rgb="FFFFFFFF"/>
      </right>
    </border>
    <border>
      <top style="double">
        <color rgb="FF000000"/>
      </top>
    </border>
    <border>
      <top style="thin">
        <color rgb="FF7F7F7F"/>
      </top>
      <bottom style="thin">
        <color rgb="FF7F7F7F"/>
      </bottom>
    </border>
    <border>
      <left/>
      <right/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1" fillId="2" fontId="1" numFmtId="3" xfId="0" applyAlignment="1" applyBorder="1" applyFill="1" applyFont="1" applyNumberFormat="1">
      <alignment horizontal="center" shrinkToFit="0" vertical="top" wrapText="1"/>
    </xf>
    <xf borderId="1" fillId="0" fontId="1" numFmtId="3" xfId="0" applyAlignment="1" applyBorder="1" applyFont="1" applyNumberFormat="1">
      <alignment horizontal="center" shrinkToFit="0" vertical="top" wrapText="1"/>
    </xf>
    <xf borderId="1" fillId="2" fontId="2" numFmtId="3" xfId="0" applyAlignment="1" applyBorder="1" applyFont="1" applyNumberFormat="1">
      <alignment horizontal="center" shrinkToFit="0" vertical="top" wrapText="1"/>
    </xf>
    <xf borderId="1" fillId="2" fontId="2" numFmtId="9" xfId="0" applyAlignment="1" applyBorder="1" applyFont="1" applyNumberFormat="1">
      <alignment horizontal="center" shrinkToFit="0" vertical="top" wrapText="1"/>
    </xf>
    <xf borderId="1" fillId="2" fontId="3" numFmtId="3" xfId="0" applyAlignment="1" applyBorder="1" applyFont="1" applyNumberFormat="1">
      <alignment horizontal="center" shrinkToFit="0" vertical="top" wrapText="1"/>
    </xf>
    <xf borderId="1" fillId="0" fontId="1" numFmtId="17" xfId="0" applyAlignment="1" applyBorder="1" applyFont="1" applyNumberFormat="1">
      <alignment horizontal="center" shrinkToFit="0" vertical="top" wrapText="1"/>
    </xf>
    <xf borderId="1" fillId="2" fontId="1" numFmtId="0" xfId="0" applyAlignment="1" applyBorder="1" applyFont="1">
      <alignment horizontal="center" shrinkToFit="0" vertical="top" wrapText="1"/>
    </xf>
    <xf borderId="1" fillId="2" fontId="1" numFmtId="164" xfId="0" applyAlignment="1" applyBorder="1" applyFont="1" applyNumberFormat="1">
      <alignment horizontal="center" shrinkToFit="0" vertical="top" wrapText="1"/>
    </xf>
    <xf borderId="2" fillId="0" fontId="1" numFmtId="49" xfId="0" applyAlignment="1" applyBorder="1" applyFont="1" applyNumberFormat="1">
      <alignment horizontal="center" shrinkToFit="0" vertical="top" wrapText="1"/>
    </xf>
    <xf borderId="2" fillId="0" fontId="1" numFmtId="165" xfId="0" applyAlignment="1" applyBorder="1" applyFont="1" applyNumberFormat="1">
      <alignment horizontal="center" shrinkToFit="0" vertical="top" wrapText="1"/>
    </xf>
    <xf borderId="3" fillId="3" fontId="4" numFmtId="0" xfId="0" applyAlignment="1" applyBorder="1" applyFill="1" applyFont="1">
      <alignment horizontal="center" shrinkToFit="0" vertical="top" wrapText="1"/>
    </xf>
    <xf borderId="4" fillId="4" fontId="5" numFmtId="0" xfId="0" applyAlignment="1" applyBorder="1" applyFill="1" applyFont="1">
      <alignment horizontal="center" shrinkToFit="0" vertical="top" wrapText="1"/>
    </xf>
    <xf borderId="4" fillId="4" fontId="5" numFmtId="3" xfId="0" applyAlignment="1" applyBorder="1" applyFont="1" applyNumberFormat="1">
      <alignment horizontal="center" shrinkToFit="0" vertical="top" wrapText="1"/>
    </xf>
    <xf borderId="4" fillId="4" fontId="5" numFmtId="166" xfId="0" applyAlignment="1" applyBorder="1" applyFont="1" applyNumberFormat="1">
      <alignment horizontal="center" shrinkToFit="0" vertical="top" wrapText="1"/>
    </xf>
    <xf borderId="4" fillId="4" fontId="5" numFmtId="165" xfId="0" applyAlignment="1" applyBorder="1" applyFont="1" applyNumberFormat="1">
      <alignment horizontal="center" shrinkToFit="0" vertical="top" wrapText="1"/>
    </xf>
    <xf borderId="0" fillId="0" fontId="6" numFmtId="0" xfId="0" applyAlignment="1" applyFont="1">
      <alignment vertical="bottom"/>
    </xf>
    <xf borderId="0" fillId="0" fontId="7" numFmtId="0" xfId="0" applyAlignment="1" applyFont="1">
      <alignment vertical="top"/>
    </xf>
    <xf borderId="0" fillId="0" fontId="7" numFmtId="0" xfId="0" applyAlignment="1" applyFont="1">
      <alignment horizontal="center" vertical="bottom"/>
    </xf>
    <xf borderId="0" fillId="0" fontId="4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164" xfId="0" applyAlignment="1" applyFont="1" applyNumberFormat="1">
      <alignment horizontal="right" vertical="bottom"/>
    </xf>
    <xf borderId="0" fillId="0" fontId="6" numFmtId="164" xfId="0" applyAlignment="1" applyFont="1" applyNumberFormat="1">
      <alignment vertical="bottom"/>
    </xf>
    <xf borderId="0" fillId="0" fontId="7" numFmtId="165" xfId="0" applyAlignment="1" applyFont="1" applyNumberFormat="1">
      <alignment horizontal="right" vertical="bottom"/>
    </xf>
    <xf borderId="0" fillId="0" fontId="7" numFmtId="3" xfId="0" applyAlignment="1" applyFont="1" applyNumberFormat="1">
      <alignment horizontal="right" vertical="bottom"/>
    </xf>
    <xf borderId="0" fillId="0" fontId="8" numFmtId="3" xfId="0" applyAlignment="1" applyFont="1" applyNumberFormat="1">
      <alignment horizontal="right" vertical="bottom"/>
    </xf>
    <xf borderId="0" fillId="0" fontId="8" numFmtId="9" xfId="0" applyAlignment="1" applyFont="1" applyNumberFormat="1">
      <alignment horizontal="right" vertical="bottom"/>
    </xf>
    <xf borderId="0" fillId="0" fontId="9" numFmtId="3" xfId="0" applyAlignment="1" applyFont="1" applyNumberFormat="1">
      <alignment horizontal="right" vertical="bottom"/>
    </xf>
    <xf borderId="0" fillId="0" fontId="10" numFmtId="3" xfId="0" applyAlignment="1" applyFont="1" applyNumberFormat="1">
      <alignment horizontal="right" vertical="bottom"/>
    </xf>
    <xf borderId="0" fillId="0" fontId="6" numFmtId="3" xfId="0" applyAlignment="1" applyFont="1" applyNumberFormat="1">
      <alignment vertical="bottom"/>
    </xf>
    <xf borderId="0" fillId="0" fontId="4" numFmtId="0" xfId="0" applyAlignment="1" applyFont="1">
      <alignment horizontal="right" vertical="bottom"/>
    </xf>
    <xf borderId="3" fillId="3" fontId="6" numFmtId="0" xfId="0" applyAlignment="1" applyBorder="1" applyFont="1">
      <alignment vertical="bottom"/>
    </xf>
    <xf borderId="4" fillId="5" fontId="11" numFmtId="0" xfId="0" applyAlignment="1" applyBorder="1" applyFill="1" applyFont="1">
      <alignment horizontal="right" vertical="bottom"/>
    </xf>
    <xf borderId="4" fillId="5" fontId="11" numFmtId="166" xfId="0" applyAlignment="1" applyBorder="1" applyFont="1" applyNumberFormat="1">
      <alignment horizontal="right" vertical="bottom"/>
    </xf>
    <xf borderId="4" fillId="5" fontId="11" numFmtId="165" xfId="0" applyAlignment="1" applyBorder="1" applyFont="1" applyNumberFormat="1">
      <alignment horizontal="right" vertical="bottom"/>
    </xf>
    <xf borderId="4" fillId="5" fontId="6" numFmtId="0" xfId="0" applyAlignment="1" applyBorder="1" applyFont="1">
      <alignment vertical="bottom"/>
    </xf>
    <xf borderId="0" fillId="0" fontId="12" numFmtId="0" xfId="0" applyAlignment="1" applyFont="1">
      <alignment vertical="bottom"/>
    </xf>
    <xf borderId="0" fillId="0" fontId="6" numFmtId="0" xfId="0" applyAlignment="1" applyFont="1">
      <alignment vertical="bottom"/>
    </xf>
    <xf borderId="5" fillId="6" fontId="13" numFmtId="165" xfId="0" applyAlignment="1" applyBorder="1" applyFill="1" applyFont="1" applyNumberFormat="1">
      <alignment horizontal="center" shrinkToFit="0" wrapText="1"/>
    </xf>
    <xf borderId="5" fillId="7" fontId="14" numFmtId="0" xfId="0" applyAlignment="1" applyBorder="1" applyFill="1" applyFont="1">
      <alignment horizontal="center" shrinkToFit="0" wrapText="1"/>
    </xf>
    <xf borderId="5" fillId="7" fontId="14" numFmtId="0" xfId="0" applyAlignment="1" applyBorder="1" applyFont="1">
      <alignment vertical="bottom"/>
    </xf>
    <xf borderId="6" fillId="8" fontId="6" numFmtId="0" xfId="0" applyAlignment="1" applyBorder="1" applyFill="1" applyFont="1">
      <alignment horizontal="right" vertical="bottom"/>
    </xf>
    <xf borderId="0" fillId="9" fontId="6" numFmtId="3" xfId="0" applyAlignment="1" applyFill="1" applyFont="1" applyNumberFormat="1">
      <alignment horizontal="right" vertical="bottom"/>
    </xf>
    <xf borderId="0" fillId="9" fontId="6" numFmtId="9" xfId="0" applyAlignment="1" applyFont="1" applyNumberFormat="1">
      <alignment horizontal="right" vertical="bottom"/>
    </xf>
    <xf borderId="0" fillId="0" fontId="15" numFmtId="0" xfId="0" applyAlignment="1" applyFont="1">
      <alignment horizontal="center" shrinkToFit="0" vertical="center" wrapText="1"/>
    </xf>
    <xf borderId="6" fillId="8" fontId="6" numFmtId="0" xfId="0" applyAlignment="1" applyBorder="1" applyFont="1">
      <alignment horizontal="right" vertical="bottom"/>
    </xf>
    <xf borderId="7" fillId="6" fontId="16" numFmtId="0" xfId="0" applyAlignment="1" applyBorder="1" applyFont="1">
      <alignment vertical="bottom"/>
    </xf>
    <xf borderId="7" fillId="6" fontId="16" numFmtId="3" xfId="0" applyAlignment="1" applyBorder="1" applyFont="1" applyNumberFormat="1">
      <alignment horizontal="right" vertical="bottom"/>
    </xf>
    <xf borderId="7" fillId="6" fontId="16" numFmtId="9" xfId="0" applyAlignment="1" applyBorder="1" applyFont="1" applyNumberFormat="1">
      <alignment horizontal="right" vertical="bottom"/>
    </xf>
    <xf borderId="0" fillId="0" fontId="15" numFmtId="3" xfId="0" applyFont="1" applyNumberFormat="1"/>
    <xf borderId="0" fillId="0" fontId="15" numFmtId="9" xfId="0" applyFont="1" applyNumberFormat="1"/>
    <xf borderId="0" fillId="0" fontId="12" numFmtId="0" xfId="0" applyFont="1"/>
    <xf borderId="0" fillId="0" fontId="15" numFmtId="0" xfId="0" applyFont="1"/>
    <xf borderId="5" fillId="6" fontId="13" numFmtId="3" xfId="0" applyAlignment="1" applyBorder="1" applyFont="1" applyNumberFormat="1">
      <alignment horizontal="center" shrinkToFit="0" wrapText="1"/>
    </xf>
    <xf borderId="5" fillId="7" fontId="14" numFmtId="0" xfId="0" applyAlignment="1" applyBorder="1" applyFont="1">
      <alignment horizontal="center" shrinkToFit="0" wrapText="1"/>
    </xf>
    <xf borderId="6" fillId="8" fontId="6" numFmtId="0" xfId="0" applyAlignment="1" applyBorder="1" applyFont="1">
      <alignment vertical="bottom"/>
    </xf>
    <xf borderId="0" fillId="9" fontId="6" numFmtId="0" xfId="0" applyAlignment="1" applyFont="1">
      <alignment horizontal="right" vertical="bottom"/>
    </xf>
    <xf borderId="0" fillId="9" fontId="6" numFmtId="3" xfId="0" applyAlignment="1" applyFont="1" applyNumberFormat="1">
      <alignment horizontal="center" shrinkToFit="0" wrapText="1"/>
    </xf>
    <xf borderId="0" fillId="9" fontId="6" numFmtId="4" xfId="0" applyAlignment="1" applyFont="1" applyNumberFormat="1">
      <alignment horizontal="right" vertical="bottom"/>
    </xf>
    <xf borderId="7" fillId="6" fontId="16" numFmtId="0" xfId="0" applyAlignment="1" applyBorder="1" applyFont="1">
      <alignment horizontal="right" vertical="bottom"/>
    </xf>
    <xf borderId="7" fillId="6" fontId="16" numFmtId="3" xfId="0" applyAlignment="1" applyBorder="1" applyFont="1" applyNumberFormat="1">
      <alignment horizontal="center" shrinkToFit="0" wrapText="1"/>
    </xf>
    <xf borderId="7" fillId="6" fontId="16" numFmtId="4" xfId="0" applyAlignment="1" applyBorder="1" applyFont="1" applyNumberFormat="1">
      <alignment horizontal="right" vertical="bottom"/>
    </xf>
    <xf borderId="5" fillId="6" fontId="13" numFmtId="3" xfId="0" applyAlignment="1" applyBorder="1" applyFont="1" applyNumberFormat="1">
      <alignment vertical="bottom"/>
    </xf>
    <xf borderId="0" fillId="0" fontId="15" numFmtId="3" xfId="0" applyAlignment="1" applyFont="1" applyNumberFormat="1">
      <alignment horizontal="center" shrinkToFit="0" vertical="center" wrapText="1"/>
    </xf>
    <xf borderId="0" fillId="0" fontId="15" numFmtId="4" xfId="0" applyFont="1" applyNumberFormat="1"/>
    <xf borderId="0" fillId="0" fontId="6" numFmtId="0" xfId="0" applyFont="1"/>
    <xf borderId="0" fillId="0" fontId="12" numFmtId="0" xfId="0" applyAlignment="1" applyFont="1">
      <alignment vertical="bottom"/>
    </xf>
    <xf borderId="0" fillId="0" fontId="6" numFmtId="0" xfId="0" applyFont="1"/>
    <xf borderId="8" fillId="0" fontId="16" numFmtId="0" xfId="0" applyAlignment="1" applyBorder="1" applyFont="1">
      <alignment horizontal="center" shrinkToFit="0" wrapText="1"/>
    </xf>
    <xf borderId="0" fillId="9" fontId="6" numFmtId="0" xfId="0" applyAlignment="1" applyFont="1">
      <alignment horizontal="right" vertical="bottom"/>
    </xf>
    <xf borderId="0" fillId="9" fontId="6" numFmtId="165" xfId="0" applyAlignment="1" applyFont="1" applyNumberFormat="1">
      <alignment horizontal="right" vertical="bottom"/>
    </xf>
    <xf borderId="0" fillId="0" fontId="6" numFmtId="167" xfId="0" applyAlignment="1" applyFont="1" applyNumberFormat="1">
      <alignment horizontal="right" vertical="bottom"/>
    </xf>
    <xf borderId="7" fillId="6" fontId="16" numFmtId="0" xfId="0" applyAlignment="1" applyBorder="1" applyFont="1">
      <alignment horizontal="right" vertical="bottom"/>
    </xf>
    <xf borderId="7" fillId="6" fontId="16" numFmtId="165" xfId="0" applyAlignment="1" applyBorder="1" applyFont="1" applyNumberFormat="1">
      <alignment horizontal="right" vertical="bottom"/>
    </xf>
    <xf borderId="9" fillId="9" fontId="16" numFmtId="4" xfId="0" applyAlignment="1" applyBorder="1" applyFont="1" applyNumberFormat="1">
      <alignment horizontal="right" vertical="bottom"/>
    </xf>
    <xf borderId="0" fillId="9" fontId="6" numFmtId="3" xfId="0" applyAlignment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1" t="s">
        <v>25</v>
      </c>
      <c r="AA1" s="1" t="s">
        <v>26</v>
      </c>
      <c r="AB1" s="3" t="s">
        <v>27</v>
      </c>
      <c r="AC1" s="4" t="s">
        <v>28</v>
      </c>
      <c r="AD1" s="3" t="s">
        <v>29</v>
      </c>
      <c r="AE1" s="5" t="s">
        <v>30</v>
      </c>
      <c r="AF1" s="5" t="s">
        <v>31</v>
      </c>
      <c r="AG1" s="1" t="s">
        <v>32</v>
      </c>
      <c r="AH1" s="1" t="s">
        <v>33</v>
      </c>
      <c r="AI1" s="3" t="s">
        <v>34</v>
      </c>
      <c r="AJ1" s="3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6" t="s">
        <v>41</v>
      </c>
      <c r="AQ1" s="6" t="s">
        <v>42</v>
      </c>
      <c r="AR1" s="7" t="s">
        <v>43</v>
      </c>
      <c r="AS1" s="8" t="s">
        <v>44</v>
      </c>
      <c r="AT1" s="9" t="s">
        <v>45</v>
      </c>
      <c r="AU1" s="9" t="s">
        <v>46</v>
      </c>
      <c r="AV1" s="10" t="s">
        <v>47</v>
      </c>
      <c r="AW1" s="11" t="s">
        <v>48</v>
      </c>
      <c r="AX1" s="12" t="s">
        <v>49</v>
      </c>
      <c r="AY1" s="13" t="s">
        <v>50</v>
      </c>
      <c r="AZ1" s="13" t="s">
        <v>51</v>
      </c>
      <c r="BA1" s="14" t="s">
        <v>52</v>
      </c>
      <c r="BB1" s="15" t="s">
        <v>53</v>
      </c>
      <c r="BC1" s="15" t="s">
        <v>54</v>
      </c>
      <c r="BD1" s="15" t="s">
        <v>55</v>
      </c>
      <c r="BE1" s="15" t="s">
        <v>56</v>
      </c>
      <c r="BF1" s="15" t="s">
        <v>57</v>
      </c>
    </row>
    <row r="2">
      <c r="A2" s="16"/>
      <c r="B2" s="16"/>
      <c r="C2" s="17" t="s">
        <v>58</v>
      </c>
      <c r="D2" s="18" t="s">
        <v>59</v>
      </c>
      <c r="E2" s="16"/>
      <c r="F2" s="19" t="s">
        <v>60</v>
      </c>
      <c r="G2" s="18" t="s">
        <v>61</v>
      </c>
      <c r="H2" s="19" t="s">
        <v>62</v>
      </c>
      <c r="I2" s="18" t="s">
        <v>63</v>
      </c>
      <c r="J2" s="20" t="s">
        <v>64</v>
      </c>
      <c r="K2" s="21">
        <v>38534.0</v>
      </c>
      <c r="L2" s="21">
        <v>39326.0</v>
      </c>
      <c r="M2" s="20" t="s">
        <v>65</v>
      </c>
      <c r="N2" s="21">
        <v>38626.0</v>
      </c>
      <c r="O2" s="22"/>
      <c r="P2" s="22"/>
      <c r="Q2" s="21">
        <v>39965.0</v>
      </c>
      <c r="R2" s="23">
        <v>43.4</v>
      </c>
      <c r="S2" s="23">
        <v>0.0</v>
      </c>
      <c r="T2" s="16"/>
      <c r="U2" s="16"/>
      <c r="V2" s="23">
        <v>0.0</v>
      </c>
      <c r="W2" s="16"/>
      <c r="X2" s="23">
        <v>0.0</v>
      </c>
      <c r="Y2" s="16"/>
      <c r="Z2" s="24">
        <v>110428.0</v>
      </c>
      <c r="AA2" s="24">
        <v>-109351.01</v>
      </c>
      <c r="AB2" s="25">
        <f>Z2+AA2</f>
        <v>1076.99</v>
      </c>
      <c r="AC2" s="26">
        <f>IF(AK2=0,0,AK2/AB2)</f>
        <v>1.000009285</v>
      </c>
      <c r="AD2" s="25">
        <f>AB2-AK2</f>
        <v>-0.009999999995</v>
      </c>
      <c r="AE2" s="27">
        <f>AB2-AK2</f>
        <v>-0.009999999995</v>
      </c>
      <c r="AF2" s="27">
        <f>AD2-AE2</f>
        <v>0</v>
      </c>
      <c r="AG2" s="24">
        <v>9939.0</v>
      </c>
      <c r="AH2" s="24">
        <v>-9842.0</v>
      </c>
      <c r="AI2" s="28">
        <f>AG2+AH2</f>
        <v>97</v>
      </c>
      <c r="AJ2" s="16"/>
      <c r="AK2" s="24">
        <v>1077.0</v>
      </c>
      <c r="AL2" s="24">
        <v>0.0</v>
      </c>
      <c r="AM2" s="29"/>
      <c r="AN2" s="30">
        <v>97.0</v>
      </c>
      <c r="AO2" s="30">
        <v>0.0</v>
      </c>
      <c r="AP2" s="29"/>
      <c r="AQ2" s="22"/>
      <c r="AR2" s="16"/>
      <c r="AS2" s="22"/>
      <c r="AT2" s="18" t="e">
        <v>#N/A</v>
      </c>
      <c r="AU2" s="18" t="e">
        <v>#N/A</v>
      </c>
      <c r="AV2" s="16"/>
      <c r="AW2" s="31"/>
      <c r="AX2" s="32">
        <f>IF(M2="FIN",1,IF(M2="COM",1,0))</f>
        <v>0</v>
      </c>
      <c r="AY2" s="32">
        <f>IF(M2="ONG",1,0)</f>
        <v>0</v>
      </c>
      <c r="AZ2" s="32">
        <f>IF(AK2&gt;0,1,0)</f>
        <v>1</v>
      </c>
      <c r="BA2" s="33">
        <f>IF(N2="","",DATEDIF(K2,N2,"m"))</f>
        <v>3</v>
      </c>
      <c r="BB2" s="32">
        <f>IF(O2="",0,IF(O2&lt;K2,0,DATEDIF(K2,O2,"m")))</f>
        <v>0</v>
      </c>
      <c r="BC2" s="34">
        <f>(R2+S2)*1000</f>
        <v>43400</v>
      </c>
      <c r="BD2" s="32">
        <f>YEAR(K2)</f>
        <v>2005</v>
      </c>
      <c r="BE2" s="35" t="str">
        <f>IF(AND(BB2&gt;0,BF2&gt;0),BB2-BF2,"")</f>
        <v/>
      </c>
      <c r="BF2" s="32">
        <f>IF(L2="",0,IF(L2&lt;K2,0,DATEDIF(K2,L2,"m")))</f>
        <v>26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18.38"/>
    <col customWidth="1" min="2" max="2" width="20.25"/>
    <col customWidth="1" min="3" max="3" width="20.88"/>
    <col customWidth="1" min="4" max="4" width="19.0"/>
    <col customWidth="1" min="5" max="5" width="17.38"/>
    <col customWidth="1" min="6" max="6" width="22.0"/>
    <col customWidth="1" min="7" max="7" width="14.38"/>
    <col customWidth="1" min="8" max="8" width="23.88"/>
    <col customWidth="1" min="9" max="26" width="8.63"/>
  </cols>
  <sheetData>
    <row r="1" ht="12.75" customHeight="1">
      <c r="A1" s="36" t="s">
        <v>66</v>
      </c>
      <c r="B1" s="16"/>
      <c r="C1" s="16"/>
      <c r="D1" s="16"/>
      <c r="E1" s="16"/>
      <c r="F1" s="16"/>
      <c r="G1" s="16"/>
      <c r="H1" s="16"/>
    </row>
    <row r="2">
      <c r="A2" s="16"/>
      <c r="B2" s="16"/>
      <c r="C2" s="16"/>
      <c r="D2" s="16"/>
      <c r="E2" s="16"/>
      <c r="F2" s="16"/>
      <c r="G2" s="16"/>
      <c r="H2" s="16"/>
    </row>
    <row r="3" ht="12.75" customHeight="1">
      <c r="A3" s="16"/>
      <c r="B3" s="16"/>
      <c r="C3" s="16"/>
      <c r="D3" s="16"/>
      <c r="E3" s="16"/>
      <c r="F3" s="16"/>
      <c r="G3" s="16"/>
      <c r="H3" s="16"/>
    </row>
    <row r="4" ht="12.75" customHeight="1">
      <c r="A4" s="16"/>
      <c r="B4" s="16"/>
      <c r="C4" s="16"/>
      <c r="D4" s="16"/>
      <c r="E4" s="16"/>
      <c r="F4" s="16"/>
      <c r="G4" s="16"/>
      <c r="H4" s="16"/>
    </row>
    <row r="5" ht="12.75" customHeight="1">
      <c r="A5" s="37"/>
      <c r="B5" s="16"/>
      <c r="C5" s="16"/>
      <c r="D5" s="16"/>
      <c r="E5" s="16"/>
      <c r="F5" s="16"/>
      <c r="G5" s="16"/>
      <c r="H5" s="16"/>
    </row>
    <row r="6" ht="12.75" customHeight="1">
      <c r="A6" s="38" t="s">
        <v>55</v>
      </c>
      <c r="B6" s="39" t="s">
        <v>67</v>
      </c>
      <c r="C6" s="39" t="s">
        <v>68</v>
      </c>
      <c r="D6" s="39" t="s">
        <v>69</v>
      </c>
      <c r="E6" s="39" t="s">
        <v>70</v>
      </c>
      <c r="F6" s="40" t="s">
        <v>71</v>
      </c>
      <c r="G6" s="40" t="s">
        <v>72</v>
      </c>
      <c r="H6" s="40" t="s">
        <v>73</v>
      </c>
    </row>
    <row r="7" ht="12.75" customHeight="1">
      <c r="A7" s="41">
        <v>1991.0</v>
      </c>
      <c r="B7" s="42">
        <v>68.0</v>
      </c>
      <c r="C7" s="42">
        <v>68.0</v>
      </c>
      <c r="D7" s="43">
        <v>1.0</v>
      </c>
      <c r="E7" s="42">
        <v>7935719.0</v>
      </c>
      <c r="F7" s="42">
        <v>7935719.0</v>
      </c>
      <c r="G7" s="42">
        <v>0.0</v>
      </c>
      <c r="H7" s="42">
        <v>100.0</v>
      </c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</row>
    <row r="8" ht="12.75" customHeight="1">
      <c r="A8" s="45">
        <v>1992.0</v>
      </c>
      <c r="B8" s="42">
        <v>176.0</v>
      </c>
      <c r="C8" s="42">
        <v>176.0</v>
      </c>
      <c r="D8" s="43">
        <v>1.0</v>
      </c>
      <c r="E8" s="42">
        <v>4.124095522E7</v>
      </c>
      <c r="F8" s="42">
        <v>4.1240955E7</v>
      </c>
      <c r="G8" s="42">
        <v>0.22000000000116415</v>
      </c>
      <c r="H8" s="42">
        <v>99.99999946654971</v>
      </c>
    </row>
    <row r="9" ht="12.75" customHeight="1">
      <c r="A9" s="45">
        <v>1993.0</v>
      </c>
      <c r="B9" s="42">
        <v>217.0</v>
      </c>
      <c r="C9" s="42">
        <v>217.0</v>
      </c>
      <c r="D9" s="43">
        <v>1.0</v>
      </c>
      <c r="E9" s="42">
        <v>7.3198586E7</v>
      </c>
      <c r="F9" s="42">
        <v>7.3198586E7</v>
      </c>
      <c r="G9" s="42">
        <v>0.0</v>
      </c>
      <c r="H9" s="42">
        <v>100.0</v>
      </c>
    </row>
    <row r="10" ht="12.75" customHeight="1">
      <c r="A10" s="45">
        <v>1994.0</v>
      </c>
      <c r="B10" s="42">
        <v>379.0</v>
      </c>
      <c r="C10" s="42">
        <v>379.0</v>
      </c>
      <c r="D10" s="43">
        <v>1.0</v>
      </c>
      <c r="E10" s="42">
        <v>1.2716982799E8</v>
      </c>
      <c r="F10" s="42">
        <v>1.27169828E8</v>
      </c>
      <c r="G10" s="42">
        <v>-0.010000000009313226</v>
      </c>
      <c r="H10" s="42">
        <v>100.0000000078635</v>
      </c>
    </row>
    <row r="11" ht="12.75" customHeight="1">
      <c r="A11" s="45">
        <v>1995.0</v>
      </c>
      <c r="B11" s="42">
        <v>355.0</v>
      </c>
      <c r="C11" s="42">
        <v>355.0</v>
      </c>
      <c r="D11" s="43">
        <v>1.0</v>
      </c>
      <c r="E11" s="42">
        <v>1.0992803691E8</v>
      </c>
      <c r="F11" s="42">
        <v>1.0992803725E8</v>
      </c>
      <c r="G11" s="42">
        <v>-0.33999999999650754</v>
      </c>
      <c r="H11" s="42">
        <v>100.00000030929326</v>
      </c>
    </row>
    <row r="12" ht="12.75" customHeight="1">
      <c r="A12" s="45">
        <v>1996.0</v>
      </c>
      <c r="B12" s="42">
        <v>257.0</v>
      </c>
      <c r="C12" s="42">
        <v>257.0</v>
      </c>
      <c r="D12" s="43">
        <v>1.0</v>
      </c>
      <c r="E12" s="42">
        <v>8.29548627E7</v>
      </c>
      <c r="F12" s="42">
        <v>8.2954863E7</v>
      </c>
      <c r="G12" s="42">
        <v>-0.29999999998835847</v>
      </c>
      <c r="H12" s="42">
        <v>100.00000036164245</v>
      </c>
    </row>
    <row r="13" ht="12.75" customHeight="1">
      <c r="A13" s="45">
        <v>1997.0</v>
      </c>
      <c r="B13" s="42">
        <v>532.0</v>
      </c>
      <c r="C13" s="42">
        <v>532.0</v>
      </c>
      <c r="D13" s="43">
        <v>1.0</v>
      </c>
      <c r="E13" s="42">
        <v>1.4955040447E8</v>
      </c>
      <c r="F13" s="42">
        <v>1.49550406E8</v>
      </c>
      <c r="G13" s="42">
        <v>-1.529999999445863</v>
      </c>
      <c r="H13" s="42">
        <v>100.00000102306643</v>
      </c>
    </row>
    <row r="14" ht="12.75" customHeight="1">
      <c r="A14" s="45">
        <v>1998.0</v>
      </c>
      <c r="B14" s="42">
        <v>422.0</v>
      </c>
      <c r="C14" s="42">
        <v>422.0</v>
      </c>
      <c r="D14" s="43">
        <v>1.0</v>
      </c>
      <c r="E14" s="42">
        <v>9.801100064E7</v>
      </c>
      <c r="F14" s="42">
        <v>9.8011E7</v>
      </c>
      <c r="G14" s="42">
        <v>0.6400000000721775</v>
      </c>
      <c r="H14" s="42">
        <v>99.99999934701206</v>
      </c>
    </row>
    <row r="15" ht="12.75" customHeight="1">
      <c r="A15" s="45">
        <v>1999.0</v>
      </c>
      <c r="B15" s="42">
        <v>546.0</v>
      </c>
      <c r="C15" s="42">
        <v>546.0</v>
      </c>
      <c r="D15" s="43">
        <v>1.0</v>
      </c>
      <c r="E15" s="42">
        <v>1.5174080103000003E8</v>
      </c>
      <c r="F15" s="42">
        <v>1.51740801E8</v>
      </c>
      <c r="G15" s="42">
        <v>0.03000000011525117</v>
      </c>
      <c r="H15" s="42">
        <v>99.99999998022943</v>
      </c>
    </row>
    <row r="16" ht="12.75" customHeight="1">
      <c r="A16" s="45">
        <v>2000.0</v>
      </c>
      <c r="B16" s="42">
        <v>426.0</v>
      </c>
      <c r="C16" s="42">
        <v>426.0</v>
      </c>
      <c r="D16" s="43">
        <v>1.0</v>
      </c>
      <c r="E16" s="42">
        <v>1.0935973619999999E8</v>
      </c>
      <c r="F16" s="42">
        <v>1.09359735E8</v>
      </c>
      <c r="G16" s="42">
        <v>1.1999999998661224</v>
      </c>
      <c r="H16" s="42">
        <v>99.99999890270402</v>
      </c>
    </row>
    <row r="17" ht="12.75" customHeight="1">
      <c r="A17" s="45">
        <v>2001.0</v>
      </c>
      <c r="B17" s="42">
        <v>427.0</v>
      </c>
      <c r="C17" s="42">
        <v>427.0</v>
      </c>
      <c r="D17" s="43">
        <v>1.0</v>
      </c>
      <c r="E17" s="42">
        <v>1.3009811833999999E8</v>
      </c>
      <c r="F17" s="42">
        <v>1.3009812E8</v>
      </c>
      <c r="G17" s="42">
        <v>-1.6599999998870771</v>
      </c>
      <c r="H17" s="42">
        <v>100.00000127596005</v>
      </c>
    </row>
    <row r="18" ht="12.75" customHeight="1">
      <c r="A18" s="45">
        <v>2002.0</v>
      </c>
      <c r="B18" s="42">
        <v>358.0</v>
      </c>
      <c r="C18" s="42">
        <v>358.0</v>
      </c>
      <c r="D18" s="43">
        <v>1.0</v>
      </c>
      <c r="E18" s="42">
        <v>1.6127040532999998E8</v>
      </c>
      <c r="F18" s="42">
        <v>1.61270405E8</v>
      </c>
      <c r="G18" s="42">
        <v>0.33000000004903995</v>
      </c>
      <c r="H18" s="42">
        <v>99.99999979537473</v>
      </c>
    </row>
    <row r="19" ht="12.75" customHeight="1">
      <c r="A19" s="45">
        <v>2003.0</v>
      </c>
      <c r="B19" s="42">
        <v>247.0</v>
      </c>
      <c r="C19" s="42">
        <v>247.0</v>
      </c>
      <c r="D19" s="43">
        <v>1.0</v>
      </c>
      <c r="E19" s="42">
        <v>1.5701147068E8</v>
      </c>
      <c r="F19" s="42">
        <v>1.57011471E8</v>
      </c>
      <c r="G19" s="42">
        <v>-0.31999999994877726</v>
      </c>
      <c r="H19" s="42">
        <v>100.00000020380678</v>
      </c>
    </row>
    <row r="20" ht="12.75" customHeight="1">
      <c r="A20" s="45">
        <v>2004.0</v>
      </c>
      <c r="B20" s="42">
        <v>271.0</v>
      </c>
      <c r="C20" s="42">
        <v>271.0</v>
      </c>
      <c r="D20" s="43">
        <v>1.0</v>
      </c>
      <c r="E20" s="42">
        <v>1.6208053235E8</v>
      </c>
      <c r="F20" s="42">
        <v>1.62080533E8</v>
      </c>
      <c r="G20" s="42">
        <v>-0.6500000000196451</v>
      </c>
      <c r="H20" s="42">
        <v>100.00000040103521</v>
      </c>
    </row>
    <row r="21" ht="12.75" customHeight="1">
      <c r="A21" s="45">
        <v>2005.0</v>
      </c>
      <c r="B21" s="42">
        <v>255.0</v>
      </c>
      <c r="C21" s="42">
        <v>255.0</v>
      </c>
      <c r="D21" s="43">
        <v>1.0</v>
      </c>
      <c r="E21" s="42">
        <v>1.8018148116000003E8</v>
      </c>
      <c r="F21" s="42">
        <v>1.80181479E8</v>
      </c>
      <c r="G21" s="42">
        <v>2.1600000005510083</v>
      </c>
      <c r="H21" s="42">
        <v>99.99999880120865</v>
      </c>
    </row>
    <row r="22" ht="12.75" customHeight="1">
      <c r="A22" s="45">
        <v>2006.0</v>
      </c>
      <c r="B22" s="42">
        <v>261.0</v>
      </c>
      <c r="C22" s="42">
        <v>261.0</v>
      </c>
      <c r="D22" s="43">
        <v>1.0</v>
      </c>
      <c r="E22" s="42">
        <v>1.1982755356000002E8</v>
      </c>
      <c r="F22" s="42">
        <v>1.19827555E8</v>
      </c>
      <c r="G22" s="42">
        <v>-1.4399999997931445</v>
      </c>
      <c r="H22" s="42">
        <v>100.00000120172695</v>
      </c>
    </row>
    <row r="23" ht="12.75" customHeight="1">
      <c r="A23" s="45">
        <v>2007.0</v>
      </c>
      <c r="B23" s="42">
        <v>213.0</v>
      </c>
      <c r="C23" s="42">
        <v>213.0</v>
      </c>
      <c r="D23" s="43">
        <v>1.0</v>
      </c>
      <c r="E23" s="42">
        <v>1.2008404736E8</v>
      </c>
      <c r="F23" s="42">
        <v>1.20084047E8</v>
      </c>
      <c r="G23" s="42">
        <v>0.36000000028252543</v>
      </c>
      <c r="H23" s="42">
        <v>99.99999970020997</v>
      </c>
    </row>
    <row r="24" ht="12.75" customHeight="1">
      <c r="A24" s="45">
        <v>2008.0</v>
      </c>
      <c r="B24" s="42">
        <v>354.0</v>
      </c>
      <c r="C24" s="42">
        <v>354.0</v>
      </c>
      <c r="D24" s="43">
        <v>1.0</v>
      </c>
      <c r="E24" s="42">
        <v>1.2044337091999999E8</v>
      </c>
      <c r="F24" s="42">
        <v>1.2044337525E8</v>
      </c>
      <c r="G24" s="42">
        <v>-4.329999999121355</v>
      </c>
      <c r="H24" s="42">
        <v>100.0000035950505</v>
      </c>
    </row>
    <row r="25" ht="12.75" customHeight="1">
      <c r="A25" s="45">
        <v>2009.0</v>
      </c>
      <c r="B25" s="42">
        <v>320.0</v>
      </c>
      <c r="C25" s="42">
        <v>320.0</v>
      </c>
      <c r="D25" s="43">
        <v>1.0</v>
      </c>
      <c r="E25" s="42">
        <v>7.127340491E7</v>
      </c>
      <c r="F25" s="42">
        <v>7.098247661E7</v>
      </c>
      <c r="G25" s="42">
        <v>290928.3</v>
      </c>
      <c r="H25" s="42">
        <v>99.59181366406254</v>
      </c>
    </row>
    <row r="26" ht="12.75" customHeight="1">
      <c r="A26" s="45">
        <v>2010.0</v>
      </c>
      <c r="B26" s="42">
        <v>227.0</v>
      </c>
      <c r="C26" s="42">
        <v>226.0</v>
      </c>
      <c r="D26" s="43">
        <v>0.9955947136563876</v>
      </c>
      <c r="E26" s="42">
        <v>8.337299438E7</v>
      </c>
      <c r="F26" s="42">
        <v>8.332166752000001E7</v>
      </c>
      <c r="G26" s="42">
        <v>51326.859999999935</v>
      </c>
      <c r="H26" s="42">
        <v>99.93843706780395</v>
      </c>
    </row>
    <row r="27" ht="12.75" customHeight="1">
      <c r="A27" s="45">
        <v>2011.0</v>
      </c>
      <c r="B27" s="42">
        <v>264.0</v>
      </c>
      <c r="C27" s="42">
        <v>264.0</v>
      </c>
      <c r="D27" s="43">
        <v>1.0</v>
      </c>
      <c r="E27" s="42">
        <v>2.0170226762999997E8</v>
      </c>
      <c r="F27" s="42">
        <v>2.0183631302E8</v>
      </c>
      <c r="G27" s="42">
        <v>-134045.3900000007</v>
      </c>
      <c r="H27" s="42">
        <v>100.06645705651952</v>
      </c>
    </row>
    <row r="28" ht="12.75" customHeight="1">
      <c r="A28" s="45">
        <v>2012.0</v>
      </c>
      <c r="B28" s="42">
        <v>182.0</v>
      </c>
      <c r="C28" s="42">
        <v>179.0</v>
      </c>
      <c r="D28" s="43">
        <v>0.9835164835164835</v>
      </c>
      <c r="E28" s="42">
        <v>1.0076077149000001E8</v>
      </c>
      <c r="F28" s="42">
        <v>1.0011860053E8</v>
      </c>
      <c r="G28" s="42">
        <v>642170.9600000002</v>
      </c>
      <c r="H28" s="42">
        <v>99.36267760706482</v>
      </c>
    </row>
    <row r="29" ht="12.75" customHeight="1">
      <c r="A29" s="45">
        <v>2013.0</v>
      </c>
      <c r="B29" s="42">
        <v>184.0</v>
      </c>
      <c r="C29" s="42">
        <v>184.0</v>
      </c>
      <c r="D29" s="43">
        <v>1.0</v>
      </c>
      <c r="E29" s="42">
        <v>1.2523535283E8</v>
      </c>
      <c r="F29" s="42">
        <v>1.2507716539999999E8</v>
      </c>
      <c r="G29" s="42">
        <v>158187.42999999988</v>
      </c>
      <c r="H29" s="42">
        <v>99.87368787932051</v>
      </c>
    </row>
    <row r="30" ht="12.75" customHeight="1">
      <c r="A30" s="45">
        <v>2014.0</v>
      </c>
      <c r="B30" s="42">
        <v>223.0</v>
      </c>
      <c r="C30" s="42">
        <v>220.0</v>
      </c>
      <c r="D30" s="43">
        <v>0.9865470852017937</v>
      </c>
      <c r="E30" s="42">
        <v>9.172898803E7</v>
      </c>
      <c r="F30" s="42">
        <v>9.164785652999999E7</v>
      </c>
      <c r="G30" s="42">
        <v>81131.50000000025</v>
      </c>
      <c r="H30" s="42">
        <v>99.91155304147313</v>
      </c>
    </row>
    <row r="31" ht="12.75" customHeight="1">
      <c r="A31" s="45">
        <v>2015.0</v>
      </c>
      <c r="B31" s="42">
        <v>377.0</v>
      </c>
      <c r="C31" s="42">
        <v>370.0</v>
      </c>
      <c r="D31" s="43">
        <v>0.9814323607427056</v>
      </c>
      <c r="E31" s="42">
        <v>1.5608036152999994E8</v>
      </c>
      <c r="F31" s="42">
        <v>1.5346031185E8</v>
      </c>
      <c r="G31" s="42">
        <v>2620049.679999999</v>
      </c>
      <c r="H31" s="42">
        <v>98.32134571299262</v>
      </c>
    </row>
    <row r="32" ht="12.75" customHeight="1">
      <c r="A32" s="45">
        <v>2016.0</v>
      </c>
      <c r="B32" s="42">
        <v>239.0</v>
      </c>
      <c r="C32" s="42">
        <v>230.0</v>
      </c>
      <c r="D32" s="43">
        <v>0.9623430962343096</v>
      </c>
      <c r="E32" s="42">
        <v>1.1404340771E8</v>
      </c>
      <c r="F32" s="42">
        <v>1.0999127198E8</v>
      </c>
      <c r="G32" s="42">
        <v>4052135.7300000014</v>
      </c>
      <c r="H32" s="42">
        <v>96.44684790522558</v>
      </c>
    </row>
    <row r="33" ht="12.75" customHeight="1">
      <c r="A33" s="45">
        <v>2017.0</v>
      </c>
      <c r="B33" s="42">
        <v>124.0</v>
      </c>
      <c r="C33" s="42">
        <v>115.0</v>
      </c>
      <c r="D33" s="43">
        <v>0.9274193548387096</v>
      </c>
      <c r="E33" s="42">
        <v>6.385422657000001E7</v>
      </c>
      <c r="F33" s="42">
        <v>6.242689399000001E7</v>
      </c>
      <c r="G33" s="42">
        <v>1427332.5800000005</v>
      </c>
      <c r="H33" s="42">
        <v>97.76470148231255</v>
      </c>
    </row>
    <row r="34" ht="12.75" customHeight="1">
      <c r="A34" s="45">
        <v>2018.0</v>
      </c>
      <c r="B34" s="42">
        <v>271.0</v>
      </c>
      <c r="C34" s="42">
        <v>248.0</v>
      </c>
      <c r="D34" s="43">
        <v>0.915129151291513</v>
      </c>
      <c r="E34" s="42">
        <v>1.1951019069999999E8</v>
      </c>
      <c r="F34" s="42">
        <v>1.0403609709E8</v>
      </c>
      <c r="G34" s="42">
        <v>1.547409361E7</v>
      </c>
      <c r="H34" s="42">
        <v>87.052071861517</v>
      </c>
    </row>
    <row r="35" ht="12.75" customHeight="1">
      <c r="A35" s="45">
        <v>2019.0</v>
      </c>
      <c r="B35" s="42">
        <v>224.0</v>
      </c>
      <c r="C35" s="42">
        <v>184.0</v>
      </c>
      <c r="D35" s="43">
        <v>0.8214285714285714</v>
      </c>
      <c r="E35" s="42">
        <v>4.7810554419999994E7</v>
      </c>
      <c r="F35" s="42">
        <v>3.760634301000002E7</v>
      </c>
      <c r="G35" s="42">
        <v>1.0204211409999996E7</v>
      </c>
      <c r="H35" s="42">
        <v>78.65699000191604</v>
      </c>
    </row>
    <row r="36" ht="12.75" customHeight="1">
      <c r="A36" s="45">
        <v>2020.0</v>
      </c>
      <c r="B36" s="42">
        <v>256.0</v>
      </c>
      <c r="C36" s="42">
        <v>188.0</v>
      </c>
      <c r="D36" s="43">
        <v>0.734375</v>
      </c>
      <c r="E36" s="42">
        <v>6.695136689999999E7</v>
      </c>
      <c r="F36" s="42">
        <v>5.6339986699999996E7</v>
      </c>
      <c r="G36" s="42">
        <v>1.0611380200000003E7</v>
      </c>
      <c r="H36" s="42">
        <v>84.1506145560114</v>
      </c>
    </row>
    <row r="37" ht="12.75" customHeight="1">
      <c r="A37" s="45">
        <v>2021.0</v>
      </c>
      <c r="B37" s="42">
        <v>292.0</v>
      </c>
      <c r="C37" s="42">
        <v>133.0</v>
      </c>
      <c r="D37" s="43">
        <v>0.4554794520547945</v>
      </c>
      <c r="E37" s="42">
        <v>8.447490122E7</v>
      </c>
      <c r="F37" s="42">
        <v>5.294257518462926E7</v>
      </c>
      <c r="G37" s="42">
        <v>3.1532326035370737E7</v>
      </c>
      <c r="H37" s="42">
        <v>62.6725505683039</v>
      </c>
    </row>
    <row r="38" ht="12.75" customHeight="1">
      <c r="A38" s="45">
        <v>2022.0</v>
      </c>
      <c r="B38" s="42">
        <v>216.0</v>
      </c>
      <c r="C38" s="42">
        <v>29.0</v>
      </c>
      <c r="D38" s="43">
        <v>0.13425925925925927</v>
      </c>
      <c r="E38" s="42">
        <v>8.5019979E7</v>
      </c>
      <c r="F38" s="42">
        <v>1.806312170999999E7</v>
      </c>
      <c r="G38" s="42">
        <v>6.695685729000002E7</v>
      </c>
      <c r="H38" s="42">
        <v>21.245737675376265</v>
      </c>
    </row>
    <row r="39" ht="12.75" customHeight="1">
      <c r="A39" s="45">
        <v>2023.0</v>
      </c>
      <c r="B39" s="42">
        <v>354.0</v>
      </c>
      <c r="C39" s="42">
        <v>4.0</v>
      </c>
      <c r="D39" s="43">
        <v>0.011299435028248588</v>
      </c>
      <c r="E39" s="42">
        <v>1.12090169E8</v>
      </c>
      <c r="F39" s="42">
        <v>1133497.9799999997</v>
      </c>
      <c r="G39" s="42">
        <v>1.1095667101999998E8</v>
      </c>
      <c r="H39" s="42">
        <v>1.0112376402965364</v>
      </c>
    </row>
    <row r="40" ht="12.75" customHeight="1">
      <c r="A40" s="46" t="s">
        <v>74</v>
      </c>
      <c r="B40" s="47">
        <v>9517.0</v>
      </c>
      <c r="C40" s="47">
        <v>8658.0</v>
      </c>
      <c r="D40" s="48">
        <v>0.9097404644320689</v>
      </c>
      <c r="E40" s="47">
        <v>3.625995846180006E9</v>
      </c>
      <c r="F40" s="47">
        <v>3.371071094604629E9</v>
      </c>
      <c r="G40" s="47">
        <v>2.5492475157537085E8</v>
      </c>
      <c r="H40" s="47">
        <v>92.96952444543088</v>
      </c>
    </row>
    <row r="41" ht="12.75" customHeight="1">
      <c r="B41" s="49"/>
      <c r="C41" s="49"/>
      <c r="D41" s="50"/>
      <c r="E41" s="49"/>
      <c r="F41" s="49"/>
      <c r="G41" s="49"/>
      <c r="H41" s="49"/>
    </row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 outlineLevelRow="1"/>
  <cols>
    <col customWidth="1" min="1" max="1" width="12.0"/>
    <col customWidth="1" min="2" max="3" width="16.13"/>
    <col customWidth="1" min="4" max="4" width="14.38"/>
    <col customWidth="1" min="5" max="5" width="12.25"/>
    <col customWidth="1" min="6" max="6" width="16.75"/>
    <col customWidth="1" min="7" max="7" width="14.0"/>
    <col customWidth="1" min="8" max="8" width="12.88"/>
    <col customWidth="1" min="9" max="9" width="16.25"/>
    <col customWidth="1" min="10" max="10" width="20.63"/>
    <col customWidth="1" min="11" max="11" width="17.38"/>
    <col customWidth="1" min="12" max="26" width="8.63"/>
  </cols>
  <sheetData>
    <row r="1" ht="12.75" customHeight="1">
      <c r="A1" s="51" t="s">
        <v>75</v>
      </c>
    </row>
    <row r="2" ht="12.75" customHeight="1"/>
    <row r="3" ht="12.75" customHeight="1"/>
    <row r="4" ht="12.75" customHeight="1">
      <c r="A4" s="52"/>
    </row>
    <row r="5" ht="12.75" customHeight="1">
      <c r="A5" s="52"/>
    </row>
    <row r="6" ht="12.75" customHeight="1"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ht="12.75" customHeight="1">
      <c r="A7" s="53" t="s">
        <v>5</v>
      </c>
      <c r="B7" s="54" t="s">
        <v>68</v>
      </c>
      <c r="C7" s="54" t="s">
        <v>70</v>
      </c>
      <c r="D7" s="54" t="s">
        <v>76</v>
      </c>
      <c r="E7" s="54" t="s">
        <v>77</v>
      </c>
      <c r="F7" s="54" t="s">
        <v>78</v>
      </c>
      <c r="G7" s="54" t="s">
        <v>79</v>
      </c>
      <c r="H7" s="54" t="s">
        <v>80</v>
      </c>
      <c r="I7" s="54" t="s">
        <v>81</v>
      </c>
      <c r="J7" s="54" t="s">
        <v>82</v>
      </c>
      <c r="K7" s="54" t="s">
        <v>83</v>
      </c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</row>
    <row r="8" ht="12.75" customHeight="1">
      <c r="A8" s="55" t="s">
        <v>60</v>
      </c>
      <c r="B8" s="42">
        <v>543.0</v>
      </c>
      <c r="C8" s="42">
        <v>1.7762199474000004E8</v>
      </c>
      <c r="D8" s="42">
        <v>99.14052624381644</v>
      </c>
      <c r="E8" s="42">
        <v>18566.83000000001</v>
      </c>
      <c r="F8" s="42">
        <v>0.0</v>
      </c>
      <c r="G8" s="56">
        <v>0.0</v>
      </c>
      <c r="H8" s="56">
        <v>0.0</v>
      </c>
      <c r="I8" s="57">
        <v>11.514760147601477</v>
      </c>
      <c r="J8" s="42">
        <v>25.406998158379373</v>
      </c>
      <c r="K8" s="58">
        <v>9.566630100022458</v>
      </c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 ht="12.75" customHeight="1">
      <c r="A9" s="55" t="s">
        <v>84</v>
      </c>
      <c r="B9" s="42">
        <v>1600.0</v>
      </c>
      <c r="C9" s="42">
        <v>1.8989408099200006E9</v>
      </c>
      <c r="D9" s="42">
        <v>99.74969515873427</v>
      </c>
      <c r="E9" s="42">
        <v>216055.22000000006</v>
      </c>
      <c r="F9" s="42">
        <v>184239.0</v>
      </c>
      <c r="G9" s="56">
        <v>0.0</v>
      </c>
      <c r="H9" s="56">
        <v>0.0</v>
      </c>
      <c r="I9" s="57">
        <v>15.484867591424969</v>
      </c>
      <c r="J9" s="42">
        <v>24.505625</v>
      </c>
      <c r="K9" s="58">
        <v>4.743862676608222</v>
      </c>
    </row>
    <row r="10" ht="12.75" customHeight="1">
      <c r="A10" s="55" t="s">
        <v>85</v>
      </c>
      <c r="B10" s="42">
        <v>169.0</v>
      </c>
      <c r="C10" s="42">
        <v>7.307847272E7</v>
      </c>
      <c r="D10" s="42">
        <v>99.9592502841239</v>
      </c>
      <c r="E10" s="42">
        <v>8050.5</v>
      </c>
      <c r="F10" s="42">
        <v>175.0</v>
      </c>
      <c r="G10" s="56">
        <v>0.0</v>
      </c>
      <c r="H10" s="56">
        <v>0.0</v>
      </c>
      <c r="I10" s="57">
        <v>9.646706586826348</v>
      </c>
      <c r="J10" s="42">
        <v>22.668639053254438</v>
      </c>
      <c r="K10" s="58">
        <v>8.884380611512977</v>
      </c>
    </row>
    <row r="11" ht="12.75" customHeight="1">
      <c r="A11" s="55" t="s">
        <v>86</v>
      </c>
      <c r="B11" s="42">
        <v>751.0</v>
      </c>
      <c r="C11" s="42">
        <v>4.149290215399999E8</v>
      </c>
      <c r="D11" s="42">
        <v>99.70175384806615</v>
      </c>
      <c r="E11" s="42">
        <v>34882.77</v>
      </c>
      <c r="F11" s="42">
        <v>19775.0</v>
      </c>
      <c r="G11" s="56">
        <v>0.0</v>
      </c>
      <c r="H11" s="56">
        <v>0.0</v>
      </c>
      <c r="I11" s="57">
        <v>13.493910690121787</v>
      </c>
      <c r="J11" s="42">
        <v>26.88282290279627</v>
      </c>
      <c r="K11" s="58">
        <v>7.591400482310198</v>
      </c>
    </row>
    <row r="12" ht="12.75" customHeight="1">
      <c r="A12" s="46" t="s">
        <v>74</v>
      </c>
      <c r="B12" s="47">
        <v>3063.0</v>
      </c>
      <c r="C12" s="47">
        <v>2.564570298920001E9</v>
      </c>
      <c r="D12" s="47">
        <v>99.7057189532617</v>
      </c>
      <c r="E12" s="47">
        <v>277555.3200000003</v>
      </c>
      <c r="F12" s="47">
        <v>204189.0</v>
      </c>
      <c r="G12" s="59">
        <v>0.0</v>
      </c>
      <c r="H12" s="59">
        <v>0.0</v>
      </c>
      <c r="I12" s="60">
        <v>13.969347396176664</v>
      </c>
      <c r="J12" s="47">
        <v>25.146914789422134</v>
      </c>
      <c r="K12" s="61">
        <v>5.32350915713962</v>
      </c>
    </row>
    <row r="13" ht="12.75" customHeight="1" outlineLevel="1"/>
    <row r="14" ht="12.75" customHeight="1" outlineLevel="1"/>
    <row r="15" ht="12.75" customHeight="1" outlineLevel="1"/>
    <row r="16" ht="12.75" customHeight="1" outlineLevel="1">
      <c r="A16" s="52"/>
    </row>
    <row r="17" ht="12.75" customHeight="1" outlineLevel="1">
      <c r="A17" s="52"/>
    </row>
    <row r="18" ht="12.75" customHeight="1" outlineLevel="1">
      <c r="I18" s="44"/>
      <c r="J18" s="44"/>
      <c r="K18" s="44"/>
    </row>
    <row r="19" ht="12.75" customHeight="1" outlineLevel="1">
      <c r="A19" s="62" t="s">
        <v>8</v>
      </c>
      <c r="B19" s="54" t="s">
        <v>68</v>
      </c>
      <c r="C19" s="54" t="s">
        <v>70</v>
      </c>
      <c r="D19" s="54" t="s">
        <v>76</v>
      </c>
      <c r="E19" s="54" t="s">
        <v>77</v>
      </c>
      <c r="F19" s="54" t="s">
        <v>78</v>
      </c>
      <c r="G19" s="54" t="s">
        <v>79</v>
      </c>
      <c r="H19" s="54" t="s">
        <v>80</v>
      </c>
      <c r="I19" s="54" t="s">
        <v>81</v>
      </c>
      <c r="J19" s="54" t="s">
        <v>82</v>
      </c>
      <c r="K19" s="54" t="s">
        <v>83</v>
      </c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 ht="12.75" customHeight="1">
      <c r="A20" s="55" t="s">
        <v>63</v>
      </c>
      <c r="B20" s="42">
        <v>127.0</v>
      </c>
      <c r="C20" s="42">
        <v>8.250151848E7</v>
      </c>
      <c r="D20" s="42">
        <v>100.00000063029142</v>
      </c>
      <c r="E20" s="42">
        <v>27448.999999999996</v>
      </c>
      <c r="F20" s="42">
        <v>0.0</v>
      </c>
      <c r="G20" s="56">
        <v>0.0</v>
      </c>
      <c r="H20" s="56">
        <v>0.0</v>
      </c>
      <c r="I20" s="57">
        <v>15.992125984251969</v>
      </c>
      <c r="J20" s="42">
        <v>22.299212598425196</v>
      </c>
      <c r="K20" s="58">
        <v>3.0056292935990387</v>
      </c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 ht="12.75" customHeight="1">
      <c r="A21" s="46" t="s">
        <v>74</v>
      </c>
      <c r="B21" s="47">
        <v>3063.0</v>
      </c>
      <c r="C21" s="47">
        <v>2.564570298920001E9</v>
      </c>
      <c r="D21" s="47">
        <v>99.7057189532617</v>
      </c>
      <c r="E21" s="47">
        <v>277555.3200000003</v>
      </c>
      <c r="F21" s="47">
        <v>204189.0</v>
      </c>
      <c r="G21" s="59">
        <v>0.0</v>
      </c>
      <c r="H21" s="59">
        <v>0.0</v>
      </c>
      <c r="I21" s="60">
        <v>13.969347396176664</v>
      </c>
      <c r="J21" s="47">
        <v>25.146914789422134</v>
      </c>
      <c r="K21" s="61">
        <v>5.32350915713962</v>
      </c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 ht="12.75" customHeight="1">
      <c r="B22" s="49"/>
      <c r="C22" s="49"/>
      <c r="D22" s="49"/>
      <c r="E22" s="49"/>
      <c r="F22" s="49"/>
      <c r="G22" s="52"/>
      <c r="H22" s="52"/>
      <c r="I22" s="63"/>
      <c r="J22" s="49"/>
      <c r="K22" s="64"/>
    </row>
    <row r="23" ht="12.75" customHeight="1">
      <c r="B23" s="49"/>
      <c r="C23" s="49"/>
      <c r="D23" s="49"/>
      <c r="E23" s="49"/>
      <c r="F23" s="49"/>
      <c r="G23" s="52"/>
      <c r="H23" s="52"/>
      <c r="I23" s="63"/>
      <c r="J23" s="49"/>
      <c r="K23" s="64"/>
    </row>
    <row r="24" ht="12.75" customHeight="1">
      <c r="B24" s="49"/>
      <c r="C24" s="49"/>
      <c r="D24" s="49"/>
      <c r="E24" s="49"/>
      <c r="F24" s="49"/>
      <c r="G24" s="52"/>
      <c r="H24" s="52"/>
      <c r="I24" s="63"/>
      <c r="J24" s="49"/>
      <c r="K24" s="64"/>
    </row>
    <row r="25" ht="12.75" customHeight="1">
      <c r="B25" s="49"/>
      <c r="C25" s="49"/>
      <c r="D25" s="49"/>
      <c r="E25" s="49"/>
      <c r="F25" s="49"/>
      <c r="G25" s="52"/>
      <c r="H25" s="52"/>
      <c r="I25" s="63"/>
      <c r="J25" s="49"/>
      <c r="K25" s="64"/>
    </row>
    <row r="26" ht="12.75" customHeight="1">
      <c r="B26" s="49"/>
      <c r="C26" s="49"/>
      <c r="D26" s="49"/>
      <c r="E26" s="49"/>
      <c r="F26" s="49"/>
      <c r="G26" s="52"/>
      <c r="H26" s="52"/>
      <c r="I26" s="63"/>
      <c r="J26" s="49"/>
      <c r="K26" s="64"/>
    </row>
    <row r="27" ht="12.75" customHeight="1">
      <c r="B27" s="49"/>
      <c r="C27" s="49"/>
      <c r="D27" s="49"/>
      <c r="E27" s="49"/>
      <c r="F27" s="49"/>
      <c r="G27" s="52"/>
      <c r="H27" s="52"/>
      <c r="I27" s="63"/>
      <c r="J27" s="49"/>
      <c r="K27" s="64"/>
    </row>
    <row r="28" ht="12.75" customHeight="1">
      <c r="B28" s="49"/>
      <c r="C28" s="49"/>
      <c r="D28" s="49"/>
      <c r="E28" s="49"/>
      <c r="F28" s="49"/>
      <c r="G28" s="52"/>
      <c r="H28" s="52"/>
      <c r="I28" s="63"/>
      <c r="J28" s="49"/>
      <c r="K28" s="64"/>
    </row>
    <row r="29" ht="12.75" customHeight="1">
      <c r="B29" s="49"/>
      <c r="C29" s="49"/>
      <c r="D29" s="49"/>
      <c r="E29" s="49"/>
      <c r="F29" s="49"/>
      <c r="G29" s="52"/>
      <c r="H29" s="52"/>
      <c r="I29" s="63"/>
      <c r="J29" s="49"/>
      <c r="K29" s="64"/>
    </row>
    <row r="30" ht="12.75" customHeight="1">
      <c r="B30" s="49"/>
      <c r="C30" s="49"/>
      <c r="D30" s="49"/>
      <c r="E30" s="49"/>
      <c r="F30" s="49"/>
      <c r="G30" s="52"/>
      <c r="H30" s="52"/>
      <c r="I30" s="63"/>
      <c r="J30" s="49"/>
      <c r="K30" s="64"/>
    </row>
    <row r="31" ht="12.75" customHeight="1">
      <c r="B31" s="49"/>
      <c r="C31" s="49"/>
      <c r="D31" s="49"/>
      <c r="E31" s="49"/>
      <c r="F31" s="49"/>
      <c r="G31" s="52"/>
      <c r="H31" s="52"/>
      <c r="I31" s="63"/>
      <c r="J31" s="49"/>
      <c r="K31" s="64"/>
    </row>
    <row r="32" ht="12.75" customHeight="1">
      <c r="B32" s="49"/>
      <c r="C32" s="49"/>
      <c r="D32" s="49"/>
      <c r="E32" s="49"/>
      <c r="F32" s="49"/>
      <c r="G32" s="52"/>
      <c r="H32" s="52"/>
      <c r="I32" s="63"/>
      <c r="J32" s="49"/>
      <c r="K32" s="64"/>
    </row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 outlineLevelRow="1"/>
  <cols>
    <col customWidth="1" min="1" max="1" width="12.0"/>
    <col customWidth="1" min="2" max="2" width="16.13"/>
    <col customWidth="1" min="3" max="3" width="11.13"/>
    <col customWidth="1" min="4" max="4" width="8.63"/>
    <col customWidth="1" min="5" max="5" width="13.25"/>
    <col customWidth="1" min="6" max="6" width="12.25"/>
    <col customWidth="1" min="7" max="7" width="9.0"/>
    <col customWidth="1" min="8" max="8" width="11.0"/>
    <col customWidth="1" min="9" max="9" width="11.88"/>
    <col customWidth="1" min="10" max="10" width="11.0"/>
    <col customWidth="1" min="11" max="11" width="17.38"/>
    <col customWidth="1" min="12" max="26" width="8.63"/>
  </cols>
  <sheetData>
    <row r="1" ht="12.75" customHeight="1">
      <c r="A1" s="51" t="s">
        <v>87</v>
      </c>
    </row>
    <row r="2" ht="12.75" customHeight="1"/>
    <row r="3" ht="12.75" customHeight="1"/>
    <row r="4" ht="12.75" customHeight="1">
      <c r="A4" s="52"/>
    </row>
    <row r="5" ht="12.75" customHeight="1">
      <c r="A5" s="52"/>
    </row>
    <row r="6" ht="12.75" customHeight="1"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ht="12.75" customHeight="1">
      <c r="A7" s="53" t="s">
        <v>5</v>
      </c>
      <c r="B7" s="54" t="s">
        <v>68</v>
      </c>
      <c r="C7" s="54" t="s">
        <v>70</v>
      </c>
      <c r="D7" s="54" t="s">
        <v>76</v>
      </c>
      <c r="E7" s="54" t="s">
        <v>81</v>
      </c>
      <c r="F7" s="54" t="s">
        <v>82</v>
      </c>
      <c r="G7" s="16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2.75" customHeight="1">
      <c r="A8" s="55" t="s">
        <v>60</v>
      </c>
      <c r="B8" s="42">
        <v>1173.0</v>
      </c>
      <c r="C8" s="42">
        <v>1.031699427E8</v>
      </c>
      <c r="D8" s="42">
        <v>99.33364746358437</v>
      </c>
      <c r="E8" s="42">
        <v>11.987080103359173</v>
      </c>
      <c r="F8" s="42">
        <v>23.144075021312872</v>
      </c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 ht="12.75" customHeight="1">
      <c r="A9" s="55" t="s">
        <v>84</v>
      </c>
      <c r="B9" s="42">
        <v>1158.0</v>
      </c>
      <c r="C9" s="42">
        <v>1.751715386E8</v>
      </c>
      <c r="D9" s="42">
        <v>100.11587780276537</v>
      </c>
      <c r="E9" s="42">
        <v>13.47982456140351</v>
      </c>
      <c r="F9" s="42">
        <v>24.170120898100173</v>
      </c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 ht="12.75" customHeight="1">
      <c r="A10" s="55" t="s">
        <v>85</v>
      </c>
      <c r="B10" s="42">
        <v>250.0</v>
      </c>
      <c r="C10" s="42">
        <v>2.3576338950000003E7</v>
      </c>
      <c r="D10" s="42">
        <v>99.5511594475104</v>
      </c>
      <c r="E10" s="42">
        <v>8.892116182572614</v>
      </c>
      <c r="F10" s="42">
        <v>22.344</v>
      </c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ht="12.75" customHeight="1">
      <c r="A11" s="55" t="s">
        <v>88</v>
      </c>
      <c r="B11" s="42">
        <v>323.0</v>
      </c>
      <c r="C11" s="42">
        <v>1.9562951615E8</v>
      </c>
      <c r="D11" s="42">
        <v>98.89825707673509</v>
      </c>
      <c r="E11" s="42">
        <v>5.850806451612903</v>
      </c>
      <c r="F11" s="42">
        <v>12.907120743034056</v>
      </c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 ht="12.75" customHeight="1">
      <c r="A12" s="55" t="s">
        <v>86</v>
      </c>
      <c r="B12" s="42">
        <v>906.0</v>
      </c>
      <c r="C12" s="42">
        <v>1.0803531263000004E8</v>
      </c>
      <c r="D12" s="42">
        <v>99.5472115847201</v>
      </c>
      <c r="E12" s="42">
        <v>13.282782212086659</v>
      </c>
      <c r="F12" s="42">
        <v>23.50662251655629</v>
      </c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 ht="12.75" customHeight="1">
      <c r="A13" s="46" t="s">
        <v>74</v>
      </c>
      <c r="B13" s="47">
        <v>3810.0</v>
      </c>
      <c r="C13" s="47">
        <v>6.055826490299991E8</v>
      </c>
      <c r="D13" s="47">
        <v>99.46583401866272</v>
      </c>
      <c r="E13" s="47">
        <v>12.14262339787292</v>
      </c>
      <c r="F13" s="47">
        <v>22.62178477690289</v>
      </c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 ht="12.75" customHeight="1" outlineLevel="1"/>
    <row r="15" ht="12.75" customHeight="1" outlineLevel="1"/>
    <row r="16" ht="12.75" customHeight="1" outlineLevel="1">
      <c r="A16" s="52"/>
    </row>
    <row r="17" ht="12.75" customHeight="1" outlineLevel="1">
      <c r="A17" s="52"/>
    </row>
    <row r="18" ht="12.75" customHeight="1" outlineLevel="1"/>
    <row r="19" ht="12.75" customHeight="1" outlineLevel="1">
      <c r="A19" s="62" t="s">
        <v>8</v>
      </c>
      <c r="B19" s="54" t="s">
        <v>68</v>
      </c>
      <c r="C19" s="54" t="s">
        <v>70</v>
      </c>
      <c r="D19" s="54" t="s">
        <v>76</v>
      </c>
      <c r="E19" s="54" t="s">
        <v>81</v>
      </c>
      <c r="F19" s="54" t="s">
        <v>82</v>
      </c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 ht="12.75" customHeight="1">
      <c r="A20" s="55" t="s">
        <v>63</v>
      </c>
      <c r="B20" s="42">
        <v>31.0</v>
      </c>
      <c r="C20" s="42">
        <v>2461265.0</v>
      </c>
      <c r="D20" s="42">
        <v>100.0</v>
      </c>
      <c r="E20" s="42">
        <v>10.566666666666666</v>
      </c>
      <c r="F20" s="42">
        <v>21.225806451612904</v>
      </c>
    </row>
    <row r="21" ht="12.75" customHeight="1">
      <c r="A21" s="55" t="s">
        <v>89</v>
      </c>
      <c r="B21" s="42">
        <v>17.0</v>
      </c>
      <c r="C21" s="42">
        <v>8695865.0</v>
      </c>
      <c r="D21" s="42">
        <v>99.99795098014977</v>
      </c>
      <c r="E21" s="42">
        <v>11.0</v>
      </c>
      <c r="F21" s="42">
        <v>26.058823529411764</v>
      </c>
    </row>
    <row r="22" ht="12.75" customHeight="1">
      <c r="A22" s="55" t="s">
        <v>90</v>
      </c>
      <c r="B22" s="42">
        <v>34.0</v>
      </c>
      <c r="C22" s="42">
        <v>1.0543567309999999E7</v>
      </c>
      <c r="D22" s="42">
        <v>99.99999705981865</v>
      </c>
      <c r="E22" s="42">
        <v>13.941176470588236</v>
      </c>
      <c r="F22" s="42">
        <v>17.441176470588236</v>
      </c>
    </row>
    <row r="23" ht="12.75" customHeight="1">
      <c r="A23" s="55" t="s">
        <v>91</v>
      </c>
      <c r="B23" s="42">
        <v>137.0</v>
      </c>
      <c r="C23" s="42">
        <v>2.122443435E7</v>
      </c>
      <c r="D23" s="42">
        <v>99.99999481729415</v>
      </c>
      <c r="E23" s="42">
        <v>9.451127819548873</v>
      </c>
      <c r="F23" s="42">
        <v>20.81021897810219</v>
      </c>
    </row>
    <row r="24" ht="12.75" customHeight="1">
      <c r="A24" s="55" t="s">
        <v>92</v>
      </c>
      <c r="B24" s="42">
        <v>82.0</v>
      </c>
      <c r="C24" s="42">
        <v>1.123815567E7</v>
      </c>
      <c r="D24" s="42">
        <v>99.99999403816766</v>
      </c>
      <c r="E24" s="42">
        <v>16.577464788732396</v>
      </c>
      <c r="F24" s="42">
        <v>22.01219512195122</v>
      </c>
    </row>
    <row r="25" ht="12.75" customHeight="1">
      <c r="A25" s="55" t="s">
        <v>93</v>
      </c>
      <c r="B25" s="42">
        <v>1.0</v>
      </c>
      <c r="C25" s="42">
        <v>53792.0</v>
      </c>
      <c r="D25" s="42">
        <v>100.0</v>
      </c>
      <c r="E25" s="42">
        <v>56.0</v>
      </c>
      <c r="F25" s="42">
        <v>17.0</v>
      </c>
    </row>
    <row r="26" ht="12.75" customHeight="1">
      <c r="A26" s="55" t="s">
        <v>94</v>
      </c>
      <c r="B26" s="42">
        <v>1.0</v>
      </c>
      <c r="C26" s="42">
        <v>76499.0</v>
      </c>
      <c r="D26" s="42">
        <v>100.0</v>
      </c>
      <c r="E26" s="42">
        <v>7.0</v>
      </c>
      <c r="F26" s="42">
        <v>36.0</v>
      </c>
    </row>
    <row r="27" ht="12.75" customHeight="1">
      <c r="A27" s="55" t="s">
        <v>95</v>
      </c>
      <c r="B27" s="42">
        <v>804.0</v>
      </c>
      <c r="C27" s="42">
        <v>8.188499069999999E7</v>
      </c>
      <c r="D27" s="42">
        <v>99.76477181183829</v>
      </c>
      <c r="E27" s="42">
        <v>13.942138364779874</v>
      </c>
      <c r="F27" s="42">
        <v>25.644278606965173</v>
      </c>
    </row>
    <row r="28" ht="12.75" customHeight="1">
      <c r="A28" s="55" t="s">
        <v>96</v>
      </c>
      <c r="B28" s="42">
        <v>1.0</v>
      </c>
      <c r="C28" s="42">
        <v>40000.0</v>
      </c>
      <c r="D28" s="42">
        <v>100.0</v>
      </c>
      <c r="E28" s="42">
        <v>4.0</v>
      </c>
      <c r="F28" s="42">
        <v>4.0</v>
      </c>
    </row>
    <row r="29" ht="12.75" customHeight="1">
      <c r="A29" s="55" t="s">
        <v>97</v>
      </c>
      <c r="B29" s="42">
        <v>639.0</v>
      </c>
      <c r="C29" s="42">
        <v>9.257014891999999E7</v>
      </c>
      <c r="D29" s="42">
        <v>99.72586504077108</v>
      </c>
      <c r="E29" s="42">
        <v>15.959871589085072</v>
      </c>
      <c r="F29" s="42">
        <v>25.220657276995304</v>
      </c>
    </row>
    <row r="30" ht="12.75" customHeight="1">
      <c r="A30" s="55" t="s">
        <v>98</v>
      </c>
      <c r="B30" s="42">
        <v>2029.0</v>
      </c>
      <c r="C30" s="42">
        <v>3.733951493200002E8</v>
      </c>
      <c r="D30" s="42">
        <v>99.25327049237839</v>
      </c>
      <c r="E30" s="42">
        <v>10.191412312467667</v>
      </c>
      <c r="F30" s="42">
        <v>20.95712173484475</v>
      </c>
    </row>
    <row r="31" ht="12.75" customHeight="1">
      <c r="A31" s="55" t="s">
        <v>99</v>
      </c>
      <c r="B31" s="42">
        <v>34.0</v>
      </c>
      <c r="C31" s="42">
        <v>3398781.76</v>
      </c>
      <c r="D31" s="42">
        <v>99.99997763904676</v>
      </c>
      <c r="E31" s="42">
        <v>11.464285714285714</v>
      </c>
      <c r="F31" s="42">
        <v>15.470588235294118</v>
      </c>
    </row>
    <row r="32" ht="12.75" customHeight="1">
      <c r="A32" s="46" t="s">
        <v>74</v>
      </c>
      <c r="B32" s="47">
        <v>3810.0</v>
      </c>
      <c r="C32" s="47">
        <v>6.055826490299991E8</v>
      </c>
      <c r="D32" s="47">
        <v>99.46583401866272</v>
      </c>
      <c r="E32" s="47">
        <v>12.14262339787292</v>
      </c>
      <c r="F32" s="47">
        <v>22.62178477690289</v>
      </c>
    </row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6" t="s">
        <v>100</v>
      </c>
      <c r="B1" s="16"/>
      <c r="C1" s="16"/>
      <c r="D1" s="16"/>
      <c r="E1" s="16"/>
      <c r="F1" s="16"/>
    </row>
    <row r="2">
      <c r="A2" s="16"/>
      <c r="B2" s="16"/>
      <c r="C2" s="16"/>
      <c r="D2" s="16"/>
      <c r="E2" s="16"/>
      <c r="F2" s="16"/>
    </row>
    <row r="3">
      <c r="A3" s="16"/>
      <c r="B3" s="16"/>
      <c r="C3" s="16"/>
      <c r="D3" s="16"/>
      <c r="E3" s="16"/>
      <c r="F3" s="16"/>
    </row>
    <row r="4">
      <c r="A4" s="16"/>
      <c r="B4" s="16"/>
      <c r="C4" s="16"/>
      <c r="D4" s="16"/>
      <c r="E4" s="16"/>
      <c r="F4" s="16"/>
    </row>
    <row r="5">
      <c r="A5" s="16"/>
      <c r="B5" s="16"/>
      <c r="C5" s="16"/>
      <c r="D5" s="16"/>
      <c r="E5" s="16"/>
      <c r="F5" s="16"/>
    </row>
    <row r="6">
      <c r="A6" s="16"/>
      <c r="B6" s="16"/>
      <c r="C6" s="16"/>
      <c r="D6" s="16"/>
      <c r="E6" s="16"/>
      <c r="F6" s="16"/>
    </row>
    <row r="7">
      <c r="A7" s="53" t="s">
        <v>5</v>
      </c>
      <c r="B7" s="39" t="s">
        <v>68</v>
      </c>
      <c r="C7" s="39" t="s">
        <v>70</v>
      </c>
      <c r="D7" s="39" t="s">
        <v>76</v>
      </c>
      <c r="E7" s="39" t="s">
        <v>81</v>
      </c>
      <c r="F7" s="39" t="s">
        <v>82</v>
      </c>
    </row>
    <row r="8">
      <c r="A8" s="55" t="s">
        <v>60</v>
      </c>
      <c r="B8" s="42">
        <v>471.0</v>
      </c>
      <c r="C8" s="42">
        <v>1.6615233980000002E7</v>
      </c>
      <c r="D8" s="42">
        <v>97.30157522584581</v>
      </c>
      <c r="E8" s="42">
        <v>8.311965811965813</v>
      </c>
      <c r="F8" s="42">
        <v>13.157112526539278</v>
      </c>
    </row>
    <row r="9">
      <c r="A9" s="55" t="s">
        <v>84</v>
      </c>
      <c r="B9" s="42">
        <v>674.0</v>
      </c>
      <c r="C9" s="42">
        <v>4.413713975999999E7</v>
      </c>
      <c r="D9" s="42">
        <v>99.37701753784876</v>
      </c>
      <c r="E9" s="42">
        <v>6.827534039334342</v>
      </c>
      <c r="F9" s="42">
        <v>13.391691394658753</v>
      </c>
    </row>
    <row r="10">
      <c r="A10" s="55" t="s">
        <v>85</v>
      </c>
      <c r="B10" s="42">
        <v>126.0</v>
      </c>
      <c r="C10" s="42">
        <v>5458614.33</v>
      </c>
      <c r="D10" s="42">
        <v>99.65783715663238</v>
      </c>
      <c r="E10" s="42">
        <v>6.504</v>
      </c>
      <c r="F10" s="42">
        <v>13.317460317460318</v>
      </c>
    </row>
    <row r="11">
      <c r="A11" s="55" t="s">
        <v>88</v>
      </c>
      <c r="B11" s="42">
        <v>19.0</v>
      </c>
      <c r="C11" s="42">
        <v>1610425.25</v>
      </c>
      <c r="D11" s="42">
        <v>99.99998447615</v>
      </c>
      <c r="E11" s="42">
        <v>5.142857142857143</v>
      </c>
      <c r="F11" s="42">
        <v>11.0</v>
      </c>
    </row>
    <row r="12">
      <c r="A12" s="55" t="s">
        <v>86</v>
      </c>
      <c r="B12" s="42">
        <v>495.0</v>
      </c>
      <c r="C12" s="42">
        <v>2.305526891E7</v>
      </c>
      <c r="D12" s="42">
        <v>99.05331882767445</v>
      </c>
      <c r="E12" s="42">
        <v>6.297520661157025</v>
      </c>
      <c r="F12" s="42">
        <v>12.802020202020202</v>
      </c>
    </row>
    <row r="13">
      <c r="A13" s="46" t="s">
        <v>74</v>
      </c>
      <c r="B13" s="47">
        <v>1785.0</v>
      </c>
      <c r="C13" s="47">
        <v>9.087668222999997E7</v>
      </c>
      <c r="D13" s="47">
        <v>98.94334421499933</v>
      </c>
      <c r="E13" s="47">
        <v>7.041095890410959</v>
      </c>
      <c r="F13" s="47">
        <v>13.135574229691876</v>
      </c>
    </row>
    <row r="14">
      <c r="A14" s="16"/>
      <c r="B14" s="16"/>
      <c r="C14" s="16"/>
      <c r="D14" s="16"/>
      <c r="E14" s="16"/>
      <c r="F14" s="16"/>
    </row>
    <row r="15">
      <c r="A15" s="16"/>
      <c r="B15" s="16"/>
      <c r="C15" s="16"/>
      <c r="D15" s="16"/>
      <c r="E15" s="16"/>
      <c r="F15" s="16"/>
    </row>
    <row r="16">
      <c r="A16" s="16"/>
      <c r="B16" s="16"/>
      <c r="C16" s="16"/>
      <c r="D16" s="16"/>
      <c r="E16" s="16"/>
      <c r="F16" s="16"/>
    </row>
    <row r="17">
      <c r="A17" s="16"/>
      <c r="B17" s="16"/>
      <c r="C17" s="16"/>
      <c r="D17" s="16"/>
      <c r="E17" s="16"/>
      <c r="F17" s="16"/>
    </row>
    <row r="18">
      <c r="A18" s="16"/>
      <c r="B18" s="16"/>
      <c r="C18" s="16"/>
      <c r="D18" s="16"/>
      <c r="E18" s="16"/>
      <c r="F18" s="16"/>
    </row>
    <row r="19">
      <c r="A19" s="62" t="s">
        <v>8</v>
      </c>
      <c r="B19" s="39" t="s">
        <v>68</v>
      </c>
      <c r="C19" s="39" t="s">
        <v>70</v>
      </c>
      <c r="D19" s="39" t="s">
        <v>76</v>
      </c>
      <c r="E19" s="39" t="s">
        <v>81</v>
      </c>
      <c r="F19" s="39" t="s">
        <v>82</v>
      </c>
    </row>
    <row r="20">
      <c r="A20" s="55" t="s">
        <v>63</v>
      </c>
      <c r="B20" s="42">
        <v>45.0</v>
      </c>
      <c r="C20" s="42">
        <v>1254278.07</v>
      </c>
      <c r="D20" s="42">
        <v>99.99999441910037</v>
      </c>
      <c r="E20" s="42">
        <v>5.681818181818182</v>
      </c>
      <c r="F20" s="42">
        <v>10.844444444444445</v>
      </c>
    </row>
    <row r="21">
      <c r="A21" s="55" t="s">
        <v>89</v>
      </c>
      <c r="B21" s="42">
        <v>18.0</v>
      </c>
      <c r="C21" s="42">
        <v>818718.92</v>
      </c>
      <c r="D21" s="42">
        <v>100.00016489175552</v>
      </c>
      <c r="E21" s="42">
        <v>13.176470588235293</v>
      </c>
      <c r="F21" s="42">
        <v>14.055555555555555</v>
      </c>
    </row>
    <row r="22">
      <c r="A22" s="55" t="s">
        <v>90</v>
      </c>
      <c r="B22" s="42">
        <v>260.0</v>
      </c>
      <c r="C22" s="42">
        <v>1.1189567309999999E7</v>
      </c>
      <c r="D22" s="42">
        <v>99.97605555312576</v>
      </c>
      <c r="E22" s="42">
        <v>5.303149606299213</v>
      </c>
      <c r="F22" s="42">
        <v>12.276923076923078</v>
      </c>
    </row>
    <row r="23">
      <c r="A23" s="55" t="s">
        <v>91</v>
      </c>
      <c r="B23" s="42">
        <v>118.0</v>
      </c>
      <c r="C23" s="42">
        <v>2993886.1199999996</v>
      </c>
      <c r="D23" s="42">
        <v>99.99999599183153</v>
      </c>
      <c r="E23" s="42">
        <v>5.111111111111111</v>
      </c>
      <c r="F23" s="42">
        <v>11.271186440677965</v>
      </c>
    </row>
    <row r="24">
      <c r="A24" s="55" t="s">
        <v>92</v>
      </c>
      <c r="B24" s="42">
        <v>27.0</v>
      </c>
      <c r="C24" s="42">
        <v>836728.0</v>
      </c>
      <c r="D24" s="42">
        <v>100.0</v>
      </c>
      <c r="E24" s="42">
        <v>4.96</v>
      </c>
      <c r="F24" s="42">
        <v>11.962962962962964</v>
      </c>
    </row>
    <row r="25">
      <c r="A25" s="55" t="s">
        <v>101</v>
      </c>
      <c r="B25" s="42">
        <v>37.0</v>
      </c>
      <c r="C25" s="42">
        <v>3730000.0</v>
      </c>
      <c r="D25" s="42">
        <v>81.06858391420913</v>
      </c>
      <c r="E25" s="42">
        <v>10.64864864864865</v>
      </c>
      <c r="F25" s="42">
        <v>24.513513513513512</v>
      </c>
    </row>
    <row r="26">
      <c r="A26" s="55" t="s">
        <v>93</v>
      </c>
      <c r="B26" s="42">
        <v>3.0</v>
      </c>
      <c r="C26" s="42">
        <v>139440.43</v>
      </c>
      <c r="D26" s="42">
        <v>99.99969162458837</v>
      </c>
      <c r="E26" s="42">
        <v>2.5</v>
      </c>
      <c r="F26" s="42">
        <v>11.666666666666666</v>
      </c>
    </row>
    <row r="27">
      <c r="A27" s="55" t="s">
        <v>94</v>
      </c>
      <c r="B27" s="42">
        <v>2.0</v>
      </c>
      <c r="C27" s="42">
        <v>240747.0</v>
      </c>
      <c r="D27" s="42">
        <v>100.0</v>
      </c>
      <c r="E27" s="42">
        <v>11.0</v>
      </c>
      <c r="F27" s="42">
        <v>12.5</v>
      </c>
    </row>
    <row r="28">
      <c r="A28" s="55" t="s">
        <v>102</v>
      </c>
      <c r="B28" s="42">
        <v>9.0</v>
      </c>
      <c r="C28" s="42">
        <v>694384.0</v>
      </c>
      <c r="D28" s="42">
        <v>100.0</v>
      </c>
      <c r="E28" s="42">
        <v>7.888888888888889</v>
      </c>
      <c r="F28" s="42">
        <v>12.666666666666666</v>
      </c>
    </row>
    <row r="29">
      <c r="A29" s="55" t="s">
        <v>95</v>
      </c>
      <c r="B29" s="42">
        <v>527.0</v>
      </c>
      <c r="C29" s="42">
        <v>2.9640261319999997E7</v>
      </c>
      <c r="D29" s="42">
        <v>99.17143243998908</v>
      </c>
      <c r="E29" s="42">
        <v>10.900573613766731</v>
      </c>
      <c r="F29" s="42">
        <v>15.148007590132828</v>
      </c>
    </row>
    <row r="30">
      <c r="A30" s="55" t="s">
        <v>96</v>
      </c>
      <c r="B30" s="42">
        <v>12.0</v>
      </c>
      <c r="C30" s="42">
        <v>1402144.53</v>
      </c>
      <c r="D30" s="42">
        <v>100.00003352008227</v>
      </c>
      <c r="E30" s="42">
        <v>6.333333333333333</v>
      </c>
      <c r="F30" s="42">
        <v>12.25</v>
      </c>
    </row>
    <row r="31">
      <c r="A31" s="55" t="s">
        <v>97</v>
      </c>
      <c r="B31" s="42">
        <v>386.0</v>
      </c>
      <c r="C31" s="42">
        <v>1.383443717E7</v>
      </c>
      <c r="D31" s="42">
        <v>99.95775129896376</v>
      </c>
      <c r="E31" s="42">
        <v>6.557894736842106</v>
      </c>
      <c r="F31" s="42">
        <v>12.049222797927461</v>
      </c>
    </row>
    <row r="32">
      <c r="A32" s="55" t="s">
        <v>98</v>
      </c>
      <c r="B32" s="42">
        <v>283.0</v>
      </c>
      <c r="C32" s="42">
        <v>2.19699915E7</v>
      </c>
      <c r="D32" s="42">
        <v>100.00000227583156</v>
      </c>
      <c r="E32" s="42">
        <v>2.6386861313868613</v>
      </c>
      <c r="F32" s="42">
        <v>11.434628975265017</v>
      </c>
    </row>
    <row r="33">
      <c r="A33" s="55" t="s">
        <v>99</v>
      </c>
      <c r="B33" s="42">
        <v>57.0</v>
      </c>
      <c r="C33" s="42">
        <v>2127097.86</v>
      </c>
      <c r="D33" s="42">
        <v>100.00000658173762</v>
      </c>
      <c r="E33" s="42">
        <v>5.6</v>
      </c>
      <c r="F33" s="42">
        <v>13.157894736842104</v>
      </c>
    </row>
    <row r="34">
      <c r="A34" s="55" t="s">
        <v>103</v>
      </c>
      <c r="B34" s="42">
        <v>1.0</v>
      </c>
      <c r="C34" s="42">
        <v>5000.0</v>
      </c>
      <c r="D34" s="42">
        <v>100.0</v>
      </c>
      <c r="E34" s="42">
        <v>1.0</v>
      </c>
      <c r="F34" s="42">
        <v>13.0</v>
      </c>
    </row>
    <row r="35">
      <c r="A35" s="46" t="s">
        <v>74</v>
      </c>
      <c r="B35" s="47">
        <v>1785.0</v>
      </c>
      <c r="C35" s="47">
        <v>9.087668222999997E7</v>
      </c>
      <c r="D35" s="47">
        <v>98.94334421499933</v>
      </c>
      <c r="E35" s="47">
        <v>7.041095890410959</v>
      </c>
      <c r="F35" s="47">
        <v>13.135574229691876</v>
      </c>
    </row>
    <row r="36">
      <c r="A36" s="16"/>
      <c r="B36" s="16"/>
      <c r="C36" s="16"/>
      <c r="D36" s="16"/>
      <c r="E36" s="16"/>
      <c r="F36" s="1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6" t="s">
        <v>104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</row>
    <row r="3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</row>
    <row r="4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</row>
    <row r="5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</row>
    <row r="6">
      <c r="A6" s="16"/>
      <c r="B6" s="16"/>
      <c r="C6" s="16"/>
      <c r="D6" s="16"/>
      <c r="E6" s="16"/>
      <c r="F6" s="16"/>
      <c r="G6" s="16"/>
      <c r="H6" s="16"/>
      <c r="I6" s="67"/>
      <c r="J6" s="67"/>
      <c r="K6" s="67"/>
      <c r="L6" s="67"/>
    </row>
    <row r="7">
      <c r="A7" s="53" t="s">
        <v>5</v>
      </c>
      <c r="B7" s="39" t="s">
        <v>105</v>
      </c>
      <c r="C7" s="39" t="s">
        <v>70</v>
      </c>
      <c r="D7" s="39" t="s">
        <v>106</v>
      </c>
      <c r="E7" s="39" t="s">
        <v>76</v>
      </c>
      <c r="F7" s="39" t="s">
        <v>107</v>
      </c>
      <c r="G7" s="39" t="s">
        <v>108</v>
      </c>
      <c r="H7" s="39" t="s">
        <v>109</v>
      </c>
      <c r="I7" s="39" t="s">
        <v>110</v>
      </c>
      <c r="J7" s="39" t="s">
        <v>111</v>
      </c>
      <c r="K7" s="40" t="s">
        <v>112</v>
      </c>
      <c r="L7" s="68" t="s">
        <v>113</v>
      </c>
    </row>
    <row r="8">
      <c r="A8" s="55" t="s">
        <v>60</v>
      </c>
      <c r="B8" s="69">
        <v>79.0</v>
      </c>
      <c r="C8" s="42">
        <v>3.8631819E7</v>
      </c>
      <c r="D8" s="42">
        <v>1.3351275609999998E7</v>
      </c>
      <c r="E8" s="42">
        <v>34.56030794201018</v>
      </c>
      <c r="F8" s="69">
        <v>55.0</v>
      </c>
      <c r="G8" s="43">
        <v>0.6962025316455697</v>
      </c>
      <c r="H8" s="42">
        <v>12.290909090909091</v>
      </c>
      <c r="I8" s="42">
        <v>50.31645569620253</v>
      </c>
      <c r="J8" s="42">
        <v>13.645569620253164</v>
      </c>
      <c r="K8" s="70">
        <v>1028700.0</v>
      </c>
      <c r="L8" s="71">
        <f t="shared" ref="L8:L12" si="1">C8/K8</f>
        <v>37.55401866</v>
      </c>
    </row>
    <row r="9">
      <c r="A9" s="55" t="s">
        <v>84</v>
      </c>
      <c r="B9" s="69">
        <v>116.0</v>
      </c>
      <c r="C9" s="42">
        <v>1.77338061E8</v>
      </c>
      <c r="D9" s="42">
        <v>7.282881547E7</v>
      </c>
      <c r="E9" s="42">
        <v>41.06778604622276</v>
      </c>
      <c r="F9" s="69">
        <v>62.0</v>
      </c>
      <c r="G9" s="43">
        <v>0.5344827586206896</v>
      </c>
      <c r="H9" s="42">
        <v>11.225806451612904</v>
      </c>
      <c r="I9" s="42">
        <v>44.741379310344826</v>
      </c>
      <c r="J9" s="42">
        <v>11.814159292035399</v>
      </c>
      <c r="K9" s="70">
        <v>1.33683E7</v>
      </c>
      <c r="L9" s="71">
        <f t="shared" si="1"/>
        <v>13.26556563</v>
      </c>
    </row>
    <row r="10">
      <c r="A10" s="55" t="s">
        <v>85</v>
      </c>
      <c r="B10" s="69">
        <v>17.0</v>
      </c>
      <c r="C10" s="42">
        <v>6464099.0</v>
      </c>
      <c r="D10" s="42">
        <v>3472254.91</v>
      </c>
      <c r="E10" s="42">
        <v>53.715992128214616</v>
      </c>
      <c r="F10" s="69">
        <v>12.0</v>
      </c>
      <c r="G10" s="43">
        <v>0.7058823529411765</v>
      </c>
      <c r="H10" s="42">
        <v>8.166666666666666</v>
      </c>
      <c r="I10" s="42">
        <v>45.294117647058826</v>
      </c>
      <c r="J10" s="42">
        <v>9.705882352941176</v>
      </c>
      <c r="K10" s="70">
        <v>258200.0</v>
      </c>
      <c r="L10" s="71">
        <f t="shared" si="1"/>
        <v>25.03524012</v>
      </c>
    </row>
    <row r="11">
      <c r="A11" s="55" t="s">
        <v>86</v>
      </c>
      <c r="B11" s="69">
        <v>74.0</v>
      </c>
      <c r="C11" s="42">
        <v>4.4662527E7</v>
      </c>
      <c r="D11" s="42">
        <v>1.2896903959999999E7</v>
      </c>
      <c r="E11" s="42">
        <v>28.87634181558961</v>
      </c>
      <c r="F11" s="69">
        <v>31.0</v>
      </c>
      <c r="G11" s="43">
        <v>0.4189189189189189</v>
      </c>
      <c r="H11" s="42">
        <v>8.774193548387096</v>
      </c>
      <c r="I11" s="42">
        <v>40.351351351351354</v>
      </c>
      <c r="J11" s="42">
        <v>6.675675675675675</v>
      </c>
      <c r="K11" s="70">
        <v>2255700.0</v>
      </c>
      <c r="L11" s="71">
        <f t="shared" si="1"/>
        <v>19.79985237</v>
      </c>
    </row>
    <row r="12">
      <c r="A12" s="46" t="s">
        <v>74</v>
      </c>
      <c r="B12" s="72">
        <v>286.0</v>
      </c>
      <c r="C12" s="47">
        <v>2.67096506E8</v>
      </c>
      <c r="D12" s="47">
        <v>1.0254924995E8</v>
      </c>
      <c r="E12" s="47">
        <v>38.394081407414596</v>
      </c>
      <c r="F12" s="72">
        <v>160.0</v>
      </c>
      <c r="G12" s="48">
        <v>0.5594405594405595</v>
      </c>
      <c r="H12" s="47">
        <v>10.8875</v>
      </c>
      <c r="I12" s="47">
        <v>45.17832167832168</v>
      </c>
      <c r="J12" s="47">
        <v>10.855123674911662</v>
      </c>
      <c r="K12" s="73">
        <v>1.69109E7</v>
      </c>
      <c r="L12" s="74">
        <f t="shared" si="1"/>
        <v>15.7943401</v>
      </c>
    </row>
    <row r="13">
      <c r="A13" s="16"/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</row>
    <row r="14">
      <c r="A14" s="16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</row>
    <row r="15">
      <c r="A15" s="16"/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</row>
    <row r="16">
      <c r="A16" s="16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</row>
    <row r="17">
      <c r="A17" s="16"/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</row>
    <row r="18">
      <c r="A18" s="16"/>
      <c r="B18" s="16"/>
      <c r="C18" s="16"/>
      <c r="D18" s="16"/>
      <c r="E18" s="16"/>
      <c r="F18" s="16"/>
      <c r="G18" s="16"/>
      <c r="H18" s="16"/>
      <c r="I18" s="67"/>
      <c r="J18" s="67"/>
      <c r="K18" s="67"/>
      <c r="L18" s="67"/>
    </row>
    <row r="19">
      <c r="A19" s="62" t="s">
        <v>8</v>
      </c>
      <c r="B19" s="39" t="s">
        <v>105</v>
      </c>
      <c r="C19" s="39" t="s">
        <v>70</v>
      </c>
      <c r="D19" s="39" t="s">
        <v>106</v>
      </c>
      <c r="E19" s="39" t="s">
        <v>76</v>
      </c>
      <c r="F19" s="39" t="s">
        <v>107</v>
      </c>
      <c r="G19" s="39" t="s">
        <v>108</v>
      </c>
      <c r="H19" s="39" t="s">
        <v>81</v>
      </c>
      <c r="I19" s="39" t="s">
        <v>110</v>
      </c>
      <c r="J19" s="39" t="s">
        <v>111</v>
      </c>
      <c r="K19" s="40" t="s">
        <v>112</v>
      </c>
      <c r="L19" s="68" t="s">
        <v>113</v>
      </c>
    </row>
    <row r="20">
      <c r="A20" s="55" t="s">
        <v>101</v>
      </c>
      <c r="B20" s="69">
        <v>45.0</v>
      </c>
      <c r="C20" s="42">
        <v>1.8865695E7</v>
      </c>
      <c r="D20" s="42">
        <v>8448.29</v>
      </c>
      <c r="E20" s="42">
        <v>0.04478122857387443</v>
      </c>
      <c r="F20" s="69">
        <v>1.0</v>
      </c>
      <c r="G20" s="43">
        <v>0.022222222222222223</v>
      </c>
      <c r="H20" s="42">
        <v>5.0</v>
      </c>
      <c r="I20" s="42">
        <v>35.2</v>
      </c>
      <c r="J20" s="42">
        <v>0.0</v>
      </c>
      <c r="K20" s="70">
        <v>3551500.0</v>
      </c>
      <c r="L20" s="71">
        <f t="shared" ref="L20:L24" si="2">C20/K20</f>
        <v>5.31203576</v>
      </c>
    </row>
    <row r="21">
      <c r="A21" s="55" t="s">
        <v>95</v>
      </c>
      <c r="B21" s="69">
        <v>234.0</v>
      </c>
      <c r="C21" s="42">
        <v>2.00764649E8</v>
      </c>
      <c r="D21" s="42">
        <v>7.779684807000001E7</v>
      </c>
      <c r="E21" s="42">
        <v>38.75027225037014</v>
      </c>
      <c r="F21" s="69">
        <v>154.0</v>
      </c>
      <c r="G21" s="43">
        <v>0.6581196581196581</v>
      </c>
      <c r="H21" s="42">
        <v>10.37012987012987</v>
      </c>
      <c r="I21" s="42">
        <v>46.6965811965812</v>
      </c>
      <c r="J21" s="42">
        <v>12.255411255411255</v>
      </c>
      <c r="K21" s="70">
        <v>7268800.0</v>
      </c>
      <c r="L21" s="71">
        <f t="shared" si="2"/>
        <v>27.62005407</v>
      </c>
    </row>
    <row r="22">
      <c r="A22" s="55" t="s">
        <v>96</v>
      </c>
      <c r="B22" s="69">
        <v>2.0</v>
      </c>
      <c r="C22" s="42">
        <v>4.4997213E7</v>
      </c>
      <c r="D22" s="42">
        <v>2.3E7</v>
      </c>
      <c r="E22" s="42">
        <v>51.114276788653555</v>
      </c>
      <c r="F22" s="69">
        <v>1.0</v>
      </c>
      <c r="G22" s="43">
        <v>0.5</v>
      </c>
      <c r="H22" s="42">
        <v>16.0</v>
      </c>
      <c r="I22" s="42">
        <v>63.0</v>
      </c>
      <c r="J22" s="42">
        <v>36.0</v>
      </c>
      <c r="K22" s="70">
        <v>5947000.0</v>
      </c>
      <c r="L22" s="71">
        <f t="shared" si="2"/>
        <v>7.566371784</v>
      </c>
    </row>
    <row r="23">
      <c r="A23" s="55" t="s">
        <v>97</v>
      </c>
      <c r="B23" s="69">
        <v>5.0</v>
      </c>
      <c r="C23" s="42">
        <v>2468949.0</v>
      </c>
      <c r="D23" s="42">
        <v>1743953.59</v>
      </c>
      <c r="E23" s="42">
        <v>70.6354643210532</v>
      </c>
      <c r="F23" s="69">
        <v>4.0</v>
      </c>
      <c r="G23" s="43">
        <v>0.8</v>
      </c>
      <c r="H23" s="42">
        <v>31.0</v>
      </c>
      <c r="I23" s="42">
        <v>56.8</v>
      </c>
      <c r="J23" s="42">
        <v>33.8</v>
      </c>
      <c r="K23" s="70">
        <v>143600.0</v>
      </c>
      <c r="L23" s="71">
        <f t="shared" si="2"/>
        <v>17.19323816</v>
      </c>
    </row>
    <row r="24">
      <c r="A24" s="46" t="s">
        <v>74</v>
      </c>
      <c r="B24" s="72">
        <v>286.0</v>
      </c>
      <c r="C24" s="47">
        <v>2.67096506E8</v>
      </c>
      <c r="D24" s="47">
        <v>1.0254924995E8</v>
      </c>
      <c r="E24" s="47">
        <v>38.394081407414596</v>
      </c>
      <c r="F24" s="72">
        <v>160.0</v>
      </c>
      <c r="G24" s="48">
        <v>0.5594405594405595</v>
      </c>
      <c r="H24" s="47">
        <v>10.8875</v>
      </c>
      <c r="I24" s="47">
        <v>45.17832167832168</v>
      </c>
      <c r="J24" s="47">
        <v>10.855123674911662</v>
      </c>
      <c r="K24" s="73">
        <v>1.69109E7</v>
      </c>
      <c r="L24" s="74">
        <f t="shared" si="2"/>
        <v>15.7943401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6" t="s">
        <v>114</v>
      </c>
      <c r="B1" s="16"/>
      <c r="C1" s="16"/>
      <c r="D1" s="16"/>
      <c r="E1" s="16"/>
      <c r="F1" s="16"/>
      <c r="G1" s="16"/>
      <c r="H1" s="16"/>
      <c r="I1" s="16"/>
      <c r="J1" s="16"/>
    </row>
    <row r="2">
      <c r="A2" s="16"/>
      <c r="B2" s="16"/>
      <c r="C2" s="16"/>
      <c r="D2" s="16"/>
      <c r="E2" s="16"/>
      <c r="F2" s="16"/>
      <c r="G2" s="16"/>
      <c r="H2" s="16"/>
      <c r="I2" s="16"/>
      <c r="J2" s="16"/>
    </row>
    <row r="3">
      <c r="A3" s="16"/>
      <c r="B3" s="16"/>
      <c r="C3" s="16"/>
      <c r="D3" s="16"/>
      <c r="E3" s="16"/>
      <c r="F3" s="16"/>
      <c r="G3" s="16"/>
      <c r="H3" s="16"/>
      <c r="I3" s="16"/>
      <c r="J3" s="16"/>
    </row>
    <row r="4">
      <c r="A4" s="16"/>
      <c r="B4" s="16"/>
      <c r="C4" s="16"/>
      <c r="D4" s="16"/>
      <c r="E4" s="16"/>
      <c r="F4" s="16"/>
      <c r="G4" s="16"/>
      <c r="H4" s="16"/>
      <c r="I4" s="16"/>
      <c r="J4" s="16"/>
    </row>
    <row r="5">
      <c r="A5" s="16"/>
      <c r="B5" s="16"/>
      <c r="C5" s="16"/>
      <c r="D5" s="16"/>
      <c r="E5" s="16"/>
      <c r="F5" s="16"/>
      <c r="G5" s="16"/>
      <c r="H5" s="16"/>
      <c r="I5" s="16"/>
      <c r="J5" s="16"/>
    </row>
    <row r="6">
      <c r="A6" s="16"/>
      <c r="B6" s="16"/>
      <c r="C6" s="16"/>
      <c r="D6" s="16"/>
      <c r="E6" s="16"/>
      <c r="F6" s="16"/>
      <c r="G6" s="16"/>
      <c r="H6" s="16"/>
      <c r="I6" s="67"/>
      <c r="J6" s="67"/>
    </row>
    <row r="7">
      <c r="A7" s="53" t="s">
        <v>5</v>
      </c>
      <c r="B7" s="39" t="s">
        <v>105</v>
      </c>
      <c r="C7" s="39" t="s">
        <v>70</v>
      </c>
      <c r="D7" s="39" t="s">
        <v>106</v>
      </c>
      <c r="E7" s="39" t="s">
        <v>76</v>
      </c>
      <c r="F7" s="39" t="s">
        <v>107</v>
      </c>
      <c r="G7" s="39" t="s">
        <v>108</v>
      </c>
      <c r="H7" s="39" t="s">
        <v>81</v>
      </c>
      <c r="I7" s="39" t="s">
        <v>110</v>
      </c>
      <c r="J7" s="39" t="s">
        <v>111</v>
      </c>
    </row>
    <row r="8">
      <c r="A8" s="55" t="s">
        <v>60</v>
      </c>
      <c r="B8" s="69">
        <v>115.0</v>
      </c>
      <c r="C8" s="42">
        <v>1.502603E7</v>
      </c>
      <c r="D8" s="42">
        <v>1870084.3199999996</v>
      </c>
      <c r="E8" s="42">
        <v>12.44563148083692</v>
      </c>
      <c r="F8" s="69">
        <v>30.0</v>
      </c>
      <c r="G8" s="43">
        <v>0.2608695652173913</v>
      </c>
      <c r="H8" s="42">
        <v>12.7</v>
      </c>
      <c r="I8" s="42">
        <v>34.95652173913044</v>
      </c>
      <c r="J8" s="42">
        <v>3.1913043478260867</v>
      </c>
    </row>
    <row r="9">
      <c r="A9" s="55" t="s">
        <v>84</v>
      </c>
      <c r="B9" s="69">
        <v>125.0</v>
      </c>
      <c r="C9" s="42">
        <v>3.2535239E7</v>
      </c>
      <c r="D9" s="42">
        <v>8243460.880000002</v>
      </c>
      <c r="E9" s="42">
        <v>25.33702266640796</v>
      </c>
      <c r="F9" s="69">
        <v>70.0</v>
      </c>
      <c r="G9" s="43">
        <v>0.56</v>
      </c>
      <c r="H9" s="42">
        <v>16.87142857142857</v>
      </c>
      <c r="I9" s="42">
        <v>43.512</v>
      </c>
      <c r="J9" s="42">
        <v>8.304</v>
      </c>
    </row>
    <row r="10">
      <c r="A10" s="55" t="s">
        <v>85</v>
      </c>
      <c r="B10" s="69">
        <v>24.0</v>
      </c>
      <c r="C10" s="42">
        <v>3588673.0</v>
      </c>
      <c r="D10" s="42">
        <v>740838.9</v>
      </c>
      <c r="E10" s="42">
        <v>20.64381179338435</v>
      </c>
      <c r="F10" s="69">
        <v>14.0</v>
      </c>
      <c r="G10" s="43">
        <v>0.5833333333333334</v>
      </c>
      <c r="H10" s="42">
        <v>7.571428571428571</v>
      </c>
      <c r="I10" s="42">
        <v>34.416666666666664</v>
      </c>
      <c r="J10" s="42">
        <v>3.2916666666666665</v>
      </c>
    </row>
    <row r="11">
      <c r="A11" s="55" t="s">
        <v>88</v>
      </c>
      <c r="B11" s="69">
        <v>5.0</v>
      </c>
      <c r="C11" s="42">
        <v>1.14246E7</v>
      </c>
      <c r="D11" s="42">
        <v>66498.76999999999</v>
      </c>
      <c r="E11" s="42">
        <v>0.5820665056106997</v>
      </c>
      <c r="F11" s="69">
        <v>1.0</v>
      </c>
      <c r="G11" s="43">
        <v>0.2</v>
      </c>
      <c r="H11" s="42">
        <v>8.0</v>
      </c>
      <c r="I11" s="42">
        <v>14.4</v>
      </c>
      <c r="J11" s="42">
        <v>0.0</v>
      </c>
    </row>
    <row r="12">
      <c r="A12" s="55" t="s">
        <v>86</v>
      </c>
      <c r="B12" s="69">
        <v>95.0</v>
      </c>
      <c r="C12" s="42">
        <v>1.7250168E7</v>
      </c>
      <c r="D12" s="42">
        <v>4010156.620000001</v>
      </c>
      <c r="E12" s="42">
        <v>23.247058347489723</v>
      </c>
      <c r="F12" s="69">
        <v>30.0</v>
      </c>
      <c r="G12" s="43">
        <v>0.3157894736842105</v>
      </c>
      <c r="H12" s="42">
        <v>15.433333333333334</v>
      </c>
      <c r="I12" s="42">
        <v>40.95789473684211</v>
      </c>
      <c r="J12" s="42">
        <v>9.263157894736842</v>
      </c>
    </row>
    <row r="13">
      <c r="A13" s="46" t="s">
        <v>74</v>
      </c>
      <c r="B13" s="72">
        <v>364.0</v>
      </c>
      <c r="C13" s="47">
        <v>7.982471E7</v>
      </c>
      <c r="D13" s="47">
        <v>1.4931039489999998E7</v>
      </c>
      <c r="E13" s="47">
        <v>18.70478388208363</v>
      </c>
      <c r="F13" s="72">
        <v>145.0</v>
      </c>
      <c r="G13" s="48">
        <v>0.3983516483516483</v>
      </c>
      <c r="H13" s="47">
        <v>14.751724137931035</v>
      </c>
      <c r="I13" s="47">
        <v>39.142857142857146</v>
      </c>
      <c r="J13" s="47">
        <v>6.4945054945054945</v>
      </c>
    </row>
    <row r="14">
      <c r="A14" s="16"/>
      <c r="B14" s="16"/>
      <c r="C14" s="16"/>
      <c r="D14" s="16"/>
      <c r="E14" s="16"/>
      <c r="F14" s="16"/>
      <c r="G14" s="16"/>
      <c r="H14" s="16"/>
      <c r="I14" s="16"/>
      <c r="J14" s="16"/>
    </row>
    <row r="15">
      <c r="A15" s="16"/>
      <c r="B15" s="16"/>
      <c r="C15" s="16"/>
      <c r="D15" s="16"/>
      <c r="E15" s="16"/>
      <c r="F15" s="16"/>
      <c r="G15" s="16"/>
      <c r="H15" s="16"/>
      <c r="I15" s="16"/>
      <c r="J15" s="16"/>
    </row>
    <row r="16">
      <c r="A16" s="16"/>
      <c r="B16" s="16"/>
      <c r="C16" s="16"/>
      <c r="D16" s="16"/>
      <c r="E16" s="16"/>
      <c r="F16" s="16"/>
      <c r="G16" s="16"/>
      <c r="H16" s="16"/>
      <c r="I16" s="16"/>
      <c r="J16" s="16"/>
    </row>
    <row r="17">
      <c r="A17" s="16"/>
      <c r="B17" s="16"/>
      <c r="C17" s="16"/>
      <c r="D17" s="16"/>
      <c r="E17" s="16"/>
      <c r="F17" s="16"/>
      <c r="G17" s="16"/>
      <c r="H17" s="16"/>
      <c r="I17" s="16"/>
      <c r="J17" s="16"/>
    </row>
    <row r="18">
      <c r="A18" s="16"/>
      <c r="B18" s="16"/>
      <c r="C18" s="16"/>
      <c r="D18" s="16"/>
      <c r="E18" s="16"/>
      <c r="F18" s="16"/>
      <c r="G18" s="16"/>
      <c r="H18" s="16"/>
      <c r="I18" s="67"/>
      <c r="J18" s="67"/>
    </row>
    <row r="19">
      <c r="A19" s="62" t="s">
        <v>8</v>
      </c>
      <c r="B19" s="39" t="s">
        <v>105</v>
      </c>
      <c r="C19" s="39" t="s">
        <v>70</v>
      </c>
      <c r="D19" s="39" t="s">
        <v>106</v>
      </c>
      <c r="E19" s="39" t="s">
        <v>76</v>
      </c>
      <c r="F19" s="39" t="s">
        <v>107</v>
      </c>
      <c r="G19" s="39" t="s">
        <v>108</v>
      </c>
      <c r="H19" s="39" t="s">
        <v>81</v>
      </c>
      <c r="I19" s="39" t="s">
        <v>110</v>
      </c>
      <c r="J19" s="39" t="s">
        <v>111</v>
      </c>
    </row>
    <row r="20">
      <c r="A20" s="55" t="s">
        <v>115</v>
      </c>
      <c r="B20" s="69">
        <v>42.0</v>
      </c>
      <c r="C20" s="42">
        <v>5302365.0</v>
      </c>
      <c r="D20" s="42">
        <v>24313.300000000003</v>
      </c>
      <c r="E20" s="42">
        <v>0.45853689815770887</v>
      </c>
      <c r="F20" s="69">
        <v>3.0</v>
      </c>
      <c r="G20" s="43">
        <v>0.07142857142857142</v>
      </c>
      <c r="H20" s="42">
        <v>3.6666666666666665</v>
      </c>
      <c r="I20" s="42">
        <v>34.642857142857146</v>
      </c>
      <c r="J20" s="42">
        <v>0.2857142857142857</v>
      </c>
    </row>
    <row r="21">
      <c r="A21" s="55" t="s">
        <v>101</v>
      </c>
      <c r="B21" s="69">
        <v>18.0</v>
      </c>
      <c r="C21" s="42">
        <v>1391715.0</v>
      </c>
      <c r="D21" s="42">
        <v>0.0</v>
      </c>
      <c r="E21" s="42">
        <v>0.0</v>
      </c>
      <c r="F21" s="69">
        <v>0.0</v>
      </c>
      <c r="G21" s="43">
        <v>0.0</v>
      </c>
      <c r="H21" s="75" t="e">
        <v>#DIV/0!</v>
      </c>
      <c r="I21" s="42">
        <v>36.666666666666664</v>
      </c>
      <c r="J21" s="42">
        <v>0.0</v>
      </c>
    </row>
    <row r="22">
      <c r="A22" s="55" t="s">
        <v>95</v>
      </c>
      <c r="B22" s="69">
        <v>155.0</v>
      </c>
      <c r="C22" s="42">
        <v>2.9936792E7</v>
      </c>
      <c r="D22" s="42">
        <v>1.0245471999999998E7</v>
      </c>
      <c r="E22" s="42">
        <v>34.22368034624417</v>
      </c>
      <c r="F22" s="69">
        <v>79.0</v>
      </c>
      <c r="G22" s="43">
        <v>0.5096774193548387</v>
      </c>
      <c r="H22" s="42">
        <v>17.455696202531644</v>
      </c>
      <c r="I22" s="42">
        <v>43.76129032258064</v>
      </c>
      <c r="J22" s="42">
        <v>9.270967741935484</v>
      </c>
    </row>
    <row r="23">
      <c r="A23" s="55" t="s">
        <v>96</v>
      </c>
      <c r="B23" s="69">
        <v>1.0</v>
      </c>
      <c r="C23" s="42">
        <v>50000.0</v>
      </c>
      <c r="D23" s="42">
        <v>0.0</v>
      </c>
      <c r="E23" s="42">
        <v>0.0</v>
      </c>
      <c r="F23" s="69">
        <v>0.0</v>
      </c>
      <c r="G23" s="43">
        <v>0.0</v>
      </c>
      <c r="H23" s="75" t="e">
        <v>#DIV/0!</v>
      </c>
      <c r="I23" s="42">
        <v>12.0</v>
      </c>
      <c r="J23" s="42">
        <v>0.0</v>
      </c>
    </row>
    <row r="24">
      <c r="A24" s="55" t="s">
        <v>98</v>
      </c>
      <c r="B24" s="69">
        <v>148.0</v>
      </c>
      <c r="C24" s="42">
        <v>4.3143838E7</v>
      </c>
      <c r="D24" s="42">
        <v>4661254.1899999995</v>
      </c>
      <c r="E24" s="42">
        <v>10.803985936531655</v>
      </c>
      <c r="F24" s="69">
        <v>63.0</v>
      </c>
      <c r="G24" s="43">
        <v>0.42567567567567566</v>
      </c>
      <c r="H24" s="42">
        <v>11.88888888888889</v>
      </c>
      <c r="I24" s="42">
        <v>36.067567567567565</v>
      </c>
      <c r="J24" s="42">
        <v>6.1824324324324325</v>
      </c>
    </row>
    <row r="25">
      <c r="A25" s="46" t="s">
        <v>74</v>
      </c>
      <c r="B25" s="72">
        <v>364.0</v>
      </c>
      <c r="C25" s="47">
        <v>7.982471E7</v>
      </c>
      <c r="D25" s="47">
        <v>1.4931039489999998E7</v>
      </c>
      <c r="E25" s="47">
        <v>18.70478388208363</v>
      </c>
      <c r="F25" s="72">
        <v>145.0</v>
      </c>
      <c r="G25" s="48">
        <v>0.3983516483516483</v>
      </c>
      <c r="H25" s="47">
        <v>14.751724137931035</v>
      </c>
      <c r="I25" s="47">
        <v>39.142857142857146</v>
      </c>
      <c r="J25" s="47">
        <v>6.4945054945054945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6" t="s">
        <v>116</v>
      </c>
      <c r="B1" s="16"/>
      <c r="C1" s="16"/>
      <c r="D1" s="16"/>
      <c r="E1" s="16"/>
      <c r="F1" s="16"/>
      <c r="G1" s="16"/>
      <c r="H1" s="16"/>
    </row>
    <row r="2">
      <c r="A2" s="16"/>
      <c r="B2" s="16"/>
      <c r="C2" s="16"/>
      <c r="D2" s="16"/>
      <c r="E2" s="16"/>
      <c r="F2" s="16"/>
      <c r="G2" s="16"/>
      <c r="H2" s="16"/>
    </row>
    <row r="3">
      <c r="A3" s="16"/>
      <c r="B3" s="16"/>
      <c r="C3" s="16"/>
      <c r="D3" s="16"/>
      <c r="E3" s="16"/>
      <c r="F3" s="16"/>
      <c r="G3" s="16"/>
      <c r="H3" s="16"/>
    </row>
    <row r="4">
      <c r="A4" s="16"/>
      <c r="B4" s="16"/>
      <c r="C4" s="16"/>
      <c r="D4" s="16"/>
      <c r="E4" s="16"/>
      <c r="F4" s="16"/>
      <c r="G4" s="16"/>
      <c r="H4" s="16"/>
    </row>
    <row r="5">
      <c r="A5" s="16"/>
      <c r="B5" s="16"/>
      <c r="C5" s="16"/>
      <c r="D5" s="16"/>
      <c r="E5" s="16"/>
      <c r="F5" s="16"/>
      <c r="G5" s="16"/>
      <c r="H5" s="16"/>
    </row>
    <row r="6">
      <c r="A6" s="16"/>
      <c r="B6" s="16"/>
      <c r="C6" s="16"/>
      <c r="D6" s="16"/>
      <c r="E6" s="16"/>
      <c r="F6" s="16"/>
      <c r="G6" s="16"/>
      <c r="H6" s="16"/>
    </row>
    <row r="7">
      <c r="A7" s="53" t="s">
        <v>5</v>
      </c>
      <c r="B7" s="39" t="s">
        <v>117</v>
      </c>
      <c r="C7" s="39" t="s">
        <v>70</v>
      </c>
      <c r="D7" s="39" t="s">
        <v>118</v>
      </c>
      <c r="E7" s="39" t="s">
        <v>76</v>
      </c>
      <c r="F7" s="39" t="s">
        <v>81</v>
      </c>
      <c r="G7" s="39" t="s">
        <v>119</v>
      </c>
      <c r="H7" s="39" t="s">
        <v>111</v>
      </c>
    </row>
    <row r="8">
      <c r="A8" s="55" t="s">
        <v>60</v>
      </c>
      <c r="B8" s="69">
        <v>92.0</v>
      </c>
      <c r="C8" s="42">
        <v>7286000.0</v>
      </c>
      <c r="D8" s="42">
        <v>1619965.4446292473</v>
      </c>
      <c r="E8" s="42">
        <v>22.233947908718736</v>
      </c>
      <c r="F8" s="42">
        <v>13.114754098360656</v>
      </c>
      <c r="G8" s="42">
        <v>33.369565217391305</v>
      </c>
      <c r="H8" s="42">
        <v>9.304347826086957</v>
      </c>
    </row>
    <row r="9">
      <c r="A9" s="55" t="s">
        <v>84</v>
      </c>
      <c r="B9" s="69">
        <v>47.0</v>
      </c>
      <c r="C9" s="42">
        <v>4284000.0</v>
      </c>
      <c r="D9" s="42">
        <v>900298.56</v>
      </c>
      <c r="E9" s="42">
        <v>21.01537254901961</v>
      </c>
      <c r="F9" s="42">
        <v>11.26086956521739</v>
      </c>
      <c r="G9" s="42">
        <v>32.276595744680854</v>
      </c>
      <c r="H9" s="42">
        <v>8.191489361702128</v>
      </c>
    </row>
    <row r="10">
      <c r="A10" s="55" t="s">
        <v>85</v>
      </c>
      <c r="B10" s="69">
        <v>19.0</v>
      </c>
      <c r="C10" s="42">
        <v>1665000.0</v>
      </c>
      <c r="D10" s="42">
        <v>423897.75000000006</v>
      </c>
      <c r="E10" s="42">
        <v>25.459324324324328</v>
      </c>
      <c r="F10" s="42">
        <v>6.0</v>
      </c>
      <c r="G10" s="42">
        <v>26.894736842105264</v>
      </c>
      <c r="H10" s="42">
        <v>2.6842105263157894</v>
      </c>
    </row>
    <row r="11">
      <c r="A11" s="55" t="s">
        <v>86</v>
      </c>
      <c r="B11" s="69">
        <v>51.0</v>
      </c>
      <c r="C11" s="42">
        <v>4810000.0</v>
      </c>
      <c r="D11" s="42">
        <v>1359127.7700000003</v>
      </c>
      <c r="E11" s="42">
        <v>28.2562945945946</v>
      </c>
      <c r="F11" s="42">
        <v>8.227272727272727</v>
      </c>
      <c r="G11" s="42">
        <v>29.352941176470587</v>
      </c>
      <c r="H11" s="42">
        <v>5.333333333333333</v>
      </c>
    </row>
    <row r="12">
      <c r="A12" s="46" t="s">
        <v>74</v>
      </c>
      <c r="B12" s="72">
        <v>209.0</v>
      </c>
      <c r="C12" s="47">
        <v>1.8045E7</v>
      </c>
      <c r="D12" s="47">
        <v>4303289.524629246</v>
      </c>
      <c r="E12" s="47">
        <v>23.847545162811006</v>
      </c>
      <c r="F12" s="47">
        <v>11.252173913043478</v>
      </c>
      <c r="G12" s="47">
        <v>31.555023923444978</v>
      </c>
      <c r="H12" s="47">
        <v>7.483253588516747</v>
      </c>
    </row>
    <row r="13">
      <c r="A13" s="16"/>
      <c r="B13" s="16"/>
      <c r="C13" s="16"/>
      <c r="D13" s="16"/>
      <c r="E13" s="16"/>
      <c r="F13" s="16"/>
      <c r="G13" s="16"/>
      <c r="H13" s="16"/>
    </row>
    <row r="14">
      <c r="A14" s="16"/>
      <c r="B14" s="16"/>
      <c r="C14" s="16"/>
      <c r="D14" s="16"/>
      <c r="E14" s="16"/>
      <c r="F14" s="16"/>
      <c r="G14" s="16"/>
      <c r="H14" s="16"/>
    </row>
    <row r="15">
      <c r="A15" s="16"/>
      <c r="B15" s="16"/>
      <c r="C15" s="16"/>
      <c r="D15" s="16"/>
      <c r="E15" s="16"/>
      <c r="F15" s="16"/>
      <c r="G15" s="16"/>
      <c r="H15" s="16"/>
    </row>
    <row r="16">
      <c r="A16" s="16"/>
      <c r="B16" s="16"/>
      <c r="C16" s="16"/>
      <c r="D16" s="16"/>
      <c r="E16" s="16"/>
      <c r="F16" s="16"/>
      <c r="G16" s="16"/>
      <c r="H16" s="16"/>
    </row>
    <row r="17">
      <c r="A17" s="16"/>
      <c r="B17" s="16"/>
      <c r="C17" s="16"/>
      <c r="D17" s="16"/>
      <c r="E17" s="16"/>
      <c r="F17" s="16"/>
      <c r="G17" s="16"/>
      <c r="H17" s="16"/>
    </row>
    <row r="18">
      <c r="A18" s="16"/>
      <c r="B18" s="16"/>
      <c r="C18" s="16"/>
      <c r="D18" s="16"/>
      <c r="E18" s="16"/>
      <c r="F18" s="16"/>
      <c r="G18" s="16"/>
      <c r="H18" s="16"/>
    </row>
    <row r="19">
      <c r="A19" s="62" t="s">
        <v>8</v>
      </c>
      <c r="B19" s="39" t="s">
        <v>117</v>
      </c>
      <c r="C19" s="39" t="s">
        <v>70</v>
      </c>
      <c r="D19" s="39" t="s">
        <v>118</v>
      </c>
      <c r="E19" s="39" t="s">
        <v>76</v>
      </c>
      <c r="F19" s="39" t="s">
        <v>81</v>
      </c>
      <c r="G19" s="39" t="s">
        <v>119</v>
      </c>
      <c r="H19" s="39" t="s">
        <v>111</v>
      </c>
    </row>
    <row r="20">
      <c r="A20" s="55" t="s">
        <v>89</v>
      </c>
      <c r="B20" s="69">
        <v>37.0</v>
      </c>
      <c r="C20" s="42">
        <v>2950000.0</v>
      </c>
      <c r="D20" s="42">
        <v>0.0</v>
      </c>
      <c r="E20" s="42">
        <v>0.0</v>
      </c>
      <c r="F20" s="75" t="e">
        <v>#DIV/0!</v>
      </c>
      <c r="G20" s="42">
        <v>24.0</v>
      </c>
      <c r="H20" s="42">
        <v>0.0</v>
      </c>
    </row>
    <row r="21">
      <c r="A21" s="55" t="s">
        <v>115</v>
      </c>
      <c r="B21" s="69">
        <v>5.0</v>
      </c>
      <c r="C21" s="42">
        <v>150000.0</v>
      </c>
      <c r="D21" s="42">
        <v>0.0</v>
      </c>
      <c r="E21" s="42">
        <v>0.0</v>
      </c>
      <c r="F21" s="75" t="e">
        <v>#DIV/0!</v>
      </c>
      <c r="G21" s="42">
        <v>19.4</v>
      </c>
      <c r="H21" s="42">
        <v>1.4</v>
      </c>
    </row>
    <row r="22">
      <c r="A22" s="55" t="s">
        <v>90</v>
      </c>
      <c r="B22" s="69">
        <v>1.0</v>
      </c>
      <c r="C22" s="42">
        <v>80000.0</v>
      </c>
      <c r="D22" s="42">
        <v>10469.380000000001</v>
      </c>
      <c r="E22" s="42">
        <v>13.086725000000001</v>
      </c>
      <c r="F22" s="42">
        <v>8.0</v>
      </c>
      <c r="G22" s="42">
        <v>24.0</v>
      </c>
      <c r="H22" s="42">
        <v>0.0</v>
      </c>
    </row>
    <row r="23">
      <c r="A23" s="55" t="s">
        <v>101</v>
      </c>
      <c r="B23" s="69">
        <v>127.0</v>
      </c>
      <c r="C23" s="42">
        <v>1.338E7</v>
      </c>
      <c r="D23" s="42">
        <v>3763304.984629247</v>
      </c>
      <c r="E23" s="42">
        <v>28.126345176601248</v>
      </c>
      <c r="F23" s="42">
        <v>9.55056179775281</v>
      </c>
      <c r="G23" s="42">
        <v>30.511811023622048</v>
      </c>
      <c r="H23" s="42">
        <v>6.15748031496063</v>
      </c>
    </row>
    <row r="24">
      <c r="A24" s="55" t="s">
        <v>95</v>
      </c>
      <c r="B24" s="69">
        <v>37.0</v>
      </c>
      <c r="C24" s="42">
        <v>1305000.0</v>
      </c>
      <c r="D24" s="42">
        <v>422855.17999999993</v>
      </c>
      <c r="E24" s="42">
        <v>32.40269578544061</v>
      </c>
      <c r="F24" s="42">
        <v>18.47826086956522</v>
      </c>
      <c r="G24" s="42">
        <v>44.432432432432435</v>
      </c>
      <c r="H24" s="42">
        <v>20.43243243243243</v>
      </c>
    </row>
    <row r="25">
      <c r="A25" s="55" t="s">
        <v>97</v>
      </c>
      <c r="B25" s="69">
        <v>2.0</v>
      </c>
      <c r="C25" s="42">
        <v>180000.0</v>
      </c>
      <c r="D25" s="42">
        <v>106659.98000000001</v>
      </c>
      <c r="E25" s="42">
        <v>59.25554444444445</v>
      </c>
      <c r="F25" s="42">
        <v>5.5</v>
      </c>
      <c r="G25" s="42">
        <v>33.5</v>
      </c>
      <c r="H25" s="42">
        <v>9.5</v>
      </c>
    </row>
    <row r="26">
      <c r="A26" s="46" t="s">
        <v>74</v>
      </c>
      <c r="B26" s="72">
        <v>209.0</v>
      </c>
      <c r="C26" s="47">
        <v>1.8045E7</v>
      </c>
      <c r="D26" s="47">
        <v>4303289.524629246</v>
      </c>
      <c r="E26" s="47">
        <v>23.847545162811006</v>
      </c>
      <c r="F26" s="47">
        <v>11.252173913043478</v>
      </c>
      <c r="G26" s="47">
        <v>31.555023923444978</v>
      </c>
      <c r="H26" s="47">
        <v>7.483253588516747</v>
      </c>
    </row>
    <row r="27">
      <c r="A27" s="16"/>
      <c r="B27" s="16"/>
      <c r="C27" s="16"/>
      <c r="D27" s="16"/>
      <c r="E27" s="16"/>
      <c r="F27" s="16"/>
      <c r="G27" s="16"/>
      <c r="H27" s="16"/>
    </row>
  </sheetData>
  <drawing r:id="rId1"/>
</worksheet>
</file>