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.1 Summary Data " sheetId="1" state="visible" r:id="rId3"/>
    <sheet name="I.2 Summary data by cluster" sheetId="2" state="visible" r:id="rId4"/>
    <sheet name="Project completion_Rep year" sheetId="3" state="visible" r:id="rId5"/>
    <sheet name="Annex I (a)" sheetId="4" state="visible" r:id="rId6"/>
    <sheet name="Annex I (b)" sheetId="5" state="visible" r:id="rId7"/>
    <sheet name="Annex I (c)" sheetId="6" state="visible" r:id="rId8"/>
    <sheet name="Annex I (d)" sheetId="7" state="visible" r:id="rId9"/>
    <sheet name="Annex I (e)" sheetId="8" state="visible" r:id="rId10"/>
    <sheet name="Annex I (f)" sheetId="9" state="visible" r:id="rId11"/>
    <sheet name="Annex I (g)" sheetId="10" state="visible" r:id="rId12"/>
  </sheets>
  <definedNames>
    <definedName function="false" hidden="false" name="DATABASE_" vbProcedure="false">#ref!</definedName>
    <definedName function="false" hidden="false" name="fgdhdh" vbProcedure="false">[1]database!#ref!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<sst xmlns="http://schemas.openxmlformats.org/spreadsheetml/2006/main" count="217" uniqueCount="100">
  <si>
    <t xml:space="preserve">I.1 Summary data</t>
  </si>
  <si>
    <t xml:space="preserve">Items </t>
  </si>
  <si>
    <t xml:space="preserve">Cumulative since 1991*</t>
  </si>
  <si>
    <t xml:space="preserve">Number of Approvals </t>
  </si>
  <si>
    <t xml:space="preserve">Number of completed </t>
  </si>
  <si>
    <t xml:space="preserve">Total funds approved (US$)</t>
  </si>
  <si>
    <t xml:space="preserve">Total funds disbursed (US$)</t>
  </si>
  <si>
    <t xml:space="preserve">Total approved phase-out (ODP tonnes)**</t>
  </si>
  <si>
    <t xml:space="preserve">Total actual phase-out (ODP tonnes)**</t>
  </si>
  <si>
    <t xml:space="preserve">Total approved phase-out (metric tonnes)***</t>
  </si>
  <si>
    <t xml:space="preserve">Total actual phase-out (metric tonnes)***</t>
  </si>
  <si>
    <r>
      <rPr>
        <sz val="10"/>
        <rFont val="Arial"/>
        <family val="2"/>
        <charset val="1"/>
      </rPr>
      <t xml:space="preserve">Total approved phase-out (CO</t>
    </r>
    <r>
      <rPr>
        <vertAlign val="subscript"/>
        <sz val="11"/>
        <rFont val="Times New Roman"/>
        <family val="1"/>
        <charset val="1"/>
      </rPr>
      <t xml:space="preserve">2</t>
    </r>
    <r>
      <rPr>
        <sz val="11"/>
        <rFont val="Times New Roman"/>
        <family val="1"/>
        <charset val="1"/>
      </rPr>
      <t xml:space="preserve">-eq tonnes)***</t>
    </r>
  </si>
  <si>
    <r>
      <rPr>
        <sz val="10"/>
        <rFont val="Arial"/>
        <family val="2"/>
        <charset val="1"/>
      </rPr>
      <t xml:space="preserve">Total actual phase-out (CO</t>
    </r>
    <r>
      <rPr>
        <vertAlign val="subscript"/>
        <sz val="11"/>
        <rFont val="Times New Roman"/>
        <family val="1"/>
        <charset val="1"/>
      </rPr>
      <t xml:space="preserve">2</t>
    </r>
    <r>
      <rPr>
        <sz val="11"/>
        <rFont val="Times New Roman"/>
        <family val="1"/>
        <charset val="1"/>
      </rPr>
      <t xml:space="preserve">-eq tonnes)***</t>
    </r>
  </si>
  <si>
    <t xml:space="preserve">*Excluding cancelled and transferred projects.</t>
  </si>
  <si>
    <t xml:space="preserve">**Including consumption and production.</t>
  </si>
  <si>
    <t xml:space="preserve">***For HFC related projects only (including consumption and production).</t>
  </si>
  <si>
    <t xml:space="preserve">I.2 Summary data by cluster</t>
  </si>
  <si>
    <t xml:space="preserve">Clusters</t>
  </si>
  <si>
    <t xml:space="preserve">Number of projects*</t>
  </si>
  <si>
    <t xml:space="preserve">Funding (US$)*</t>
  </si>
  <si>
    <t xml:space="preserve">Approved</t>
  </si>
  <si>
    <t xml:space="preserve">completed </t>
  </si>
  <si>
    <t xml:space="preserve">% completed</t>
  </si>
  <si>
    <t xml:space="preserve">Approved </t>
  </si>
  <si>
    <t xml:space="preserve">Disbursed </t>
  </si>
  <si>
    <t xml:space="preserve">Balance</t>
  </si>
  <si>
    <t xml:space="preserve"> % disbursed</t>
  </si>
  <si>
    <t xml:space="preserve">HPMP stage I</t>
  </si>
  <si>
    <t xml:space="preserve">HPMP stage II</t>
  </si>
  <si>
    <t xml:space="preserve">KIP stage I</t>
  </si>
  <si>
    <t xml:space="preserve">Institutional strengthening</t>
  </si>
  <si>
    <t xml:space="preserve">etc…</t>
  </si>
  <si>
    <t xml:space="preserve">Total</t>
  </si>
  <si>
    <t xml:space="preserve">*Excluding cancelled and transferred projects</t>
  </si>
  <si>
    <t xml:space="preserve">Project completion in the reporting year</t>
  </si>
  <si>
    <t xml:space="preserve">Cluster</t>
  </si>
  <si>
    <t xml:space="preserve">Number of projects completed </t>
  </si>
  <si>
    <t xml:space="preserve">Phase-out (tonnes)</t>
  </si>
  <si>
    <t xml:space="preserve">ODP</t>
  </si>
  <si>
    <t xml:space="preserve">Metric</t>
  </si>
  <si>
    <t xml:space="preserve">CO2-eq </t>
  </si>
  <si>
    <t xml:space="preserve">(a) Annual summary data</t>
  </si>
  <si>
    <t xml:space="preserve">Year approval </t>
  </si>
  <si>
    <t xml:space="preserve">Per cent completed (%) </t>
  </si>
  <si>
    <t xml:space="preserve">Approved funding plus adjustments (US$) </t>
  </si>
  <si>
    <t xml:space="preserve">Funds disbursed (US$) </t>
  </si>
  <si>
    <t xml:space="preserve">Balance (US$) </t>
  </si>
  <si>
    <t xml:space="preserve">Per cent of funds disbursed (%)</t>
  </si>
  <si>
    <t xml:space="preserve">(b) Cumulative completed investment projects</t>
  </si>
  <si>
    <t xml:space="preserve">Item</t>
  </si>
  <si>
    <t xml:space="preserve"> Consumption Phased Out (ODP tonnes)</t>
  </si>
  <si>
    <t xml:space="preserve"> Production Phased Out (ODP tonnes)</t>
  </si>
  <si>
    <t xml:space="preserve"> Consumption Phased Out (metric tonnes)</t>
  </si>
  <si>
    <t xml:space="preserve"> Production Phased Out (metric tonnes)</t>
  </si>
  <si>
    <t xml:space="preserve">  Consumption Phased Out (Co2-eq tonnes)</t>
  </si>
  <si>
    <t xml:space="preserve"> Production Phased Out (CO2-eq tonnes)</t>
  </si>
  <si>
    <t xml:space="preserve">Average number of months from approval to first disbursement  </t>
  </si>
  <si>
    <t xml:space="preserve">Average number of months from approval to completion </t>
  </si>
  <si>
    <t xml:space="preserve">Cost effectiveness to fund (US$/kg.)</t>
  </si>
  <si>
    <t xml:space="preserve">Region </t>
  </si>
  <si>
    <t xml:space="preserve">AFR</t>
  </si>
  <si>
    <t xml:space="preserve">ASP</t>
  </si>
  <si>
    <t xml:space="preserve">EUR</t>
  </si>
  <si>
    <t xml:space="preserve">LAC</t>
  </si>
  <si>
    <t xml:space="preserve">Sector</t>
  </si>
  <si>
    <t xml:space="preserve">ARS</t>
  </si>
  <si>
    <t xml:space="preserve">FOA</t>
  </si>
  <si>
    <t xml:space="preserve">FUM</t>
  </si>
  <si>
    <t xml:space="preserve">HAL</t>
  </si>
  <si>
    <t xml:space="preserve">MUS</t>
  </si>
  <si>
    <t xml:space="preserve">OTH</t>
  </si>
  <si>
    <t xml:space="preserve">PAG</t>
  </si>
  <si>
    <t xml:space="preserve">PHA</t>
  </si>
  <si>
    <t xml:space="preserve">PRO</t>
  </si>
  <si>
    <t xml:space="preserve">REF</t>
  </si>
  <si>
    <t xml:space="preserve">SOL</t>
  </si>
  <si>
    <t xml:space="preserve">STE</t>
  </si>
  <si>
    <t xml:space="preserve">(c) Cumulative completed non-investment projects</t>
  </si>
  <si>
    <t xml:space="preserve">Number of projects</t>
  </si>
  <si>
    <t xml:space="preserve">GLO</t>
  </si>
  <si>
    <t xml:space="preserve">DES</t>
  </si>
  <si>
    <t xml:space="preserve">SEV</t>
  </si>
  <si>
    <t xml:space="preserve">(d) Cumulative completed project preparation activities</t>
  </si>
  <si>
    <t xml:space="preserve">Region</t>
  </si>
  <si>
    <t xml:space="preserve">KIP</t>
  </si>
  <si>
    <t xml:space="preserve">(e) Cumulative ongoing investment projects</t>
  </si>
  <si>
    <t xml:space="preserve">Number of Projects </t>
  </si>
  <si>
    <t xml:space="preserve">  Funds Disbursed (US$)</t>
  </si>
  <si>
    <t xml:space="preserve">Number of projects disbursing</t>
  </si>
  <si>
    <t xml:space="preserve">Per cent of projects disbursing (%) </t>
  </si>
  <si>
    <t xml:space="preserve">Average of months from approval to first disbursement  </t>
  </si>
  <si>
    <t xml:space="preserve">Average number of months from approval to planned completion </t>
  </si>
  <si>
    <t xml:space="preserve">Average length of
delay in project
planned
completion</t>
  </si>
  <si>
    <t xml:space="preserve">Sum of Phasout combined (Consumption + Productions) planned (Kg) </t>
  </si>
  <si>
    <t xml:space="preserve">Overall cost-effectiveness
to
the Fund
(US$/kg)</t>
  </si>
  <si>
    <t xml:space="preserve">(f) Cumulative ongoing non-investment projects</t>
  </si>
  <si>
    <t xml:space="preserve">EEF</t>
  </si>
  <si>
    <t xml:space="preserve">(g) Cumulative ongoing project preparation activities</t>
  </si>
  <si>
    <t xml:space="preserve"> Funds Disbursed (US$)</t>
  </si>
  <si>
    <t xml:space="preserve">Average of months from approval to planned completion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</si>
</sst>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??_-;_-@_-"/>
    <numFmt numFmtId="167" formatCode="0\ %"/>
    <numFmt numFmtId="168" formatCode="#,##0"/>
    <numFmt numFmtId="169" formatCode="#,##0.00"/>
    <numFmt numFmtId="170" formatCode="#,##0.0"/>
  </numFmts>
  <fonts count="2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8"/>
      <name val="Times New Roman"/>
      <family val="1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2"/>
      <color theme="3"/>
      <name val="Arial"/>
      <family val="2"/>
      <charset val="1"/>
    </font>
    <font>
      <vertAlign val="subscript"/>
      <sz val="11"/>
      <name val="Times New Roman"/>
      <family val="1"/>
      <charset val="1"/>
    </font>
    <font>
      <sz val="11"/>
      <name val="Times New Roman"/>
      <family val="1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double">
        <color rgb="FF00B050"/>
      </left>
      <right/>
      <top/>
      <bottom/>
      <diagonal/>
    </border>
    <border diagonalUp="false" diagonalDown="false">
      <left style="double">
        <color rgb="FF00B050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>
        <color theme="6"/>
      </left>
      <right/>
      <top/>
      <bottom/>
      <diagonal/>
    </border>
    <border diagonalUp="false" diagonalDown="false">
      <left style="double">
        <color theme="6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double">
        <color theme="6"/>
      </left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theme="1" tint="0.4999"/>
      </top>
      <bottom style="thin">
        <color theme="1" tint="0.4999"/>
      </bottom>
      <diagonal/>
    </border>
    <border diagonalUp="false" diagonalDown="false">
      <left style="double">
        <color rgb="FF00B050"/>
      </left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34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top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top" textRotation="0" wrapText="false" indent="0" shrinkToFit="false"/>
    </xf>
    <xf numFmtId="165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0" fillId="0" borderId="0" applyFont="true" applyBorder="false" applyAlignment="true" applyProtection="false">
      <alignment horizontal="general" vertical="top" textRotation="0" wrapText="false" indent="0" shrinkToFit="false"/>
    </xf>
    <xf numFmtId="164" fontId="0" fillId="0" borderId="0" applyFont="true" applyBorder="false" applyAlignment="true" applyProtection="false">
      <alignment horizontal="left" vertical="top" textRotation="0" wrapText="false" indent="0" shrinkToFit="false"/>
    </xf>
    <xf numFmtId="164" fontId="9" fillId="0" borderId="0" applyFont="true" applyBorder="false" applyAlignment="true" applyProtection="false">
      <alignment horizontal="left" vertical="top" textRotation="0" wrapText="false" indent="0" shrinkToFit="false"/>
    </xf>
    <xf numFmtId="164" fontId="9" fillId="0" borderId="0" applyFont="true" applyBorder="false" applyAlignment="true" applyProtection="false">
      <alignment horizontal="general" vertical="top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_Active Project Preparation" xfId="22"/>
    <cellStyle name="Normal_Cumulative Completed Investment" xfId="23"/>
    <cellStyle name="Normal_DataBase_1" xfId="24"/>
    <cellStyle name="Normal_OG-PR(revised)(Macro)_JVE1" xfId="25"/>
    <cellStyle name="Normal_Summary Data by Project Type" xfId="26"/>
    <cellStyle name="標準_Sheet1" xfId="27"/>
    <cellStyle name="Pivot Table Field" xfId="28"/>
    <cellStyle name="Pivot Table Corner" xfId="29"/>
    <cellStyle name="Pivot Table Value" xfId="30"/>
    <cellStyle name="Pivot Table Category" xfId="31"/>
    <cellStyle name="Pivot Table Title" xfId="32"/>
    <cellStyle name="Pivot Table Result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Relationship Id="rId14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9" activeCellId="0" sqref="B19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41.15"/>
    <col collapsed="false" customWidth="true" hidden="false" outlineLevel="0" max="2" min="2" style="0" width="22.29"/>
    <col collapsed="false" customWidth="true" hidden="false" outlineLevel="0" max="3" min="3" style="0" width="10.57"/>
    <col collapsed="false" customWidth="true" hidden="false" outlineLevel="0" max="4" min="4" style="0" width="19"/>
    <col collapsed="false" customWidth="true" hidden="false" outlineLevel="0" max="5" min="5" style="0" width="12.71"/>
    <col collapsed="false" customWidth="true" hidden="false" outlineLevel="0" max="6" min="6" style="0" width="22"/>
    <col collapsed="false" customWidth="true" hidden="false" outlineLevel="0" max="7" min="7" style="0" width="14.42"/>
    <col collapsed="false" customWidth="true" hidden="false" outlineLevel="0" max="8" min="8" style="0" width="23.86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2.75" hidden="false" customHeight="false" outlineLevel="0" collapsed="false">
      <c r="A2" s="3"/>
      <c r="B2" s="2"/>
      <c r="C2" s="2"/>
    </row>
    <row r="3" customFormat="false" ht="12.75" hidden="false" customHeight="false" outlineLevel="0" collapsed="false">
      <c r="A3" s="4" t="s">
        <v>1</v>
      </c>
      <c r="B3" s="5" t="s">
        <v>2</v>
      </c>
      <c r="C3" s="2"/>
    </row>
    <row r="4" customFormat="false" ht="12.75" hidden="false" customHeight="false" outlineLevel="0" collapsed="false">
      <c r="A4" s="6" t="s">
        <v>3</v>
      </c>
      <c r="B4" s="7" t="n">
        <v>9517</v>
      </c>
      <c r="C4" s="2"/>
    </row>
    <row r="5" customFormat="false" ht="12.75" hidden="false" customHeight="false" outlineLevel="0" collapsed="false">
      <c r="A5" s="8" t="s">
        <v>4</v>
      </c>
      <c r="B5" s="7" t="n">
        <v>8658</v>
      </c>
      <c r="C5" s="2"/>
    </row>
    <row r="6" customFormat="false" ht="15" hidden="false" customHeight="false" outlineLevel="0" collapsed="false">
      <c r="A6" s="8" t="s">
        <v>5</v>
      </c>
      <c r="B6" s="7" t="n">
        <v>3625995846.18</v>
      </c>
      <c r="C6" s="2"/>
      <c r="E6" s="9"/>
    </row>
    <row r="7" customFormat="false" ht="12.75" hidden="false" customHeight="false" outlineLevel="0" collapsed="false">
      <c r="A7" s="8" t="s">
        <v>6</v>
      </c>
      <c r="B7" s="7" t="n">
        <v>3371071094.60463</v>
      </c>
      <c r="C7" s="2"/>
    </row>
    <row r="8" customFormat="false" ht="12.75" hidden="false" customHeight="false" outlineLevel="0" collapsed="false">
      <c r="A8" s="8" t="s">
        <v>7</v>
      </c>
      <c r="B8" s="7" t="n">
        <v>485500.1</v>
      </c>
      <c r="C8" s="2"/>
    </row>
    <row r="9" customFormat="false" ht="12.75" hidden="false" customHeight="false" outlineLevel="0" collapsed="false">
      <c r="A9" s="8" t="s">
        <v>8</v>
      </c>
      <c r="B9" s="7" t="n">
        <v>498823.292139352</v>
      </c>
      <c r="C9" s="2"/>
    </row>
    <row r="10" customFormat="false" ht="12.75" hidden="false" customHeight="false" outlineLevel="0" collapsed="false">
      <c r="A10" s="8" t="s">
        <v>9</v>
      </c>
      <c r="B10" s="10" t="n">
        <v>0</v>
      </c>
      <c r="C10" s="2"/>
    </row>
    <row r="11" customFormat="false" ht="12.75" hidden="false" customHeight="false" outlineLevel="0" collapsed="false">
      <c r="A11" s="8" t="s">
        <v>10</v>
      </c>
      <c r="B11" s="10" t="n">
        <v>0</v>
      </c>
      <c r="C11" s="2"/>
    </row>
    <row r="12" customFormat="false" ht="12.75" hidden="false" customHeight="false" outlineLevel="0" collapsed="false">
      <c r="A12" s="11" t="s">
        <v>11</v>
      </c>
      <c r="B12" s="8" t="n">
        <v>0</v>
      </c>
      <c r="C12" s="2"/>
    </row>
    <row r="13" customFormat="false" ht="12.75" hidden="false" customHeight="false" outlineLevel="0" collapsed="false">
      <c r="A13" s="11" t="s">
        <v>12</v>
      </c>
      <c r="B13" s="8" t="n">
        <v>0</v>
      </c>
      <c r="C13" s="2"/>
    </row>
    <row r="14" customFormat="false" ht="12.75" hidden="false" customHeight="false" outlineLevel="0" collapsed="false">
      <c r="A14" s="12" t="s">
        <v>13</v>
      </c>
      <c r="B14" s="2"/>
      <c r="C14" s="2"/>
    </row>
    <row r="15" customFormat="false" ht="12.75" hidden="false" customHeight="false" outlineLevel="0" collapsed="false">
      <c r="A15" s="12" t="s">
        <v>14</v>
      </c>
      <c r="B15" s="2"/>
      <c r="C15" s="2"/>
    </row>
    <row r="16" customFormat="false" ht="12.75" hidden="false" customHeight="false" outlineLevel="0" collapsed="false">
      <c r="A16" s="12" t="s">
        <v>15</v>
      </c>
      <c r="B16" s="2"/>
      <c r="C16" s="2"/>
    </row>
    <row r="17" customFormat="false" ht="12.75" hidden="false" customHeight="false" outlineLevel="0" collapsed="false">
      <c r="A17" s="13"/>
      <c r="B17" s="2"/>
      <c r="C17" s="2"/>
    </row>
    <row r="18" customFormat="false" ht="12.75" hidden="false" customHeight="false" outlineLevel="0" collapsed="false">
      <c r="A18" s="13"/>
      <c r="B18" s="2"/>
      <c r="C18" s="2"/>
    </row>
    <row r="19" customFormat="false" ht="12.75" hidden="false" customHeight="false" outlineLevel="0" collapsed="false">
      <c r="A19" s="13"/>
      <c r="B19" s="2"/>
      <c r="C19" s="2"/>
    </row>
    <row r="20" customFormat="false" ht="12.75" hidden="false" customHeight="false" outlineLevel="0" collapsed="false">
      <c r="A20" s="13"/>
      <c r="B20" s="2"/>
      <c r="C20" s="2"/>
    </row>
    <row r="21" customFormat="false" ht="12.75" hidden="false" customHeight="false" outlineLevel="0" collapsed="false">
      <c r="A21" s="13"/>
      <c r="B21" s="2"/>
      <c r="C21" s="2"/>
    </row>
    <row r="22" customFormat="false" ht="12.75" hidden="false" customHeight="false" outlineLevel="0" collapsed="false">
      <c r="A22" s="13"/>
      <c r="B22" s="2"/>
      <c r="C22" s="2"/>
    </row>
    <row r="23" customFormat="false" ht="12.75" hidden="false" customHeight="false" outlineLevel="0" collapsed="false">
      <c r="A23" s="3"/>
      <c r="B23" s="2"/>
      <c r="C23" s="2"/>
    </row>
    <row r="24" customFormat="false" ht="12.75" hidden="false" customHeight="false" outlineLevel="0" collapsed="false">
      <c r="A24" s="3"/>
      <c r="B24" s="2"/>
      <c r="C2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9" activeCellId="0" sqref="C19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25.29"/>
    <col collapsed="false" customWidth="true" hidden="false" outlineLevel="0" max="2" min="2" style="0" width="16.14"/>
    <col collapsed="false" customWidth="true" hidden="false" outlineLevel="0" max="3" min="3" style="0" width="15"/>
    <col collapsed="false" customWidth="true" hidden="false" outlineLevel="0" max="4" min="4" style="0" width="12.57"/>
    <col collapsed="false" customWidth="true" hidden="false" outlineLevel="0" max="6" min="5" style="0" width="14.57"/>
    <col collapsed="false" customWidth="true" hidden="false" outlineLevel="0" max="7" min="7" style="0" width="12.86"/>
    <col collapsed="false" customWidth="true" hidden="false" outlineLevel="0" max="8" min="8" style="0" width="12.15"/>
  </cols>
  <sheetData>
    <row r="1" customFormat="false" ht="15" hidden="false" customHeight="false" outlineLevel="0" collapsed="false">
      <c r="A1" s="14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2.75" hidden="false" customHeight="false" outlineLevel="0" collapsed="false">
      <c r="A3" s="15" t="s">
        <v>17</v>
      </c>
      <c r="B3" s="16" t="s">
        <v>18</v>
      </c>
      <c r="C3" s="16"/>
      <c r="D3" s="16"/>
      <c r="E3" s="16" t="s">
        <v>19</v>
      </c>
      <c r="F3" s="16"/>
      <c r="G3" s="16"/>
      <c r="H3" s="16"/>
      <c r="I3" s="2"/>
    </row>
    <row r="4" customFormat="false" ht="12.75" hidden="false" customHeight="false" outlineLevel="0" collapsed="false">
      <c r="A4" s="15"/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2"/>
    </row>
    <row r="5" customFormat="false" ht="15" hidden="false" customHeight="false" outlineLevel="0" collapsed="false">
      <c r="A5" s="17" t="s">
        <v>27</v>
      </c>
      <c r="B5" s="8"/>
      <c r="C5" s="8"/>
      <c r="D5" s="8"/>
      <c r="E5" s="8"/>
      <c r="F5" s="8"/>
      <c r="G5" s="8"/>
      <c r="H5" s="8"/>
      <c r="I5" s="2"/>
      <c r="M5" s="9"/>
    </row>
    <row r="6" customFormat="false" ht="12.75" hidden="false" customHeight="false" outlineLevel="0" collapsed="false">
      <c r="A6" s="17" t="s">
        <v>28</v>
      </c>
      <c r="B6" s="8"/>
      <c r="C6" s="8"/>
      <c r="D6" s="8"/>
      <c r="E6" s="8"/>
      <c r="F6" s="8"/>
      <c r="G6" s="8"/>
      <c r="H6" s="8"/>
      <c r="I6" s="2"/>
    </row>
    <row r="7" customFormat="false" ht="12.75" hidden="false" customHeight="false" outlineLevel="0" collapsed="false">
      <c r="A7" s="17" t="s">
        <v>29</v>
      </c>
      <c r="B7" s="8"/>
      <c r="C7" s="8"/>
      <c r="D7" s="8"/>
      <c r="E7" s="8"/>
      <c r="F7" s="8"/>
      <c r="G7" s="8"/>
      <c r="H7" s="8"/>
      <c r="I7" s="2"/>
    </row>
    <row r="8" customFormat="false" ht="12.75" hidden="false" customHeight="false" outlineLevel="0" collapsed="false">
      <c r="A8" s="17" t="s">
        <v>30</v>
      </c>
      <c r="B8" s="8"/>
      <c r="C8" s="8"/>
      <c r="D8" s="8"/>
      <c r="E8" s="8"/>
      <c r="F8" s="8"/>
      <c r="G8" s="8"/>
      <c r="H8" s="8"/>
      <c r="I8" s="2"/>
    </row>
    <row r="9" customFormat="false" ht="12.75" hidden="false" customHeight="false" outlineLevel="0" collapsed="false">
      <c r="A9" s="17" t="s">
        <v>31</v>
      </c>
      <c r="B9" s="8"/>
      <c r="C9" s="8"/>
      <c r="D9" s="8"/>
      <c r="E9" s="8"/>
      <c r="F9" s="8"/>
      <c r="G9" s="8"/>
      <c r="H9" s="8"/>
      <c r="I9" s="2"/>
    </row>
    <row r="10" customFormat="false" ht="12.75" hidden="false" customHeight="false" outlineLevel="0" collapsed="false">
      <c r="A10" s="18" t="s">
        <v>32</v>
      </c>
      <c r="B10" s="19" t="n">
        <v>9517</v>
      </c>
      <c r="C10" s="19" t="n">
        <v>8658</v>
      </c>
      <c r="D10" s="20" t="n">
        <v>91</v>
      </c>
      <c r="E10" s="19" t="n">
        <v>3625995846.18</v>
      </c>
      <c r="F10" s="19" t="n">
        <v>3371071094.60463</v>
      </c>
      <c r="G10" s="19" t="n">
        <v>254924751.575371</v>
      </c>
      <c r="H10" s="20" t="n">
        <v>93</v>
      </c>
      <c r="I10" s="2"/>
    </row>
    <row r="11" customFormat="false" ht="12.75" hidden="false" customHeight="false" outlineLevel="0" collapsed="false">
      <c r="A11" s="12" t="s">
        <v>33</v>
      </c>
      <c r="B11" s="2"/>
      <c r="C11" s="2"/>
      <c r="D11" s="2"/>
      <c r="E11" s="2"/>
      <c r="F11" s="2"/>
      <c r="G11" s="2"/>
      <c r="H11" s="2"/>
      <c r="I11" s="2"/>
    </row>
    <row r="12" customFormat="false" ht="12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2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</sheetData>
  <mergeCells count="3">
    <mergeCell ref="A3:A4"/>
    <mergeCell ref="B3:D3"/>
    <mergeCell ref="E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7" activeCellId="0" sqref="A17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23.71"/>
    <col collapsed="false" customWidth="true" hidden="false" outlineLevel="0" max="2" min="2" style="0" width="18.42"/>
    <col collapsed="false" customWidth="true" hidden="false" outlineLevel="0" max="3" min="3" style="0" width="16.85"/>
    <col collapsed="false" customWidth="true" hidden="false" outlineLevel="0" max="4" min="4" style="0" width="14.42"/>
    <col collapsed="false" customWidth="true" hidden="false" outlineLevel="0" max="5" min="5" style="0" width="18"/>
    <col collapsed="false" customWidth="true" hidden="false" outlineLevel="0" max="9" min="6" style="0" width="38.14"/>
  </cols>
  <sheetData>
    <row r="1" customFormat="false" ht="15" hidden="false" customHeight="false" outlineLevel="0" collapsed="false">
      <c r="A1" s="14" t="s">
        <v>34</v>
      </c>
      <c r="B1" s="2"/>
      <c r="C1" s="21"/>
      <c r="D1" s="22"/>
      <c r="E1" s="2"/>
    </row>
    <row r="2" customFormat="false" ht="12.75" hidden="false" customHeight="false" outlineLevel="0" collapsed="false">
      <c r="A2" s="2"/>
      <c r="B2" s="2"/>
      <c r="C2" s="2"/>
      <c r="D2" s="2"/>
      <c r="E2" s="2"/>
    </row>
    <row r="3" customFormat="false" ht="12.75" hidden="false" customHeight="true" outlineLevel="0" collapsed="false">
      <c r="A3" s="15" t="s">
        <v>35</v>
      </c>
      <c r="B3" s="23" t="s">
        <v>36</v>
      </c>
      <c r="C3" s="24" t="s">
        <v>37</v>
      </c>
      <c r="D3" s="24"/>
      <c r="E3" s="24"/>
    </row>
    <row r="4" customFormat="false" ht="12.75" hidden="false" customHeight="false" outlineLevel="0" collapsed="false">
      <c r="A4" s="15"/>
      <c r="B4" s="23"/>
      <c r="C4" s="25" t="s">
        <v>38</v>
      </c>
      <c r="D4" s="25" t="s">
        <v>39</v>
      </c>
      <c r="E4" s="25" t="s">
        <v>40</v>
      </c>
    </row>
    <row r="5" customFormat="false" ht="12.75" hidden="false" customHeight="false" outlineLevel="0" collapsed="false">
      <c r="A5" s="17" t="s">
        <v>27</v>
      </c>
      <c r="B5" s="26"/>
      <c r="C5" s="8"/>
      <c r="D5" s="8"/>
      <c r="E5" s="8"/>
    </row>
    <row r="6" customFormat="false" ht="12.75" hidden="false" customHeight="false" outlineLevel="0" collapsed="false">
      <c r="A6" s="17" t="s">
        <v>28</v>
      </c>
      <c r="B6" s="26"/>
      <c r="C6" s="8"/>
      <c r="D6" s="8"/>
      <c r="E6" s="8"/>
    </row>
    <row r="7" customFormat="false" ht="12.75" hidden="false" customHeight="false" outlineLevel="0" collapsed="false">
      <c r="A7" s="17" t="s">
        <v>29</v>
      </c>
      <c r="B7" s="26"/>
      <c r="C7" s="8"/>
      <c r="D7" s="8"/>
      <c r="E7" s="8"/>
    </row>
    <row r="8" customFormat="false" ht="15" hidden="false" customHeight="false" outlineLevel="0" collapsed="false">
      <c r="A8" s="17" t="s">
        <v>30</v>
      </c>
      <c r="B8" s="26"/>
      <c r="C8" s="8"/>
      <c r="D8" s="8"/>
      <c r="E8" s="8"/>
      <c r="G8" s="9"/>
    </row>
    <row r="9" customFormat="false" ht="12.75" hidden="false" customHeight="false" outlineLevel="0" collapsed="false">
      <c r="A9" s="17" t="s">
        <v>31</v>
      </c>
      <c r="B9" s="26"/>
      <c r="C9" s="8"/>
      <c r="D9" s="8"/>
      <c r="E9" s="8"/>
    </row>
    <row r="10" customFormat="false" ht="12.75" hidden="false" customHeight="false" outlineLevel="0" collapsed="false">
      <c r="A10" s="18" t="s">
        <v>32</v>
      </c>
      <c r="B10" s="27" t="n">
        <v>8658</v>
      </c>
      <c r="C10" s="19" t="n">
        <v>498823.292139352</v>
      </c>
      <c r="D10" s="19"/>
      <c r="E10" s="28" t="n">
        <v>0</v>
      </c>
    </row>
    <row r="11" customFormat="false" ht="12.75" hidden="false" customHeight="false" outlineLevel="0" collapsed="false">
      <c r="A11" s="29"/>
      <c r="B11" s="2"/>
      <c r="C11" s="2"/>
      <c r="D11" s="2"/>
      <c r="E11" s="2"/>
    </row>
    <row r="12" customFormat="false" ht="12.75" hidden="false" customHeight="false" outlineLevel="0" collapsed="false">
      <c r="A12" s="2"/>
      <c r="B12" s="2"/>
      <c r="C12" s="2"/>
      <c r="D12" s="2"/>
      <c r="E12" s="2"/>
    </row>
    <row r="14" customFormat="false" ht="12.75" hidden="false" customHeight="false" outlineLevel="0" collapsed="false">
      <c r="A14" s="30"/>
    </row>
  </sheetData>
  <mergeCells count="3">
    <mergeCell ref="A3:A4"/>
    <mergeCell ref="B3:B4"/>
    <mergeCell ref="C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49" activeCellId="0" sqref="D49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16.14"/>
    <col collapsed="false" customWidth="true" hidden="false" outlineLevel="0" max="3" min="3" style="0" width="10.57"/>
    <col collapsed="false" customWidth="true" hidden="false" outlineLevel="0" max="4" min="4" style="0" width="19"/>
    <col collapsed="false" customWidth="true" hidden="false" outlineLevel="0" max="5" min="5" style="0" width="17.42"/>
    <col collapsed="false" customWidth="true" hidden="false" outlineLevel="0" max="6" min="6" style="0" width="22"/>
    <col collapsed="false" customWidth="true" hidden="false" outlineLevel="0" max="7" min="7" style="0" width="14.42"/>
    <col collapsed="false" customWidth="true" hidden="false" outlineLevel="0" max="8" min="8" style="0" width="23.86"/>
  </cols>
  <sheetData>
    <row r="1" customFormat="false" ht="15" hidden="false" customHeight="false" outlineLevel="0" collapsed="false">
      <c r="A1" s="14" t="s">
        <v>41</v>
      </c>
      <c r="I1" s="2"/>
    </row>
    <row r="2" customFormat="false" ht="12.75" hidden="false" customHeight="false" outlineLevel="0" collapsed="false">
      <c r="A2" s="2"/>
      <c r="I2" s="2"/>
    </row>
    <row r="3" s="34" customFormat="true" ht="35.3" hidden="false" customHeight="false" outlineLevel="0" collapsed="false">
      <c r="A3" s="31" t="s">
        <v>42</v>
      </c>
      <c r="B3" s="32" t="s">
        <v>3</v>
      </c>
      <c r="C3" s="32" t="s">
        <v>4</v>
      </c>
      <c r="D3" s="32" t="s">
        <v>43</v>
      </c>
      <c r="E3" s="32" t="s">
        <v>44</v>
      </c>
      <c r="F3" s="32" t="s">
        <v>45</v>
      </c>
      <c r="G3" s="32" t="s">
        <v>46</v>
      </c>
      <c r="H3" s="32" t="s">
        <v>47</v>
      </c>
      <c r="I3" s="33"/>
    </row>
    <row r="4" customFormat="false" ht="15" hidden="false" customHeight="false" outlineLevel="0" collapsed="false">
      <c r="A4" s="35" t="n">
        <v>1991</v>
      </c>
      <c r="B4" s="7" t="n">
        <v>68</v>
      </c>
      <c r="C4" s="7" t="n">
        <v>68</v>
      </c>
      <c r="D4" s="36" t="n">
        <v>1</v>
      </c>
      <c r="E4" s="7" t="n">
        <v>7935719</v>
      </c>
      <c r="F4" s="7" t="n">
        <v>7935719</v>
      </c>
      <c r="G4" s="7" t="n">
        <v>0</v>
      </c>
      <c r="H4" s="7" t="n">
        <v>100</v>
      </c>
      <c r="I4" s="2"/>
      <c r="K4" s="9"/>
    </row>
    <row r="5" customFormat="false" ht="12.75" hidden="false" customHeight="false" outlineLevel="0" collapsed="false">
      <c r="A5" s="35" t="n">
        <v>1992</v>
      </c>
      <c r="B5" s="7" t="n">
        <v>176</v>
      </c>
      <c r="C5" s="7" t="n">
        <v>176</v>
      </c>
      <c r="D5" s="36" t="n">
        <v>1</v>
      </c>
      <c r="E5" s="7" t="n">
        <v>41240955.22</v>
      </c>
      <c r="F5" s="7" t="n">
        <v>41240955</v>
      </c>
      <c r="G5" s="7" t="n">
        <v>0.220000000001164</v>
      </c>
      <c r="H5" s="7" t="n">
        <v>99.9999994665497</v>
      </c>
      <c r="I5" s="2"/>
    </row>
    <row r="6" customFormat="false" ht="12.75" hidden="false" customHeight="false" outlineLevel="0" collapsed="false">
      <c r="A6" s="35" t="n">
        <v>1993</v>
      </c>
      <c r="B6" s="7" t="n">
        <v>217</v>
      </c>
      <c r="C6" s="7" t="n">
        <v>217</v>
      </c>
      <c r="D6" s="36" t="n">
        <v>1</v>
      </c>
      <c r="E6" s="7" t="n">
        <v>73198586</v>
      </c>
      <c r="F6" s="7" t="n">
        <v>73198586</v>
      </c>
      <c r="G6" s="7" t="n">
        <v>0</v>
      </c>
      <c r="H6" s="7" t="n">
        <v>100</v>
      </c>
      <c r="I6" s="2"/>
    </row>
    <row r="7" customFormat="false" ht="12.75" hidden="false" customHeight="false" outlineLevel="0" collapsed="false">
      <c r="A7" s="35" t="n">
        <v>1994</v>
      </c>
      <c r="B7" s="7" t="n">
        <v>379</v>
      </c>
      <c r="C7" s="7" t="n">
        <v>379</v>
      </c>
      <c r="D7" s="36" t="n">
        <v>1</v>
      </c>
      <c r="E7" s="7" t="n">
        <v>127169827.99</v>
      </c>
      <c r="F7" s="7" t="n">
        <v>127169828</v>
      </c>
      <c r="G7" s="7" t="n">
        <v>-0.0100000000093132</v>
      </c>
      <c r="H7" s="7" t="n">
        <v>100.000000007864</v>
      </c>
      <c r="I7" s="2"/>
    </row>
    <row r="8" customFormat="false" ht="12.75" hidden="false" customHeight="false" outlineLevel="0" collapsed="false">
      <c r="A8" s="35" t="n">
        <v>1995</v>
      </c>
      <c r="B8" s="7" t="n">
        <v>355</v>
      </c>
      <c r="C8" s="7" t="n">
        <v>355</v>
      </c>
      <c r="D8" s="36" t="n">
        <v>1</v>
      </c>
      <c r="E8" s="7" t="n">
        <v>109928036.91</v>
      </c>
      <c r="F8" s="7" t="n">
        <v>109928037.25</v>
      </c>
      <c r="G8" s="7" t="n">
        <v>-0.339999999996508</v>
      </c>
      <c r="H8" s="7" t="n">
        <v>100.000000309293</v>
      </c>
      <c r="I8" s="2"/>
    </row>
    <row r="9" customFormat="false" ht="12.75" hidden="false" customHeight="false" outlineLevel="0" collapsed="false">
      <c r="A9" s="35" t="n">
        <v>1996</v>
      </c>
      <c r="B9" s="7" t="n">
        <v>257</v>
      </c>
      <c r="C9" s="7" t="n">
        <v>257</v>
      </c>
      <c r="D9" s="36" t="n">
        <v>1</v>
      </c>
      <c r="E9" s="7" t="n">
        <v>82954862.7</v>
      </c>
      <c r="F9" s="7" t="n">
        <v>82954863</v>
      </c>
      <c r="G9" s="7" t="n">
        <v>-0.299999999988358</v>
      </c>
      <c r="H9" s="7" t="n">
        <v>100.000000361642</v>
      </c>
      <c r="I9" s="2"/>
    </row>
    <row r="10" customFormat="false" ht="12.75" hidden="false" customHeight="false" outlineLevel="0" collapsed="false">
      <c r="A10" s="35" t="n">
        <v>1997</v>
      </c>
      <c r="B10" s="7" t="n">
        <v>532</v>
      </c>
      <c r="C10" s="7" t="n">
        <v>532</v>
      </c>
      <c r="D10" s="36" t="n">
        <v>1</v>
      </c>
      <c r="E10" s="7" t="n">
        <v>149550404.47</v>
      </c>
      <c r="F10" s="7" t="n">
        <v>149550406</v>
      </c>
      <c r="G10" s="7" t="n">
        <v>-1.52999999944586</v>
      </c>
      <c r="H10" s="7" t="n">
        <v>100.000001023066</v>
      </c>
      <c r="I10" s="2"/>
    </row>
    <row r="11" customFormat="false" ht="12.75" hidden="false" customHeight="false" outlineLevel="0" collapsed="false">
      <c r="A11" s="35" t="n">
        <v>1998</v>
      </c>
      <c r="B11" s="7" t="n">
        <v>422</v>
      </c>
      <c r="C11" s="7" t="n">
        <v>422</v>
      </c>
      <c r="D11" s="36" t="n">
        <v>1</v>
      </c>
      <c r="E11" s="7" t="n">
        <v>98011000.64</v>
      </c>
      <c r="F11" s="7" t="n">
        <v>98011000</v>
      </c>
      <c r="G11" s="7" t="n">
        <v>0.640000000072178</v>
      </c>
      <c r="H11" s="7" t="n">
        <v>99.9999993470121</v>
      </c>
      <c r="I11" s="2"/>
    </row>
    <row r="12" customFormat="false" ht="12.75" hidden="false" customHeight="false" outlineLevel="0" collapsed="false">
      <c r="A12" s="35" t="n">
        <v>1999</v>
      </c>
      <c r="B12" s="7" t="n">
        <v>546</v>
      </c>
      <c r="C12" s="7" t="n">
        <v>546</v>
      </c>
      <c r="D12" s="36" t="n">
        <v>1</v>
      </c>
      <c r="E12" s="7" t="n">
        <v>151740801.03</v>
      </c>
      <c r="F12" s="7" t="n">
        <v>151740801</v>
      </c>
      <c r="G12" s="7" t="n">
        <v>0.0300000001152512</v>
      </c>
      <c r="H12" s="7" t="n">
        <v>99.9999999802294</v>
      </c>
      <c r="I12" s="2"/>
    </row>
    <row r="13" customFormat="false" ht="12.75" hidden="false" customHeight="false" outlineLevel="0" collapsed="false">
      <c r="A13" s="35" t="n">
        <v>2000</v>
      </c>
      <c r="B13" s="7" t="n">
        <v>426</v>
      </c>
      <c r="C13" s="7" t="n">
        <v>426</v>
      </c>
      <c r="D13" s="36" t="n">
        <v>1</v>
      </c>
      <c r="E13" s="7" t="n">
        <v>109359736.2</v>
      </c>
      <c r="F13" s="7" t="n">
        <v>109359735</v>
      </c>
      <c r="G13" s="7" t="n">
        <v>1.19999999986612</v>
      </c>
      <c r="H13" s="7" t="n">
        <v>99.999998902704</v>
      </c>
      <c r="I13" s="2"/>
    </row>
    <row r="14" customFormat="false" ht="12.75" hidden="false" customHeight="false" outlineLevel="0" collapsed="false">
      <c r="A14" s="35" t="n">
        <v>2001</v>
      </c>
      <c r="B14" s="7" t="n">
        <v>427</v>
      </c>
      <c r="C14" s="7" t="n">
        <v>427</v>
      </c>
      <c r="D14" s="36" t="n">
        <v>1</v>
      </c>
      <c r="E14" s="7" t="n">
        <v>130098118.34</v>
      </c>
      <c r="F14" s="7" t="n">
        <v>130098120</v>
      </c>
      <c r="G14" s="7" t="n">
        <v>-1.65999999988708</v>
      </c>
      <c r="H14" s="7" t="n">
        <v>100.00000127596</v>
      </c>
      <c r="I14" s="2"/>
    </row>
    <row r="15" customFormat="false" ht="12.75" hidden="false" customHeight="false" outlineLevel="0" collapsed="false">
      <c r="A15" s="35" t="n">
        <v>2002</v>
      </c>
      <c r="B15" s="7" t="n">
        <v>358</v>
      </c>
      <c r="C15" s="7" t="n">
        <v>358</v>
      </c>
      <c r="D15" s="36" t="n">
        <v>1</v>
      </c>
      <c r="E15" s="7" t="n">
        <v>161270405.33</v>
      </c>
      <c r="F15" s="7" t="n">
        <v>161270405</v>
      </c>
      <c r="G15" s="7" t="n">
        <v>0.33000000004904</v>
      </c>
      <c r="H15" s="7" t="n">
        <v>99.9999997953747</v>
      </c>
      <c r="I15" s="2"/>
    </row>
    <row r="16" customFormat="false" ht="12.75" hidden="false" customHeight="false" outlineLevel="0" collapsed="false">
      <c r="A16" s="35" t="n">
        <v>2003</v>
      </c>
      <c r="B16" s="7" t="n">
        <v>247</v>
      </c>
      <c r="C16" s="7" t="n">
        <v>247</v>
      </c>
      <c r="D16" s="36" t="n">
        <v>1</v>
      </c>
      <c r="E16" s="7" t="n">
        <v>157011470.68</v>
      </c>
      <c r="F16" s="7" t="n">
        <v>157011471</v>
      </c>
      <c r="G16" s="7" t="n">
        <v>-0.319999999948777</v>
      </c>
      <c r="H16" s="7" t="n">
        <v>100.000000203807</v>
      </c>
      <c r="I16" s="2"/>
    </row>
    <row r="17" customFormat="false" ht="12.75" hidden="false" customHeight="false" outlineLevel="0" collapsed="false">
      <c r="A17" s="35" t="n">
        <v>2004</v>
      </c>
      <c r="B17" s="7" t="n">
        <v>271</v>
      </c>
      <c r="C17" s="7" t="n">
        <v>271</v>
      </c>
      <c r="D17" s="36" t="n">
        <v>1</v>
      </c>
      <c r="E17" s="7" t="n">
        <v>162080532.35</v>
      </c>
      <c r="F17" s="7" t="n">
        <v>162080533</v>
      </c>
      <c r="G17" s="7" t="n">
        <v>-0.650000000019645</v>
      </c>
      <c r="H17" s="7" t="n">
        <v>100.000000401035</v>
      </c>
      <c r="I17" s="2"/>
    </row>
    <row r="18" customFormat="false" ht="12.75" hidden="false" customHeight="false" outlineLevel="0" collapsed="false">
      <c r="A18" s="35" t="n">
        <v>2005</v>
      </c>
      <c r="B18" s="7" t="n">
        <v>255</v>
      </c>
      <c r="C18" s="7" t="n">
        <v>255</v>
      </c>
      <c r="D18" s="36" t="n">
        <v>1</v>
      </c>
      <c r="E18" s="7" t="n">
        <v>180181481.16</v>
      </c>
      <c r="F18" s="7" t="n">
        <v>180181479</v>
      </c>
      <c r="G18" s="7" t="n">
        <v>2.16000000055101</v>
      </c>
      <c r="H18" s="7" t="n">
        <v>99.9999988012087</v>
      </c>
      <c r="I18" s="2"/>
    </row>
    <row r="19" customFormat="false" ht="12.75" hidden="false" customHeight="false" outlineLevel="0" collapsed="false">
      <c r="A19" s="35" t="n">
        <v>2006</v>
      </c>
      <c r="B19" s="7" t="n">
        <v>261</v>
      </c>
      <c r="C19" s="7" t="n">
        <v>261</v>
      </c>
      <c r="D19" s="36" t="n">
        <v>1</v>
      </c>
      <c r="E19" s="7" t="n">
        <v>119827553.56</v>
      </c>
      <c r="F19" s="7" t="n">
        <v>119827555</v>
      </c>
      <c r="G19" s="7" t="n">
        <v>-1.43999999979314</v>
      </c>
      <c r="H19" s="7" t="n">
        <v>100.000001201727</v>
      </c>
      <c r="I19" s="2"/>
    </row>
    <row r="20" customFormat="false" ht="12.75" hidden="false" customHeight="false" outlineLevel="0" collapsed="false">
      <c r="A20" s="35" t="n">
        <v>2007</v>
      </c>
      <c r="B20" s="7" t="n">
        <v>213</v>
      </c>
      <c r="C20" s="7" t="n">
        <v>213</v>
      </c>
      <c r="D20" s="36" t="n">
        <v>1</v>
      </c>
      <c r="E20" s="7" t="n">
        <v>120084047.36</v>
      </c>
      <c r="F20" s="7" t="n">
        <v>120084047</v>
      </c>
      <c r="G20" s="7" t="n">
        <v>0.360000000282525</v>
      </c>
      <c r="H20" s="7" t="n">
        <v>99.99999970021</v>
      </c>
      <c r="I20" s="2"/>
    </row>
    <row r="21" customFormat="false" ht="12.75" hidden="false" customHeight="false" outlineLevel="0" collapsed="false">
      <c r="A21" s="35" t="n">
        <v>2008</v>
      </c>
      <c r="B21" s="7" t="n">
        <v>354</v>
      </c>
      <c r="C21" s="7" t="n">
        <v>354</v>
      </c>
      <c r="D21" s="36" t="n">
        <v>1</v>
      </c>
      <c r="E21" s="7" t="n">
        <v>120443370.92</v>
      </c>
      <c r="F21" s="7" t="n">
        <v>120443375.25</v>
      </c>
      <c r="G21" s="7" t="n">
        <v>-4.32999999912136</v>
      </c>
      <c r="H21" s="7" t="n">
        <v>100.000003595051</v>
      </c>
      <c r="I21" s="2"/>
    </row>
    <row r="22" customFormat="false" ht="12.75" hidden="false" customHeight="false" outlineLevel="0" collapsed="false">
      <c r="A22" s="35" t="n">
        <v>2009</v>
      </c>
      <c r="B22" s="7" t="n">
        <v>320</v>
      </c>
      <c r="C22" s="7" t="n">
        <v>320</v>
      </c>
      <c r="D22" s="36" t="n">
        <v>1</v>
      </c>
      <c r="E22" s="7" t="n">
        <v>71273404.91</v>
      </c>
      <c r="F22" s="7" t="n">
        <v>70982476.61</v>
      </c>
      <c r="G22" s="7" t="n">
        <v>290928.3</v>
      </c>
      <c r="H22" s="7" t="n">
        <v>99.5918136640625</v>
      </c>
      <c r="I22" s="2"/>
    </row>
    <row r="23" customFormat="false" ht="12.75" hidden="false" customHeight="false" outlineLevel="0" collapsed="false">
      <c r="A23" s="35" t="n">
        <v>2010</v>
      </c>
      <c r="B23" s="7" t="n">
        <v>227</v>
      </c>
      <c r="C23" s="7" t="n">
        <v>226</v>
      </c>
      <c r="D23" s="36" t="n">
        <v>0.995594713656388</v>
      </c>
      <c r="E23" s="7" t="n">
        <v>83372994.38</v>
      </c>
      <c r="F23" s="7" t="n">
        <v>83321667.52</v>
      </c>
      <c r="G23" s="7" t="n">
        <v>51326.8599999999</v>
      </c>
      <c r="H23" s="7" t="n">
        <v>99.938437067804</v>
      </c>
      <c r="I23" s="2"/>
    </row>
    <row r="24" customFormat="false" ht="12.75" hidden="false" customHeight="false" outlineLevel="0" collapsed="false">
      <c r="A24" s="35" t="n">
        <v>2011</v>
      </c>
      <c r="B24" s="7" t="n">
        <v>264</v>
      </c>
      <c r="C24" s="7" t="n">
        <v>264</v>
      </c>
      <c r="D24" s="36" t="n">
        <v>1</v>
      </c>
      <c r="E24" s="7" t="n">
        <v>201702267.63</v>
      </c>
      <c r="F24" s="7" t="n">
        <v>201836313.02</v>
      </c>
      <c r="G24" s="7" t="n">
        <v>-134045.390000001</v>
      </c>
      <c r="H24" s="7" t="n">
        <v>100.06645705652</v>
      </c>
      <c r="I24" s="2"/>
    </row>
    <row r="25" customFormat="false" ht="12.75" hidden="false" customHeight="false" outlineLevel="0" collapsed="false">
      <c r="A25" s="35" t="n">
        <v>2012</v>
      </c>
      <c r="B25" s="7" t="n">
        <v>182</v>
      </c>
      <c r="C25" s="7" t="n">
        <v>179</v>
      </c>
      <c r="D25" s="36" t="n">
        <v>0.983516483516484</v>
      </c>
      <c r="E25" s="7" t="n">
        <v>100760771.49</v>
      </c>
      <c r="F25" s="7" t="n">
        <v>100118600.53</v>
      </c>
      <c r="G25" s="7" t="n">
        <v>642170.96</v>
      </c>
      <c r="H25" s="7" t="n">
        <v>99.3626776070648</v>
      </c>
      <c r="I25" s="2"/>
    </row>
    <row r="26" customFormat="false" ht="12.75" hidden="false" customHeight="false" outlineLevel="0" collapsed="false">
      <c r="A26" s="35" t="n">
        <v>2013</v>
      </c>
      <c r="B26" s="7" t="n">
        <v>184</v>
      </c>
      <c r="C26" s="7" t="n">
        <v>184</v>
      </c>
      <c r="D26" s="36" t="n">
        <v>1</v>
      </c>
      <c r="E26" s="7" t="n">
        <v>125235352.83</v>
      </c>
      <c r="F26" s="7" t="n">
        <v>125077165.4</v>
      </c>
      <c r="G26" s="7" t="n">
        <v>158187.43</v>
      </c>
      <c r="H26" s="7" t="n">
        <v>99.8736878793205</v>
      </c>
      <c r="I26" s="2"/>
    </row>
    <row r="27" customFormat="false" ht="12.75" hidden="false" customHeight="false" outlineLevel="0" collapsed="false">
      <c r="A27" s="35" t="n">
        <v>2014</v>
      </c>
      <c r="B27" s="7" t="n">
        <v>223</v>
      </c>
      <c r="C27" s="7" t="n">
        <v>220</v>
      </c>
      <c r="D27" s="36" t="n">
        <v>0.986547085201794</v>
      </c>
      <c r="E27" s="7" t="n">
        <v>91728988.03</v>
      </c>
      <c r="F27" s="7" t="n">
        <v>91647856.53</v>
      </c>
      <c r="G27" s="7" t="n">
        <v>81131.5000000003</v>
      </c>
      <c r="H27" s="7" t="n">
        <v>99.9115530414731</v>
      </c>
      <c r="I27" s="2"/>
    </row>
    <row r="28" customFormat="false" ht="12.75" hidden="false" customHeight="false" outlineLevel="0" collapsed="false">
      <c r="A28" s="35" t="n">
        <v>2015</v>
      </c>
      <c r="B28" s="7" t="n">
        <v>377</v>
      </c>
      <c r="C28" s="7" t="n">
        <v>370</v>
      </c>
      <c r="D28" s="36" t="n">
        <v>0.981432360742706</v>
      </c>
      <c r="E28" s="7" t="n">
        <v>156080361.53</v>
      </c>
      <c r="F28" s="7" t="n">
        <v>153460311.85</v>
      </c>
      <c r="G28" s="7" t="n">
        <v>2620049.68</v>
      </c>
      <c r="H28" s="7" t="n">
        <v>98.3213457129926</v>
      </c>
      <c r="I28" s="2"/>
    </row>
    <row r="29" customFormat="false" ht="12.75" hidden="false" customHeight="false" outlineLevel="0" collapsed="false">
      <c r="A29" s="35" t="n">
        <v>2016</v>
      </c>
      <c r="B29" s="7" t="n">
        <v>239</v>
      </c>
      <c r="C29" s="7" t="n">
        <v>230</v>
      </c>
      <c r="D29" s="36" t="n">
        <v>0.96234309623431</v>
      </c>
      <c r="E29" s="7" t="n">
        <v>114043407.71</v>
      </c>
      <c r="F29" s="7" t="n">
        <v>109991271.98</v>
      </c>
      <c r="G29" s="7" t="n">
        <v>4052135.73</v>
      </c>
      <c r="H29" s="7" t="n">
        <v>96.4468479052256</v>
      </c>
      <c r="I29" s="2"/>
    </row>
    <row r="30" customFormat="false" ht="12.75" hidden="false" customHeight="false" outlineLevel="0" collapsed="false">
      <c r="A30" s="35" t="n">
        <v>2017</v>
      </c>
      <c r="B30" s="7" t="n">
        <v>124</v>
      </c>
      <c r="C30" s="7" t="n">
        <v>115</v>
      </c>
      <c r="D30" s="36" t="n">
        <v>0.92741935483871</v>
      </c>
      <c r="E30" s="7" t="n">
        <v>63854226.57</v>
      </c>
      <c r="F30" s="7" t="n">
        <v>62426893.99</v>
      </c>
      <c r="G30" s="7" t="n">
        <v>1427332.58</v>
      </c>
      <c r="H30" s="7" t="n">
        <v>97.7647014823126</v>
      </c>
      <c r="I30" s="2"/>
    </row>
    <row r="31" customFormat="false" ht="12.75" hidden="false" customHeight="false" outlineLevel="0" collapsed="false">
      <c r="A31" s="35" t="n">
        <v>2018</v>
      </c>
      <c r="B31" s="7" t="n">
        <v>271</v>
      </c>
      <c r="C31" s="7" t="n">
        <v>248</v>
      </c>
      <c r="D31" s="36" t="n">
        <v>0.915129151291513</v>
      </c>
      <c r="E31" s="7" t="n">
        <v>119510190.7</v>
      </c>
      <c r="F31" s="7" t="n">
        <v>104036097.09</v>
      </c>
      <c r="G31" s="7" t="n">
        <v>15474093.61</v>
      </c>
      <c r="H31" s="7" t="n">
        <v>87.052071861517</v>
      </c>
      <c r="I31" s="2"/>
    </row>
    <row r="32" customFormat="false" ht="12.75" hidden="false" customHeight="false" outlineLevel="0" collapsed="false">
      <c r="A32" s="35" t="n">
        <v>2019</v>
      </c>
      <c r="B32" s="7" t="n">
        <v>224</v>
      </c>
      <c r="C32" s="7" t="n">
        <v>184</v>
      </c>
      <c r="D32" s="36" t="n">
        <v>0.821428571428571</v>
      </c>
      <c r="E32" s="7" t="n">
        <v>47810554.42</v>
      </c>
      <c r="F32" s="7" t="n">
        <v>37606343.01</v>
      </c>
      <c r="G32" s="7" t="n">
        <v>10204211.41</v>
      </c>
      <c r="H32" s="7" t="n">
        <v>78.656990001916</v>
      </c>
      <c r="I32" s="2"/>
    </row>
    <row r="33" customFormat="false" ht="12.75" hidden="false" customHeight="false" outlineLevel="0" collapsed="false">
      <c r="A33" s="35" t="n">
        <v>2020</v>
      </c>
      <c r="B33" s="7" t="n">
        <v>256</v>
      </c>
      <c r="C33" s="7" t="n">
        <v>188</v>
      </c>
      <c r="D33" s="36" t="n">
        <v>0.734375</v>
      </c>
      <c r="E33" s="7" t="n">
        <v>66951366.9</v>
      </c>
      <c r="F33" s="7" t="n">
        <v>56339986.7</v>
      </c>
      <c r="G33" s="7" t="n">
        <v>10611380.2</v>
      </c>
      <c r="H33" s="7" t="n">
        <v>84.1506145560114</v>
      </c>
      <c r="I33" s="2"/>
    </row>
    <row r="34" customFormat="false" ht="12.75" hidden="false" customHeight="false" outlineLevel="0" collapsed="false">
      <c r="A34" s="35" t="n">
        <v>2021</v>
      </c>
      <c r="B34" s="7" t="n">
        <v>292</v>
      </c>
      <c r="C34" s="7" t="n">
        <v>133</v>
      </c>
      <c r="D34" s="36" t="n">
        <v>0.455479452054795</v>
      </c>
      <c r="E34" s="7" t="n">
        <v>84474901.22</v>
      </c>
      <c r="F34" s="7" t="n">
        <v>52942575.1846293</v>
      </c>
      <c r="G34" s="7" t="n">
        <v>31532326.0353707</v>
      </c>
      <c r="H34" s="7" t="n">
        <v>62.6725505683039</v>
      </c>
      <c r="I34" s="2"/>
    </row>
    <row r="35" customFormat="false" ht="12.75" hidden="false" customHeight="false" outlineLevel="0" collapsed="false">
      <c r="A35" s="35" t="n">
        <v>2022</v>
      </c>
      <c r="B35" s="7" t="n">
        <v>216</v>
      </c>
      <c r="C35" s="7" t="n">
        <v>29</v>
      </c>
      <c r="D35" s="36" t="n">
        <v>0.134259259259259</v>
      </c>
      <c r="E35" s="7" t="n">
        <v>85019979</v>
      </c>
      <c r="F35" s="7" t="n">
        <v>18063121.71</v>
      </c>
      <c r="G35" s="7" t="n">
        <v>66956857.29</v>
      </c>
      <c r="H35" s="7" t="n">
        <v>21.2457376753763</v>
      </c>
      <c r="I35" s="2"/>
    </row>
    <row r="36" customFormat="false" ht="12.75" hidden="false" customHeight="false" outlineLevel="0" collapsed="false">
      <c r="A36" s="35" t="n">
        <v>2023</v>
      </c>
      <c r="B36" s="7" t="n">
        <v>354</v>
      </c>
      <c r="C36" s="7" t="n">
        <v>4</v>
      </c>
      <c r="D36" s="36" t="n">
        <v>0.0112994350282486</v>
      </c>
      <c r="E36" s="7" t="n">
        <v>112090169</v>
      </c>
      <c r="F36" s="7" t="n">
        <v>1133497.98</v>
      </c>
      <c r="G36" s="7" t="n">
        <v>110956671.02</v>
      </c>
      <c r="H36" s="7" t="n">
        <v>1.01123764029654</v>
      </c>
      <c r="I36" s="2"/>
    </row>
    <row r="37" customFormat="false" ht="12.75" hidden="false" customHeight="false" outlineLevel="0" collapsed="false">
      <c r="A37" s="18" t="s">
        <v>32</v>
      </c>
      <c r="B37" s="19" t="n">
        <v>9517</v>
      </c>
      <c r="C37" s="19" t="n">
        <v>8658</v>
      </c>
      <c r="D37" s="37" t="n">
        <v>0.909740464432069</v>
      </c>
      <c r="E37" s="19" t="n">
        <v>3625995846.18001</v>
      </c>
      <c r="F37" s="19" t="n">
        <v>3371071094.60463</v>
      </c>
      <c r="G37" s="19" t="n">
        <v>254924751.575371</v>
      </c>
      <c r="H37" s="19" t="n">
        <v>92.9695244454308</v>
      </c>
      <c r="I37" s="2"/>
    </row>
    <row r="38" customFormat="false" ht="12.75" hidden="false" customHeight="false" outlineLevel="0" collapsed="false">
      <c r="A38" s="2"/>
      <c r="I38" s="2"/>
    </row>
    <row r="39" customFormat="false" ht="12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2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2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2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12" activeCellId="0" sqref="B12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.14"/>
    <col collapsed="false" customWidth="true" hidden="false" outlineLevel="0" max="3" min="3" style="0" width="13.15"/>
    <col collapsed="false" customWidth="true" hidden="false" outlineLevel="0" max="5" min="4" style="0" width="12.86"/>
    <col collapsed="false" customWidth="true" hidden="false" outlineLevel="0" max="6" min="6" style="0" width="10.85"/>
    <col collapsed="false" customWidth="true" hidden="false" outlineLevel="0" max="7" min="7" style="0" width="11"/>
    <col collapsed="false" customWidth="true" hidden="false" outlineLevel="0" max="8" min="8" style="0" width="11.43"/>
    <col collapsed="false" customWidth="true" hidden="false" outlineLevel="0" max="9" min="9" style="0" width="16.71"/>
    <col collapsed="false" customWidth="true" hidden="false" outlineLevel="0" max="10" min="10" style="0" width="17"/>
    <col collapsed="false" customWidth="true" hidden="false" outlineLevel="0" max="11" min="11" style="0" width="16.29"/>
    <col collapsed="false" customWidth="true" hidden="false" outlineLevel="0" max="12" min="12" style="0" width="12.29"/>
    <col collapsed="false" customWidth="true" hidden="false" outlineLevel="0" max="13" min="13" style="0" width="12.71"/>
  </cols>
  <sheetData>
    <row r="1" customFormat="false" ht="15" hidden="false" customHeight="false" outlineLevel="0" collapsed="false">
      <c r="A1" s="38" t="s">
        <v>48</v>
      </c>
    </row>
    <row r="2" customFormat="false" ht="12.75" hidden="false" customHeight="false" outlineLevel="0" collapsed="false">
      <c r="A2" s="39"/>
      <c r="N2" s="2"/>
      <c r="O2" s="2"/>
    </row>
    <row r="3" s="42" customFormat="true" ht="58" hidden="false" customHeight="false" outlineLevel="0" collapsed="false">
      <c r="A3" s="40" t="s">
        <v>49</v>
      </c>
      <c r="B3" s="32" t="s">
        <v>4</v>
      </c>
      <c r="C3" s="32" t="s">
        <v>44</v>
      </c>
      <c r="D3" s="32" t="s">
        <v>47</v>
      </c>
      <c r="E3" s="32" t="s">
        <v>50</v>
      </c>
      <c r="F3" s="32" t="s">
        <v>51</v>
      </c>
      <c r="G3" s="32" t="s">
        <v>52</v>
      </c>
      <c r="H3" s="32" t="s">
        <v>53</v>
      </c>
      <c r="I3" s="32" t="s">
        <v>54</v>
      </c>
      <c r="J3" s="32" t="s">
        <v>55</v>
      </c>
      <c r="K3" s="32" t="s">
        <v>56</v>
      </c>
      <c r="L3" s="32" t="s">
        <v>57</v>
      </c>
      <c r="M3" s="32" t="s">
        <v>58</v>
      </c>
      <c r="N3" s="41"/>
      <c r="O3" s="41"/>
    </row>
    <row r="4" s="42" customFormat="true" ht="15" hidden="false" customHeight="false" outlineLevel="0" collapsed="false">
      <c r="A4" s="43" t="s">
        <v>32</v>
      </c>
      <c r="B4" s="44" t="n">
        <v>3063</v>
      </c>
      <c r="C4" s="44" t="n">
        <v>2564570298.92</v>
      </c>
      <c r="D4" s="44" t="n">
        <v>99.7057189532617</v>
      </c>
      <c r="E4" s="45" t="n">
        <v>277555.32</v>
      </c>
      <c r="F4" s="46" t="n">
        <v>204189</v>
      </c>
      <c r="G4" s="45"/>
      <c r="H4" s="45"/>
      <c r="I4" s="45"/>
      <c r="J4" s="45"/>
      <c r="K4" s="47" t="n">
        <v>13.9693473961767</v>
      </c>
      <c r="L4" s="44" t="n">
        <v>38</v>
      </c>
      <c r="M4" s="48" t="n">
        <v>5.32350915713962</v>
      </c>
      <c r="N4" s="41"/>
      <c r="O4" s="49"/>
    </row>
    <row r="5" s="42" customFormat="true" ht="12.75" hidden="false" customHeight="false" outlineLevel="0" collapsed="false">
      <c r="A5" s="50" t="s">
        <v>59</v>
      </c>
      <c r="B5" s="23"/>
      <c r="C5" s="51"/>
      <c r="D5" s="51"/>
      <c r="E5" s="51"/>
      <c r="F5" s="52"/>
      <c r="G5" s="51"/>
      <c r="H5" s="51"/>
      <c r="I5" s="51"/>
      <c r="J5" s="51"/>
      <c r="K5" s="51"/>
      <c r="L5" s="51"/>
      <c r="M5" s="31"/>
      <c r="N5" s="41"/>
      <c r="O5" s="41"/>
    </row>
    <row r="6" customFormat="false" ht="12.75" hidden="false" customHeight="false" outlineLevel="0" collapsed="false">
      <c r="A6" s="53" t="s">
        <v>60</v>
      </c>
      <c r="B6" s="54" t="n">
        <v>543</v>
      </c>
      <c r="C6" s="54" t="n">
        <v>177621994.74</v>
      </c>
      <c r="D6" s="54" t="n">
        <v>99.1405262438165</v>
      </c>
      <c r="E6" s="55" t="n">
        <v>18566.83</v>
      </c>
      <c r="F6" s="56" t="n">
        <v>0</v>
      </c>
      <c r="G6" s="55"/>
      <c r="H6" s="55"/>
      <c r="I6" s="55"/>
      <c r="J6" s="55"/>
      <c r="K6" s="57" t="n">
        <v>11.5147601476015</v>
      </c>
      <c r="L6" s="54" t="n">
        <v>40.4456721915285</v>
      </c>
      <c r="M6" s="58" t="n">
        <v>9.56663010002246</v>
      </c>
      <c r="N6" s="2"/>
      <c r="O6" s="2"/>
    </row>
    <row r="7" customFormat="false" ht="12.75" hidden="false" customHeight="false" outlineLevel="0" collapsed="false">
      <c r="A7" s="53" t="s">
        <v>61</v>
      </c>
      <c r="B7" s="59" t="n">
        <v>1600</v>
      </c>
      <c r="C7" s="59" t="n">
        <v>1898940809.92</v>
      </c>
      <c r="D7" s="59" t="n">
        <v>99.7496951587343</v>
      </c>
      <c r="E7" s="8" t="n">
        <v>216055.22</v>
      </c>
      <c r="F7" s="7" t="n">
        <v>184239</v>
      </c>
      <c r="G7" s="8"/>
      <c r="H7" s="8"/>
      <c r="I7" s="8"/>
      <c r="J7" s="8"/>
      <c r="K7" s="60" t="n">
        <v>15.484867591425</v>
      </c>
      <c r="L7" s="59" t="n">
        <v>37.98125</v>
      </c>
      <c r="M7" s="61" t="n">
        <v>4.74386267660823</v>
      </c>
      <c r="N7" s="2"/>
      <c r="O7" s="2"/>
    </row>
    <row r="8" customFormat="false" ht="12.75" hidden="false" customHeight="false" outlineLevel="0" collapsed="false">
      <c r="A8" s="53" t="s">
        <v>62</v>
      </c>
      <c r="B8" s="59" t="n">
        <v>169</v>
      </c>
      <c r="C8" s="59" t="n">
        <v>73078472.72</v>
      </c>
      <c r="D8" s="59" t="n">
        <v>99.9592502841239</v>
      </c>
      <c r="E8" s="8" t="n">
        <v>8050.5</v>
      </c>
      <c r="F8" s="7" t="n">
        <v>175</v>
      </c>
      <c r="G8" s="8"/>
      <c r="H8" s="8"/>
      <c r="I8" s="8"/>
      <c r="J8" s="8"/>
      <c r="K8" s="60" t="n">
        <v>9.64670658682635</v>
      </c>
      <c r="L8" s="59" t="n">
        <v>34.2485207100592</v>
      </c>
      <c r="M8" s="61" t="n">
        <v>8.88438061151297</v>
      </c>
      <c r="N8" s="2"/>
      <c r="O8" s="2"/>
    </row>
    <row r="9" customFormat="false" ht="12.75" hidden="false" customHeight="false" outlineLevel="0" collapsed="false">
      <c r="A9" s="53" t="s">
        <v>63</v>
      </c>
      <c r="B9" s="62" t="n">
        <v>751</v>
      </c>
      <c r="C9" s="62" t="n">
        <v>414929021.54</v>
      </c>
      <c r="D9" s="62" t="n">
        <v>99.7017538480661</v>
      </c>
      <c r="E9" s="63" t="n">
        <v>34882.77</v>
      </c>
      <c r="F9" s="64" t="n">
        <v>19775</v>
      </c>
      <c r="G9" s="63"/>
      <c r="H9" s="63"/>
      <c r="I9" s="63"/>
      <c r="J9" s="63"/>
      <c r="K9" s="65" t="n">
        <v>13.4939106901218</v>
      </c>
      <c r="L9" s="62" t="n">
        <v>37.1930758988016</v>
      </c>
      <c r="M9" s="66" t="n">
        <v>7.5914004823102</v>
      </c>
      <c r="N9" s="2"/>
      <c r="O9" s="2"/>
    </row>
    <row r="10" s="42" customFormat="true" ht="12.75" hidden="false" customHeight="false" outlineLevel="0" collapsed="false">
      <c r="A10" s="67" t="s">
        <v>64</v>
      </c>
      <c r="B10" s="68"/>
      <c r="C10" s="69"/>
      <c r="D10" s="69"/>
      <c r="E10" s="69"/>
      <c r="F10" s="70"/>
      <c r="G10" s="69"/>
      <c r="H10" s="69"/>
      <c r="I10" s="69"/>
      <c r="J10" s="69"/>
      <c r="K10" s="69"/>
      <c r="L10" s="69"/>
      <c r="M10" s="18"/>
      <c r="N10" s="41"/>
      <c r="O10" s="41"/>
    </row>
    <row r="11" customFormat="false" ht="12.75" hidden="false" customHeight="false" outlineLevel="0" collapsed="false">
      <c r="A11" s="53" t="s">
        <v>65</v>
      </c>
      <c r="B11" s="54" t="n">
        <v>127</v>
      </c>
      <c r="C11" s="54" t="n">
        <v>82501518.48</v>
      </c>
      <c r="D11" s="54" t="n">
        <v>100.000000630291</v>
      </c>
      <c r="E11" s="55" t="n">
        <v>27449</v>
      </c>
      <c r="F11" s="56" t="n">
        <v>0</v>
      </c>
      <c r="G11" s="55"/>
      <c r="H11" s="55"/>
      <c r="I11" s="55"/>
      <c r="J11" s="55"/>
      <c r="K11" s="57" t="n">
        <v>15.992125984252</v>
      </c>
      <c r="L11" s="54" t="n">
        <v>42.9291338582677</v>
      </c>
      <c r="M11" s="58" t="n">
        <v>3.00562929359904</v>
      </c>
      <c r="N11" s="2"/>
      <c r="O11" s="2"/>
    </row>
    <row r="12" customFormat="false" ht="12.75" hidden="false" customHeight="false" outlineLevel="0" collapsed="false">
      <c r="A12" s="53" t="s">
        <v>66</v>
      </c>
      <c r="B12" s="59" t="n">
        <v>1006</v>
      </c>
      <c r="C12" s="59" t="n">
        <v>378858555.55</v>
      </c>
      <c r="D12" s="59" t="n">
        <v>99.9982607387629</v>
      </c>
      <c r="E12" s="8" t="n">
        <v>69471.2000000001</v>
      </c>
      <c r="F12" s="7" t="n">
        <v>0</v>
      </c>
      <c r="G12" s="8"/>
      <c r="H12" s="8"/>
      <c r="I12" s="8"/>
      <c r="J12" s="8"/>
      <c r="K12" s="60" t="n">
        <v>14.6341948310139</v>
      </c>
      <c r="L12" s="59" t="n">
        <v>34.0526838966203</v>
      </c>
      <c r="M12" s="61" t="n">
        <v>5.45346209004594</v>
      </c>
      <c r="N12" s="2"/>
      <c r="O12" s="2"/>
    </row>
    <row r="13" customFormat="false" ht="12.75" hidden="false" customHeight="false" outlineLevel="0" collapsed="false">
      <c r="A13" s="53" t="s">
        <v>67</v>
      </c>
      <c r="B13" s="59" t="n">
        <v>123</v>
      </c>
      <c r="C13" s="59" t="n">
        <v>99900005.36</v>
      </c>
      <c r="D13" s="59" t="n">
        <v>99.9999996396397</v>
      </c>
      <c r="E13" s="8" t="n">
        <v>7992.5</v>
      </c>
      <c r="F13" s="7" t="n">
        <v>0</v>
      </c>
      <c r="G13" s="8"/>
      <c r="H13" s="8"/>
      <c r="I13" s="8"/>
      <c r="J13" s="8"/>
      <c r="K13" s="60" t="n">
        <v>9.43089430894309</v>
      </c>
      <c r="L13" s="59" t="n">
        <v>48.7804878048781</v>
      </c>
      <c r="M13" s="61" t="n">
        <v>12.4992186875196</v>
      </c>
      <c r="N13" s="2"/>
      <c r="O13" s="2"/>
    </row>
    <row r="14" customFormat="false" ht="12.75" hidden="false" customHeight="false" outlineLevel="0" collapsed="false">
      <c r="A14" s="53" t="s">
        <v>68</v>
      </c>
      <c r="B14" s="59" t="n">
        <v>39</v>
      </c>
      <c r="C14" s="59" t="n">
        <v>71476177</v>
      </c>
      <c r="D14" s="59" t="n">
        <v>100</v>
      </c>
      <c r="E14" s="8" t="n">
        <v>42111.4</v>
      </c>
      <c r="F14" s="7" t="n">
        <v>41958</v>
      </c>
      <c r="G14" s="8"/>
      <c r="H14" s="8"/>
      <c r="I14" s="8"/>
      <c r="J14" s="8"/>
      <c r="K14" s="60" t="n">
        <v>16.921052631579</v>
      </c>
      <c r="L14" s="59" t="n">
        <v>30.4358974358974</v>
      </c>
      <c r="M14" s="61" t="n">
        <v>0.850204438237932</v>
      </c>
      <c r="N14" s="2"/>
      <c r="O14" s="2"/>
    </row>
    <row r="15" customFormat="false" ht="12.75" hidden="false" customHeight="false" outlineLevel="0" collapsed="false">
      <c r="A15" s="53" t="s">
        <v>69</v>
      </c>
      <c r="B15" s="59" t="n">
        <v>4</v>
      </c>
      <c r="C15" s="59" t="n">
        <v>2287376</v>
      </c>
      <c r="D15" s="59" t="n">
        <v>100</v>
      </c>
      <c r="E15" s="8" t="n">
        <v>418.6</v>
      </c>
      <c r="F15" s="7" t="n">
        <v>0</v>
      </c>
      <c r="G15" s="8"/>
      <c r="H15" s="8"/>
      <c r="I15" s="8"/>
      <c r="J15" s="8"/>
      <c r="K15" s="60" t="n">
        <v>28</v>
      </c>
      <c r="L15" s="59" t="n">
        <v>77.5</v>
      </c>
      <c r="M15" s="61" t="n">
        <v>5.46434782608696</v>
      </c>
      <c r="N15" s="2"/>
      <c r="O15" s="2"/>
    </row>
    <row r="16" customFormat="false" ht="12.75" hidden="false" customHeight="false" outlineLevel="0" collapsed="false">
      <c r="A16" s="53" t="s">
        <v>70</v>
      </c>
      <c r="B16" s="59" t="n">
        <v>8</v>
      </c>
      <c r="C16" s="59" t="n">
        <v>16059360</v>
      </c>
      <c r="D16" s="59" t="n">
        <v>100</v>
      </c>
      <c r="E16" s="8" t="n">
        <v>1574</v>
      </c>
      <c r="F16" s="7" t="n">
        <v>0</v>
      </c>
      <c r="G16" s="8"/>
      <c r="H16" s="8"/>
      <c r="I16" s="8"/>
      <c r="J16" s="8"/>
      <c r="K16" s="60" t="n">
        <v>11.5</v>
      </c>
      <c r="L16" s="59" t="n">
        <v>20.25</v>
      </c>
      <c r="M16" s="61" t="n">
        <v>10.2028970775095</v>
      </c>
      <c r="N16" s="2"/>
      <c r="O16" s="2"/>
    </row>
    <row r="17" customFormat="false" ht="12.75" hidden="false" customHeight="false" outlineLevel="0" collapsed="false">
      <c r="A17" s="53" t="s">
        <v>71</v>
      </c>
      <c r="B17" s="59" t="n">
        <v>30</v>
      </c>
      <c r="C17" s="59" t="n">
        <v>120252626.53</v>
      </c>
      <c r="D17" s="59" t="n">
        <v>100.000000390844</v>
      </c>
      <c r="E17" s="8" t="n">
        <v>19572.5</v>
      </c>
      <c r="F17" s="7" t="n">
        <v>52162</v>
      </c>
      <c r="G17" s="8"/>
      <c r="H17" s="8"/>
      <c r="I17" s="8"/>
      <c r="J17" s="8"/>
      <c r="K17" s="60" t="n">
        <v>10.3</v>
      </c>
      <c r="L17" s="59" t="n">
        <v>27</v>
      </c>
      <c r="M17" s="61" t="n">
        <v>1.67635693466881</v>
      </c>
      <c r="N17" s="2"/>
      <c r="O17" s="2"/>
    </row>
    <row r="18" customFormat="false" ht="12.75" hidden="false" customHeight="false" outlineLevel="0" collapsed="false">
      <c r="A18" s="53" t="s">
        <v>72</v>
      </c>
      <c r="B18" s="59" t="n">
        <v>916</v>
      </c>
      <c r="C18" s="59" t="n">
        <v>839693939.51</v>
      </c>
      <c r="D18" s="59" t="n">
        <v>99.1025588389506</v>
      </c>
      <c r="E18" s="8" t="n">
        <v>57055.62</v>
      </c>
      <c r="F18" s="7" t="n">
        <v>10988</v>
      </c>
      <c r="G18" s="8"/>
      <c r="H18" s="8"/>
      <c r="I18" s="8"/>
      <c r="J18" s="8"/>
      <c r="K18" s="60" t="n">
        <v>11.8579418344519</v>
      </c>
      <c r="L18" s="59" t="n">
        <v>41.7751091703057</v>
      </c>
      <c r="M18" s="61" t="n">
        <v>12.3405242035918</v>
      </c>
      <c r="N18" s="2"/>
      <c r="O18" s="2"/>
    </row>
    <row r="19" customFormat="false" ht="12.75" hidden="false" customHeight="false" outlineLevel="0" collapsed="false">
      <c r="A19" s="53" t="s">
        <v>73</v>
      </c>
      <c r="B19" s="59" t="n">
        <v>62</v>
      </c>
      <c r="C19" s="59" t="n">
        <v>416148243.35</v>
      </c>
      <c r="D19" s="59" t="n">
        <v>99.9999999158954</v>
      </c>
      <c r="E19" s="8" t="n">
        <v>0</v>
      </c>
      <c r="F19" s="7" t="n">
        <v>99081</v>
      </c>
      <c r="G19" s="8"/>
      <c r="H19" s="8"/>
      <c r="I19" s="8"/>
      <c r="J19" s="8"/>
      <c r="K19" s="60" t="n">
        <v>8.7</v>
      </c>
      <c r="L19" s="59" t="n">
        <v>20</v>
      </c>
      <c r="M19" s="61" t="n">
        <v>4.20008117953997</v>
      </c>
      <c r="N19" s="2"/>
      <c r="O19" s="2"/>
    </row>
    <row r="20" customFormat="false" ht="12.75" hidden="false" customHeight="false" outlineLevel="0" collapsed="false">
      <c r="A20" s="53" t="s">
        <v>74</v>
      </c>
      <c r="B20" s="59" t="n">
        <v>617</v>
      </c>
      <c r="C20" s="59" t="n">
        <v>441966838.27</v>
      </c>
      <c r="D20" s="59" t="n">
        <v>99.9989373976522</v>
      </c>
      <c r="E20" s="8" t="n">
        <v>44565.1</v>
      </c>
      <c r="F20" s="7" t="n">
        <v>0</v>
      </c>
      <c r="G20" s="8"/>
      <c r="H20" s="8"/>
      <c r="I20" s="8"/>
      <c r="J20" s="8"/>
      <c r="K20" s="60" t="n">
        <v>15.8292682926829</v>
      </c>
      <c r="L20" s="59" t="n">
        <v>39.6499189627229</v>
      </c>
      <c r="M20" s="61" t="n">
        <v>9.91733078732012</v>
      </c>
      <c r="N20" s="2"/>
      <c r="O20" s="2"/>
    </row>
    <row r="21" customFormat="false" ht="12.75" hidden="false" customHeight="false" outlineLevel="0" collapsed="false">
      <c r="A21" s="53" t="s">
        <v>75</v>
      </c>
      <c r="B21" s="59" t="n">
        <v>128</v>
      </c>
      <c r="C21" s="59" t="n">
        <v>94351803.87</v>
      </c>
      <c r="D21" s="59" t="n">
        <v>100.000000137782</v>
      </c>
      <c r="E21" s="8" t="n">
        <v>7285</v>
      </c>
      <c r="F21" s="7" t="n">
        <v>0</v>
      </c>
      <c r="G21" s="8"/>
      <c r="H21" s="8"/>
      <c r="I21" s="8"/>
      <c r="J21" s="8"/>
      <c r="K21" s="60" t="n">
        <v>19.28125</v>
      </c>
      <c r="L21" s="59" t="n">
        <v>32.8359375</v>
      </c>
      <c r="M21" s="61" t="n">
        <v>12.9515173466026</v>
      </c>
      <c r="N21" s="2"/>
      <c r="O21" s="2"/>
    </row>
    <row r="22" customFormat="false" ht="12.75" hidden="false" customHeight="false" outlineLevel="0" collapsed="false">
      <c r="A22" s="53" t="s">
        <v>76</v>
      </c>
      <c r="B22" s="59" t="n">
        <v>3</v>
      </c>
      <c r="C22" s="59" t="n">
        <v>1073855</v>
      </c>
      <c r="D22" s="59" t="n">
        <v>100</v>
      </c>
      <c r="E22" s="8" t="n">
        <v>60.4</v>
      </c>
      <c r="F22" s="7" t="n">
        <v>0</v>
      </c>
      <c r="G22" s="8"/>
      <c r="H22" s="8"/>
      <c r="I22" s="8"/>
      <c r="J22" s="8"/>
      <c r="K22" s="60" t="n">
        <v>14.6666666666667</v>
      </c>
      <c r="L22" s="59" t="n">
        <v>33.6666666666667</v>
      </c>
      <c r="M22" s="61" t="n">
        <v>17.7790562913907</v>
      </c>
      <c r="N22" s="2"/>
      <c r="O22" s="2"/>
    </row>
    <row r="23" customFormat="false" ht="12.75" hidden="false" customHeight="false" outlineLevel="0" collapsed="false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2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2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2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2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2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I23" activeCellId="0" sqref="I23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6.14"/>
    <col collapsed="false" customWidth="true" hidden="false" outlineLevel="0" max="3" min="3" style="0" width="12.15"/>
    <col collapsed="false" customWidth="true" hidden="false" outlineLevel="0" max="4" min="4" style="0" width="9.71"/>
    <col collapsed="false" customWidth="true" hidden="false" outlineLevel="0" max="5" min="5" style="0" width="13.29"/>
    <col collapsed="false" customWidth="true" hidden="false" outlineLevel="0" max="6" min="6" style="0" width="12.29"/>
    <col collapsed="false" customWidth="true" hidden="false" outlineLevel="0" max="7" min="7" style="0" width="4"/>
    <col collapsed="false" customWidth="true" hidden="false" outlineLevel="0" max="8" min="8" style="0" width="11"/>
    <col collapsed="false" customWidth="true" hidden="false" outlineLevel="0" max="9" min="9" style="0" width="11.85"/>
    <col collapsed="false" customWidth="true" hidden="false" outlineLevel="0" max="10" min="10" style="0" width="11"/>
    <col collapsed="false" customWidth="true" hidden="false" outlineLevel="0" max="11" min="11" style="0" width="17.42"/>
  </cols>
  <sheetData>
    <row r="1" customFormat="false" ht="15" hidden="false" customHeight="false" outlineLevel="0" collapsed="false">
      <c r="A1" s="1" t="s">
        <v>77</v>
      </c>
      <c r="G1" s="2"/>
      <c r="H1" s="2"/>
    </row>
    <row r="2" customFormat="false" ht="12.75" hidden="false" customHeight="false" outlineLevel="0" collapsed="false">
      <c r="A2" s="3"/>
      <c r="G2" s="2"/>
      <c r="H2" s="2"/>
    </row>
    <row r="3" customFormat="false" ht="69.3" hidden="false" customHeight="false" outlineLevel="0" collapsed="false">
      <c r="A3" s="71" t="s">
        <v>49</v>
      </c>
      <c r="B3" s="72" t="s">
        <v>78</v>
      </c>
      <c r="C3" s="32" t="s">
        <v>44</v>
      </c>
      <c r="D3" s="32" t="s">
        <v>47</v>
      </c>
      <c r="E3" s="32" t="s">
        <v>56</v>
      </c>
      <c r="F3" s="32" t="s">
        <v>57</v>
      </c>
      <c r="G3" s="2"/>
      <c r="H3" s="2"/>
    </row>
    <row r="4" customFormat="false" ht="12.75" hidden="false" customHeight="false" outlineLevel="0" collapsed="false">
      <c r="A4" s="4" t="s">
        <v>32</v>
      </c>
      <c r="B4" s="44" t="n">
        <v>3810</v>
      </c>
      <c r="C4" s="44" t="n">
        <v>605582649.03</v>
      </c>
      <c r="D4" s="44" t="n">
        <v>99.4658340186626</v>
      </c>
      <c r="E4" s="44" t="n">
        <v>12.1426233978729</v>
      </c>
      <c r="F4" s="44" t="n">
        <v>37.4073490813648</v>
      </c>
      <c r="G4" s="2"/>
      <c r="H4" s="2"/>
    </row>
    <row r="5" customFormat="false" ht="12.75" hidden="false" customHeight="false" outlineLevel="0" collapsed="false">
      <c r="A5" s="73" t="s">
        <v>59</v>
      </c>
      <c r="B5" s="74"/>
      <c r="C5" s="51"/>
      <c r="D5" s="51"/>
      <c r="E5" s="51"/>
      <c r="F5" s="31"/>
      <c r="G5" s="2"/>
      <c r="H5" s="2"/>
    </row>
    <row r="6" customFormat="false" ht="15" hidden="false" customHeight="false" outlineLevel="0" collapsed="false">
      <c r="A6" s="6" t="s">
        <v>60</v>
      </c>
      <c r="B6" s="54" t="n">
        <v>1173</v>
      </c>
      <c r="C6" s="54" t="n">
        <v>103169942.7</v>
      </c>
      <c r="D6" s="54" t="n">
        <v>99.3336474635844</v>
      </c>
      <c r="E6" s="54" t="n">
        <v>11.9870801033592</v>
      </c>
      <c r="F6" s="75" t="n">
        <v>37.2455242966752</v>
      </c>
      <c r="G6" s="2"/>
      <c r="H6" s="2"/>
      <c r="I6" s="9"/>
    </row>
    <row r="7" customFormat="false" ht="12.75" hidden="false" customHeight="false" outlineLevel="0" collapsed="false">
      <c r="A7" s="6" t="s">
        <v>61</v>
      </c>
      <c r="B7" s="59" t="n">
        <v>1158</v>
      </c>
      <c r="C7" s="59" t="n">
        <v>175171538.6</v>
      </c>
      <c r="D7" s="59" t="n">
        <v>100.115877802765</v>
      </c>
      <c r="E7" s="59" t="n">
        <v>13.4798245614035</v>
      </c>
      <c r="F7" s="75" t="n">
        <v>40.1200345423143</v>
      </c>
      <c r="G7" s="2"/>
      <c r="H7" s="2"/>
    </row>
    <row r="8" customFormat="false" ht="12.75" hidden="false" customHeight="false" outlineLevel="0" collapsed="false">
      <c r="A8" s="6" t="s">
        <v>62</v>
      </c>
      <c r="B8" s="59" t="n">
        <v>250</v>
      </c>
      <c r="C8" s="59" t="n">
        <v>23576338.95</v>
      </c>
      <c r="D8" s="59" t="n">
        <v>99.5511594475104</v>
      </c>
      <c r="E8" s="59" t="n">
        <v>8.89211618257261</v>
      </c>
      <c r="F8" s="75" t="n">
        <v>32.268</v>
      </c>
      <c r="G8" s="2"/>
      <c r="H8" s="2"/>
    </row>
    <row r="9" customFormat="false" ht="12.75" hidden="false" customHeight="false" outlineLevel="0" collapsed="false">
      <c r="A9" s="6" t="s">
        <v>79</v>
      </c>
      <c r="B9" s="59" t="n">
        <v>323</v>
      </c>
      <c r="C9" s="59" t="n">
        <v>195629516.15</v>
      </c>
      <c r="D9" s="59" t="n">
        <v>98.8982570767351</v>
      </c>
      <c r="E9" s="59" t="n">
        <v>5.8508064516129</v>
      </c>
      <c r="F9" s="75" t="n">
        <v>22.3498452012384</v>
      </c>
      <c r="G9" s="2"/>
      <c r="H9" s="2"/>
    </row>
    <row r="10" customFormat="false" ht="12.75" hidden="false" customHeight="false" outlineLevel="0" collapsed="false">
      <c r="A10" s="6" t="s">
        <v>63</v>
      </c>
      <c r="B10" s="62" t="n">
        <v>906</v>
      </c>
      <c r="C10" s="62" t="n">
        <v>108035312.63</v>
      </c>
      <c r="D10" s="62" t="n">
        <v>99.5472115847202</v>
      </c>
      <c r="E10" s="62" t="n">
        <v>13.2827822120867</v>
      </c>
      <c r="F10" s="75" t="n">
        <v>40.9359823399559</v>
      </c>
      <c r="G10" s="2"/>
      <c r="H10" s="2"/>
    </row>
    <row r="11" customFormat="false" ht="12.75" hidden="false" customHeight="false" outlineLevel="0" collapsed="false">
      <c r="A11" s="76" t="s">
        <v>64</v>
      </c>
      <c r="B11" s="77"/>
      <c r="C11" s="78"/>
      <c r="D11" s="78"/>
      <c r="E11" s="78"/>
      <c r="F11" s="79"/>
      <c r="G11" s="2"/>
      <c r="H11" s="2"/>
    </row>
    <row r="12" customFormat="false" ht="12.75" hidden="false" customHeight="false" outlineLevel="0" collapsed="false">
      <c r="A12" s="6" t="s">
        <v>65</v>
      </c>
      <c r="B12" s="54" t="n">
        <v>31</v>
      </c>
      <c r="C12" s="54" t="n">
        <v>2461265</v>
      </c>
      <c r="D12" s="54" t="n">
        <v>100</v>
      </c>
      <c r="E12" s="54" t="n">
        <v>10.5666666666667</v>
      </c>
      <c r="F12" s="54" t="n">
        <v>36.2903225806452</v>
      </c>
      <c r="G12" s="2"/>
      <c r="H12" s="2"/>
    </row>
    <row r="13" customFormat="false" ht="12.75" hidden="false" customHeight="false" outlineLevel="0" collapsed="false">
      <c r="A13" s="6" t="s">
        <v>80</v>
      </c>
      <c r="B13" s="59" t="n">
        <v>17</v>
      </c>
      <c r="C13" s="59" t="n">
        <v>8695865</v>
      </c>
      <c r="D13" s="59" t="n">
        <v>99.9979509801498</v>
      </c>
      <c r="E13" s="59" t="n">
        <v>11</v>
      </c>
      <c r="F13" s="59" t="n">
        <v>64.8823529411765</v>
      </c>
      <c r="G13" s="2"/>
      <c r="H13" s="2"/>
    </row>
    <row r="14" customFormat="false" ht="12.75" hidden="false" customHeight="false" outlineLevel="0" collapsed="false">
      <c r="A14" s="6" t="s">
        <v>66</v>
      </c>
      <c r="B14" s="59" t="n">
        <v>34</v>
      </c>
      <c r="C14" s="59" t="n">
        <v>10543567.31</v>
      </c>
      <c r="D14" s="59" t="n">
        <v>99.9999970598187</v>
      </c>
      <c r="E14" s="59" t="n">
        <v>13.9411764705882</v>
      </c>
      <c r="F14" s="59" t="n">
        <v>35.8529411764706</v>
      </c>
      <c r="G14" s="2"/>
      <c r="H14" s="2"/>
    </row>
    <row r="15" customFormat="false" ht="12.75" hidden="false" customHeight="false" outlineLevel="0" collapsed="false">
      <c r="A15" s="6" t="s">
        <v>67</v>
      </c>
      <c r="B15" s="59" t="n">
        <v>137</v>
      </c>
      <c r="C15" s="59" t="n">
        <v>21224434.35</v>
      </c>
      <c r="D15" s="59" t="n">
        <v>99.9999948172942</v>
      </c>
      <c r="E15" s="59" t="n">
        <v>9.45112781954887</v>
      </c>
      <c r="F15" s="59" t="n">
        <v>39.4306569343066</v>
      </c>
      <c r="G15" s="2"/>
      <c r="H15" s="2"/>
    </row>
    <row r="16" customFormat="false" ht="12.75" hidden="false" customHeight="false" outlineLevel="0" collapsed="false">
      <c r="A16" s="6" t="s">
        <v>68</v>
      </c>
      <c r="B16" s="59" t="n">
        <v>82</v>
      </c>
      <c r="C16" s="59" t="n">
        <v>11238155.67</v>
      </c>
      <c r="D16" s="59" t="n">
        <v>99.9999940381676</v>
      </c>
      <c r="E16" s="59" t="n">
        <v>16.5774647887324</v>
      </c>
      <c r="F16" s="59" t="n">
        <v>43.6463414634146</v>
      </c>
      <c r="G16" s="2"/>
      <c r="H16" s="2"/>
    </row>
    <row r="17" customFormat="false" ht="12.75" hidden="false" customHeight="false" outlineLevel="0" collapsed="false">
      <c r="A17" s="6" t="s">
        <v>69</v>
      </c>
      <c r="B17" s="59" t="n">
        <v>1</v>
      </c>
      <c r="C17" s="59" t="n">
        <v>53792</v>
      </c>
      <c r="D17" s="59" t="n">
        <v>100</v>
      </c>
      <c r="E17" s="59" t="n">
        <v>56</v>
      </c>
      <c r="F17" s="59" t="n">
        <v>58</v>
      </c>
      <c r="G17" s="2"/>
      <c r="H17" s="2"/>
    </row>
    <row r="18" customFormat="false" ht="12.75" hidden="false" customHeight="false" outlineLevel="0" collapsed="false">
      <c r="A18" s="6" t="s">
        <v>70</v>
      </c>
      <c r="B18" s="59" t="n">
        <v>1</v>
      </c>
      <c r="C18" s="59" t="n">
        <v>76499</v>
      </c>
      <c r="D18" s="59" t="n">
        <v>100</v>
      </c>
      <c r="E18" s="59" t="n">
        <v>7</v>
      </c>
      <c r="F18" s="59" t="n">
        <v>38</v>
      </c>
      <c r="G18" s="2"/>
      <c r="H18" s="2"/>
    </row>
    <row r="19" customFormat="false" ht="12.75" hidden="false" customHeight="false" outlineLevel="0" collapsed="false">
      <c r="A19" s="6" t="s">
        <v>72</v>
      </c>
      <c r="B19" s="59" t="n">
        <v>804</v>
      </c>
      <c r="C19" s="59" t="n">
        <v>81884990.7</v>
      </c>
      <c r="D19" s="59" t="n">
        <v>99.7647718118383</v>
      </c>
      <c r="E19" s="59" t="n">
        <v>13.9421383647799</v>
      </c>
      <c r="F19" s="59" t="n">
        <v>40.1990049751244</v>
      </c>
      <c r="G19" s="2"/>
      <c r="H19" s="2"/>
    </row>
    <row r="20" customFormat="false" ht="12.75" hidden="false" customHeight="false" outlineLevel="0" collapsed="false">
      <c r="A20" s="6" t="s">
        <v>73</v>
      </c>
      <c r="B20" s="59" t="n">
        <v>1</v>
      </c>
      <c r="C20" s="59" t="n">
        <v>40000</v>
      </c>
      <c r="D20" s="59" t="n">
        <v>100</v>
      </c>
      <c r="E20" s="59" t="n">
        <v>4</v>
      </c>
      <c r="F20" s="59" t="n">
        <v>4</v>
      </c>
      <c r="G20" s="2"/>
      <c r="H20" s="2"/>
    </row>
    <row r="21" customFormat="false" ht="12.75" hidden="false" customHeight="false" outlineLevel="0" collapsed="false">
      <c r="A21" s="6" t="s">
        <v>74</v>
      </c>
      <c r="B21" s="59" t="n">
        <v>639</v>
      </c>
      <c r="C21" s="59" t="n">
        <v>92570148.92</v>
      </c>
      <c r="D21" s="59" t="n">
        <v>99.7258650407711</v>
      </c>
      <c r="E21" s="59" t="n">
        <v>15.9598715890851</v>
      </c>
      <c r="F21" s="59" t="n">
        <v>50.1877934272301</v>
      </c>
      <c r="G21" s="2"/>
      <c r="H21" s="2"/>
    </row>
    <row r="22" customFormat="false" ht="12.75" hidden="false" customHeight="false" outlineLevel="0" collapsed="false">
      <c r="A22" s="6" t="s">
        <v>81</v>
      </c>
      <c r="B22" s="59" t="n">
        <v>2029</v>
      </c>
      <c r="C22" s="59" t="n">
        <v>373395149.32</v>
      </c>
      <c r="D22" s="59" t="n">
        <v>99.2532704923785</v>
      </c>
      <c r="E22" s="59" t="n">
        <v>10.1914123124677</v>
      </c>
      <c r="F22" s="59" t="n">
        <v>31.8703794972893</v>
      </c>
      <c r="G22" s="2"/>
      <c r="H22" s="2"/>
    </row>
    <row r="23" customFormat="false" ht="12.75" hidden="false" customHeight="false" outlineLevel="0" collapsed="false">
      <c r="A23" s="6" t="s">
        <v>75</v>
      </c>
      <c r="B23" s="59" t="n">
        <v>34</v>
      </c>
      <c r="C23" s="59" t="n">
        <v>3398781.76</v>
      </c>
      <c r="D23" s="59" t="n">
        <v>99.9999776390468</v>
      </c>
      <c r="E23" s="59" t="n">
        <v>11.4642857142857</v>
      </c>
      <c r="F23" s="59" t="n">
        <v>27.6176470588235</v>
      </c>
      <c r="G23" s="2"/>
      <c r="H23" s="2"/>
    </row>
    <row r="24" customFormat="false" ht="12.75" hidden="false" customHeight="false" outlineLevel="0" collapsed="false">
      <c r="A24" s="3"/>
      <c r="G24" s="2"/>
      <c r="H24" s="2"/>
    </row>
    <row r="25" customFormat="false" ht="12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2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2.75" hidden="false" customHeight="false" outlineLevel="0" collapsed="false">
      <c r="H2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H32" activeCellId="0" sqref="H32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6.14"/>
    <col collapsed="false" customWidth="true" hidden="false" outlineLevel="0" max="3" min="3" style="0" width="12.15"/>
    <col collapsed="false" customWidth="true" hidden="false" outlineLevel="0" max="5" min="5" style="0" width="18.71"/>
    <col collapsed="false" customWidth="true" hidden="false" outlineLevel="0" max="6" min="6" style="0" width="16.29"/>
    <col collapsed="false" customWidth="true" hidden="false" outlineLevel="0" max="7" min="7" style="0" width="4.42"/>
    <col collapsed="false" customWidth="true" hidden="false" outlineLevel="0" max="8" min="8" style="0" width="11"/>
    <col collapsed="false" customWidth="true" hidden="false" outlineLevel="0" max="9" min="9" style="0" width="11.85"/>
    <col collapsed="false" customWidth="true" hidden="false" outlineLevel="0" max="10" min="10" style="0" width="11"/>
    <col collapsed="false" customWidth="true" hidden="false" outlineLevel="0" max="11" min="11" style="0" width="17.42"/>
  </cols>
  <sheetData>
    <row r="1" customFormat="false" ht="15" hidden="false" customHeight="false" outlineLevel="0" collapsed="false">
      <c r="A1" s="1" t="s">
        <v>82</v>
      </c>
      <c r="G1" s="2"/>
      <c r="H1" s="2"/>
    </row>
    <row r="2" customFormat="false" ht="12.75" hidden="false" customHeight="false" outlineLevel="0" collapsed="false">
      <c r="A2" s="3"/>
      <c r="G2" s="2"/>
      <c r="H2" s="2"/>
    </row>
    <row r="3" customFormat="false" ht="46.65" hidden="false" customHeight="false" outlineLevel="0" collapsed="false">
      <c r="A3" s="71" t="s">
        <v>83</v>
      </c>
      <c r="B3" s="72" t="s">
        <v>78</v>
      </c>
      <c r="C3" s="32" t="s">
        <v>44</v>
      </c>
      <c r="D3" s="32" t="s">
        <v>47</v>
      </c>
      <c r="E3" s="32" t="s">
        <v>56</v>
      </c>
      <c r="F3" s="32" t="s">
        <v>57</v>
      </c>
      <c r="G3" s="2"/>
      <c r="H3" s="2"/>
    </row>
    <row r="4" customFormat="false" ht="12.75" hidden="false" customHeight="false" outlineLevel="0" collapsed="false">
      <c r="A4" s="4" t="s">
        <v>32</v>
      </c>
      <c r="B4" s="44" t="n">
        <v>1785</v>
      </c>
      <c r="C4" s="44" t="n">
        <v>90876682.23</v>
      </c>
      <c r="D4" s="44" t="n">
        <v>98.9433442149993</v>
      </c>
      <c r="E4" s="44" t="n">
        <v>7.04109589041096</v>
      </c>
      <c r="F4" s="44" t="n">
        <v>13.1355742296919</v>
      </c>
      <c r="G4" s="2"/>
      <c r="H4" s="2"/>
    </row>
    <row r="5" customFormat="false" ht="12.75" hidden="false" customHeight="false" outlineLevel="0" collapsed="false">
      <c r="A5" s="73" t="s">
        <v>59</v>
      </c>
      <c r="B5" s="74"/>
      <c r="C5" s="51"/>
      <c r="D5" s="51"/>
      <c r="E5" s="51"/>
      <c r="F5" s="31"/>
      <c r="G5" s="2"/>
      <c r="H5" s="2"/>
    </row>
    <row r="6" customFormat="false" ht="12.75" hidden="false" customHeight="false" outlineLevel="0" collapsed="false">
      <c r="A6" s="6" t="s">
        <v>60</v>
      </c>
      <c r="B6" s="54" t="n">
        <v>471</v>
      </c>
      <c r="C6" s="54" t="n">
        <v>16615233.98</v>
      </c>
      <c r="D6" s="54" t="n">
        <v>97.3015752258458</v>
      </c>
      <c r="E6" s="54" t="n">
        <v>8.31196581196581</v>
      </c>
      <c r="F6" s="54" t="n">
        <v>13.1571125265393</v>
      </c>
      <c r="G6" s="2"/>
      <c r="H6" s="2"/>
    </row>
    <row r="7" customFormat="false" ht="12.75" hidden="false" customHeight="false" outlineLevel="0" collapsed="false">
      <c r="A7" s="6" t="s">
        <v>61</v>
      </c>
      <c r="B7" s="59" t="n">
        <v>674</v>
      </c>
      <c r="C7" s="59" t="n">
        <v>44137139.76</v>
      </c>
      <c r="D7" s="59" t="n">
        <v>99.3770175378487</v>
      </c>
      <c r="E7" s="59" t="n">
        <v>6.82753403933434</v>
      </c>
      <c r="F7" s="59" t="n">
        <v>13.3916913946588</v>
      </c>
      <c r="G7" s="2"/>
      <c r="H7" s="2"/>
    </row>
    <row r="8" customFormat="false" ht="12.75" hidden="false" customHeight="false" outlineLevel="0" collapsed="false">
      <c r="A8" s="6" t="s">
        <v>62</v>
      </c>
      <c r="B8" s="59" t="n">
        <v>126</v>
      </c>
      <c r="C8" s="59" t="n">
        <v>5458614.33</v>
      </c>
      <c r="D8" s="59" t="n">
        <v>99.6578371566324</v>
      </c>
      <c r="E8" s="59" t="n">
        <v>6.504</v>
      </c>
      <c r="F8" s="59" t="n">
        <v>13.3174603174603</v>
      </c>
      <c r="G8" s="2"/>
      <c r="H8" s="2"/>
    </row>
    <row r="9" customFormat="false" ht="12.75" hidden="false" customHeight="false" outlineLevel="0" collapsed="false">
      <c r="A9" s="6" t="s">
        <v>79</v>
      </c>
      <c r="B9" s="59" t="n">
        <v>19</v>
      </c>
      <c r="C9" s="59" t="n">
        <v>1610425.25</v>
      </c>
      <c r="D9" s="59" t="n">
        <v>99.99998447615</v>
      </c>
      <c r="E9" s="59" t="n">
        <v>5.14285714285714</v>
      </c>
      <c r="F9" s="59" t="n">
        <v>11</v>
      </c>
      <c r="G9" s="2"/>
      <c r="H9" s="2"/>
    </row>
    <row r="10" customFormat="false" ht="15" hidden="false" customHeight="false" outlineLevel="0" collapsed="false">
      <c r="A10" s="6" t="s">
        <v>63</v>
      </c>
      <c r="B10" s="62" t="n">
        <v>495</v>
      </c>
      <c r="C10" s="62" t="n">
        <v>23055268.91</v>
      </c>
      <c r="D10" s="62" t="n">
        <v>99.0533188276745</v>
      </c>
      <c r="E10" s="62" t="n">
        <v>6.29752066115703</v>
      </c>
      <c r="F10" s="62" t="n">
        <v>12.8020202020202</v>
      </c>
      <c r="G10" s="2"/>
      <c r="H10" s="2"/>
      <c r="I10" s="9"/>
    </row>
    <row r="11" customFormat="false" ht="12.75" hidden="false" customHeight="false" outlineLevel="0" collapsed="false">
      <c r="A11" s="76" t="s">
        <v>64</v>
      </c>
      <c r="B11" s="77"/>
      <c r="C11" s="78"/>
      <c r="D11" s="78"/>
      <c r="E11" s="78"/>
      <c r="F11" s="79"/>
      <c r="G11" s="2"/>
      <c r="H11" s="2"/>
    </row>
    <row r="12" customFormat="false" ht="12.75" hidden="false" customHeight="false" outlineLevel="0" collapsed="false">
      <c r="A12" s="6" t="s">
        <v>65</v>
      </c>
      <c r="B12" s="54" t="n">
        <v>45</v>
      </c>
      <c r="C12" s="54" t="n">
        <v>1254278.07</v>
      </c>
      <c r="D12" s="54" t="n">
        <v>99.9999944191004</v>
      </c>
      <c r="E12" s="54" t="n">
        <v>5.68181818181818</v>
      </c>
      <c r="F12" s="54" t="n">
        <v>10.8444444444444</v>
      </c>
      <c r="G12" s="2"/>
      <c r="H12" s="2"/>
    </row>
    <row r="13" customFormat="false" ht="12.75" hidden="false" customHeight="false" outlineLevel="0" collapsed="false">
      <c r="A13" s="6" t="s">
        <v>80</v>
      </c>
      <c r="B13" s="59" t="n">
        <v>18</v>
      </c>
      <c r="C13" s="59" t="n">
        <v>818718.92</v>
      </c>
      <c r="D13" s="59" t="n">
        <v>100.000164891756</v>
      </c>
      <c r="E13" s="59" t="n">
        <v>13.1764705882353</v>
      </c>
      <c r="F13" s="59" t="n">
        <v>14.0555555555556</v>
      </c>
      <c r="G13" s="2"/>
      <c r="H13" s="2"/>
    </row>
    <row r="14" customFormat="false" ht="12.75" hidden="false" customHeight="false" outlineLevel="0" collapsed="false">
      <c r="A14" s="6" t="s">
        <v>66</v>
      </c>
      <c r="B14" s="59" t="n">
        <v>260</v>
      </c>
      <c r="C14" s="59" t="n">
        <v>11189567.31</v>
      </c>
      <c r="D14" s="59" t="n">
        <v>99.9760555531257</v>
      </c>
      <c r="E14" s="59" t="n">
        <v>5.30314960629921</v>
      </c>
      <c r="F14" s="59" t="n">
        <v>12.2769230769231</v>
      </c>
      <c r="G14" s="2"/>
      <c r="H14" s="2"/>
    </row>
    <row r="15" customFormat="false" ht="12.75" hidden="false" customHeight="false" outlineLevel="0" collapsed="false">
      <c r="A15" s="6" t="s">
        <v>67</v>
      </c>
      <c r="B15" s="59" t="n">
        <v>118</v>
      </c>
      <c r="C15" s="59" t="n">
        <v>2993886.12</v>
      </c>
      <c r="D15" s="59" t="n">
        <v>99.9999959918315</v>
      </c>
      <c r="E15" s="59" t="n">
        <v>5.11111111111111</v>
      </c>
      <c r="F15" s="59" t="n">
        <v>11.271186440678</v>
      </c>
      <c r="G15" s="2"/>
      <c r="H15" s="2"/>
    </row>
    <row r="16" customFormat="false" ht="12.75" hidden="false" customHeight="false" outlineLevel="0" collapsed="false">
      <c r="A16" s="6" t="s">
        <v>68</v>
      </c>
      <c r="B16" s="59" t="n">
        <v>27</v>
      </c>
      <c r="C16" s="59" t="n">
        <v>836728</v>
      </c>
      <c r="D16" s="59" t="n">
        <v>100</v>
      </c>
      <c r="E16" s="59" t="n">
        <v>4.96</v>
      </c>
      <c r="F16" s="59" t="n">
        <v>11.962962962963</v>
      </c>
      <c r="G16" s="2"/>
      <c r="H16" s="2"/>
    </row>
    <row r="17" customFormat="false" ht="12.75" hidden="false" customHeight="false" outlineLevel="0" collapsed="false">
      <c r="A17" s="6" t="s">
        <v>84</v>
      </c>
      <c r="B17" s="59" t="n">
        <v>37</v>
      </c>
      <c r="C17" s="59" t="n">
        <v>3730000</v>
      </c>
      <c r="D17" s="59" t="n">
        <v>81.0685839142091</v>
      </c>
      <c r="E17" s="59" t="n">
        <v>10.6486486486487</v>
      </c>
      <c r="F17" s="59" t="n">
        <v>24.5135135135135</v>
      </c>
      <c r="G17" s="2"/>
      <c r="H17" s="2"/>
    </row>
    <row r="18" customFormat="false" ht="12.75" hidden="false" customHeight="false" outlineLevel="0" collapsed="false">
      <c r="A18" s="6" t="s">
        <v>69</v>
      </c>
      <c r="B18" s="59" t="n">
        <v>3</v>
      </c>
      <c r="C18" s="59" t="n">
        <v>139440.43</v>
      </c>
      <c r="D18" s="59" t="n">
        <v>99.9996916245884</v>
      </c>
      <c r="E18" s="59" t="n">
        <v>2.5</v>
      </c>
      <c r="F18" s="59" t="n">
        <v>11.6666666666667</v>
      </c>
      <c r="G18" s="2"/>
      <c r="H18" s="2"/>
    </row>
    <row r="19" customFormat="false" ht="12.75" hidden="false" customHeight="false" outlineLevel="0" collapsed="false">
      <c r="A19" s="6" t="s">
        <v>70</v>
      </c>
      <c r="B19" s="59" t="n">
        <v>2</v>
      </c>
      <c r="C19" s="59" t="n">
        <v>240747</v>
      </c>
      <c r="D19" s="59" t="n">
        <v>100</v>
      </c>
      <c r="E19" s="59" t="n">
        <v>11</v>
      </c>
      <c r="F19" s="59" t="n">
        <v>12.5</v>
      </c>
      <c r="G19" s="2"/>
      <c r="H19" s="2"/>
    </row>
    <row r="20" customFormat="false" ht="12.75" hidden="false" customHeight="false" outlineLevel="0" collapsed="false">
      <c r="A20" s="6" t="s">
        <v>71</v>
      </c>
      <c r="B20" s="59" t="n">
        <v>9</v>
      </c>
      <c r="C20" s="59" t="n">
        <v>694384</v>
      </c>
      <c r="D20" s="59" t="n">
        <v>100</v>
      </c>
      <c r="E20" s="59" t="n">
        <v>7.88888888888889</v>
      </c>
      <c r="F20" s="59" t="n">
        <v>12.6666666666667</v>
      </c>
      <c r="G20" s="2"/>
      <c r="H20" s="2"/>
    </row>
    <row r="21" customFormat="false" ht="12.75" hidden="false" customHeight="false" outlineLevel="0" collapsed="false">
      <c r="A21" s="6" t="s">
        <v>72</v>
      </c>
      <c r="B21" s="59" t="n">
        <v>527</v>
      </c>
      <c r="C21" s="59" t="n">
        <v>29640261.32</v>
      </c>
      <c r="D21" s="59" t="n">
        <v>99.171432439989</v>
      </c>
      <c r="E21" s="59" t="n">
        <v>10.9005736137667</v>
      </c>
      <c r="F21" s="59" t="n">
        <v>15.1480075901328</v>
      </c>
      <c r="G21" s="2"/>
      <c r="H21" s="2"/>
    </row>
    <row r="22" customFormat="false" ht="12.75" hidden="false" customHeight="false" outlineLevel="0" collapsed="false">
      <c r="A22" s="6" t="s">
        <v>73</v>
      </c>
      <c r="B22" s="59" t="n">
        <v>12</v>
      </c>
      <c r="C22" s="59" t="n">
        <v>1402144.53</v>
      </c>
      <c r="D22" s="59" t="n">
        <v>100.000033520082</v>
      </c>
      <c r="E22" s="59" t="n">
        <v>6.33333333333333</v>
      </c>
      <c r="F22" s="59" t="n">
        <v>12.25</v>
      </c>
      <c r="G22" s="2"/>
      <c r="H22" s="2"/>
    </row>
    <row r="23" customFormat="false" ht="12.75" hidden="false" customHeight="false" outlineLevel="0" collapsed="false">
      <c r="A23" s="6" t="s">
        <v>74</v>
      </c>
      <c r="B23" s="59" t="n">
        <v>386</v>
      </c>
      <c r="C23" s="59" t="n">
        <v>13834437.17</v>
      </c>
      <c r="D23" s="59" t="n">
        <v>99.9577512989638</v>
      </c>
      <c r="E23" s="59" t="n">
        <v>6.55789473684211</v>
      </c>
      <c r="F23" s="59" t="n">
        <v>12.0492227979275</v>
      </c>
      <c r="G23" s="2"/>
      <c r="H23" s="2"/>
    </row>
    <row r="24" customFormat="false" ht="12.75" hidden="false" customHeight="false" outlineLevel="0" collapsed="false">
      <c r="A24" s="6" t="s">
        <v>81</v>
      </c>
      <c r="B24" s="59" t="n">
        <v>283</v>
      </c>
      <c r="C24" s="59" t="n">
        <v>21969991.5</v>
      </c>
      <c r="D24" s="59" t="n">
        <v>100.000002275832</v>
      </c>
      <c r="E24" s="59" t="n">
        <v>2.63868613138686</v>
      </c>
      <c r="F24" s="59" t="n">
        <v>11.434628975265</v>
      </c>
      <c r="G24" s="2"/>
      <c r="H24" s="2"/>
    </row>
    <row r="25" customFormat="false" ht="12.75" hidden="false" customHeight="false" outlineLevel="0" collapsed="false">
      <c r="A25" s="6" t="s">
        <v>75</v>
      </c>
      <c r="B25" s="59" t="n">
        <v>57</v>
      </c>
      <c r="C25" s="59" t="n">
        <v>2127097.86</v>
      </c>
      <c r="D25" s="59" t="n">
        <v>100.000006581738</v>
      </c>
      <c r="E25" s="59" t="n">
        <v>5.6</v>
      </c>
      <c r="F25" s="59" t="n">
        <v>13.1578947368421</v>
      </c>
      <c r="G25" s="2"/>
      <c r="H25" s="2"/>
    </row>
    <row r="26" customFormat="false" ht="12.75" hidden="false" customHeight="false" outlineLevel="0" collapsed="false">
      <c r="A26" s="6" t="s">
        <v>76</v>
      </c>
      <c r="B26" s="59" t="n">
        <v>1</v>
      </c>
      <c r="C26" s="59" t="n">
        <v>5000</v>
      </c>
      <c r="D26" s="59" t="n">
        <v>100</v>
      </c>
      <c r="E26" s="59" t="n">
        <v>1</v>
      </c>
      <c r="F26" s="59" t="n">
        <v>13</v>
      </c>
      <c r="G26" s="2"/>
      <c r="H26" s="2"/>
    </row>
    <row r="27" customFormat="false" ht="12.75" hidden="false" customHeight="false" outlineLevel="0" collapsed="false">
      <c r="A27" s="3"/>
      <c r="G27" s="2"/>
      <c r="H27" s="2"/>
    </row>
    <row r="28" customFormat="false" ht="12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2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2.75" hidden="false" customHeight="false" outlineLevel="0" collapsed="false">
      <c r="H30" s="2"/>
    </row>
    <row r="31" customFormat="false" ht="12.75" hidden="false" customHeight="false" outlineLevel="0" collapsed="false">
      <c r="H31" s="2"/>
    </row>
    <row r="32" customFormat="false" ht="12.75" hidden="false" customHeight="false" outlineLevel="0" collapsed="false">
      <c r="H32" s="2"/>
    </row>
    <row r="33" customFormat="false" ht="12.75" hidden="false" customHeight="false" outlineLevel="0" collapsed="false">
      <c r="H33" s="2"/>
    </row>
    <row r="34" customFormat="false" ht="12.75" hidden="false" customHeight="false" outlineLevel="0" collapsed="false">
      <c r="H34" s="2"/>
    </row>
    <row r="35" customFormat="false" ht="12.75" hidden="false" customHeight="false" outlineLevel="0" collapsed="false">
      <c r="H35" s="2"/>
    </row>
    <row r="36" customFormat="false" ht="12.75" hidden="false" customHeight="false" outlineLevel="0" collapsed="false">
      <c r="H3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24" activeCellId="0" sqref="E24"/>
    </sheetView>
  </sheetViews>
  <sheetFormatPr defaultColWidth="8.60546875" defaultRowHeight="12.75" customHeight="false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10.42"/>
    <col collapsed="false" customWidth="true" hidden="false" outlineLevel="0" max="3" min="3" style="0" width="12.15"/>
    <col collapsed="false" customWidth="true" hidden="false" outlineLevel="0" max="4" min="4" style="0" width="11.57"/>
    <col collapsed="false" customWidth="true" hidden="false" outlineLevel="0" max="5" min="5" style="0" width="12.86"/>
    <col collapsed="false" customWidth="true" hidden="false" outlineLevel="0" max="6" min="6" style="0" width="10.42"/>
    <col collapsed="false" customWidth="true" hidden="false" outlineLevel="0" max="7" min="7" style="0" width="13.57"/>
    <col collapsed="false" customWidth="true" hidden="false" outlineLevel="0" max="8" min="8" style="0" width="15.29"/>
    <col collapsed="false" customWidth="true" hidden="false" outlineLevel="0" max="9" min="9" style="0" width="18.71"/>
    <col collapsed="false" customWidth="true" hidden="false" outlineLevel="0" max="10" min="10" style="30" width="17.42"/>
    <col collapsed="false" customWidth="true" hidden="true" outlineLevel="1" max="11" min="11" style="0" width="66"/>
    <col collapsed="false" customWidth="true" hidden="false" outlineLevel="0" max="12" min="12" style="0" width="18.14"/>
    <col collapsed="false" customWidth="true" hidden="false" outlineLevel="0" max="13" min="13" style="0" width="4.29"/>
    <col collapsed="false" customWidth="true" hidden="false" outlineLevel="0" max="14" min="14" style="0" width="14"/>
    <col collapsed="false" customWidth="true" hidden="false" outlineLevel="0" max="20" min="20" style="0" width="14"/>
  </cols>
  <sheetData>
    <row r="1" customFormat="false" ht="15" hidden="false" customHeight="false" outlineLevel="0" collapsed="false">
      <c r="A1" s="1" t="s">
        <v>85</v>
      </c>
      <c r="M1" s="2"/>
      <c r="N1" s="2"/>
    </row>
    <row r="2" customFormat="false" ht="12.75" hidden="false" customHeight="false" outlineLevel="0" collapsed="false">
      <c r="A2" s="3"/>
      <c r="M2" s="2"/>
      <c r="N2" s="2"/>
    </row>
    <row r="3" customFormat="false" ht="58" hidden="false" customHeight="false" outlineLevel="0" collapsed="false">
      <c r="A3" s="71" t="s">
        <v>49</v>
      </c>
      <c r="B3" s="32" t="s">
        <v>86</v>
      </c>
      <c r="C3" s="32" t="s">
        <v>44</v>
      </c>
      <c r="D3" s="32" t="s">
        <v>87</v>
      </c>
      <c r="E3" s="32" t="s">
        <v>47</v>
      </c>
      <c r="F3" s="32" t="s">
        <v>88</v>
      </c>
      <c r="G3" s="32" t="s">
        <v>89</v>
      </c>
      <c r="H3" s="32" t="s">
        <v>90</v>
      </c>
      <c r="I3" s="32" t="s">
        <v>91</v>
      </c>
      <c r="J3" s="32" t="s">
        <v>92</v>
      </c>
      <c r="K3" s="20" t="s">
        <v>93</v>
      </c>
      <c r="L3" s="80" t="s">
        <v>94</v>
      </c>
      <c r="M3" s="2"/>
      <c r="N3" s="2"/>
    </row>
    <row r="4" customFormat="false" ht="12.75" hidden="false" customHeight="false" outlineLevel="0" collapsed="false">
      <c r="A4" s="4" t="s">
        <v>32</v>
      </c>
      <c r="B4" s="45" t="n">
        <v>286</v>
      </c>
      <c r="C4" s="44" t="n">
        <v>267096506</v>
      </c>
      <c r="D4" s="44" t="n">
        <v>102549249.95</v>
      </c>
      <c r="E4" s="44" t="n">
        <v>38.3940814074146</v>
      </c>
      <c r="F4" s="45" t="n">
        <v>160</v>
      </c>
      <c r="G4" s="81" t="n">
        <v>0.55944055944056</v>
      </c>
      <c r="H4" s="44" t="n">
        <v>10.8875</v>
      </c>
      <c r="I4" s="44" t="n">
        <v>45.1783216783217</v>
      </c>
      <c r="J4" s="44" t="n">
        <v>10.8551236749117</v>
      </c>
      <c r="K4" s="82" t="n">
        <v>16910900</v>
      </c>
      <c r="L4" s="83" t="n">
        <v>15.7943401001721</v>
      </c>
      <c r="M4" s="2"/>
      <c r="N4" s="2"/>
    </row>
    <row r="5" customFormat="false" ht="15" hidden="false" customHeight="false" outlineLevel="0" collapsed="false">
      <c r="A5" s="73" t="s">
        <v>83</v>
      </c>
      <c r="B5" s="23"/>
      <c r="C5" s="51"/>
      <c r="D5" s="51"/>
      <c r="E5" s="51"/>
      <c r="F5" s="51"/>
      <c r="G5" s="51"/>
      <c r="H5" s="51"/>
      <c r="I5" s="51"/>
      <c r="J5" s="51"/>
      <c r="K5" s="69"/>
      <c r="L5" s="84"/>
      <c r="M5" s="2"/>
      <c r="N5" s="2"/>
      <c r="O5" s="9"/>
    </row>
    <row r="6" customFormat="false" ht="12.75" hidden="false" customHeight="false" outlineLevel="0" collapsed="false">
      <c r="A6" s="6" t="s">
        <v>60</v>
      </c>
      <c r="B6" s="55" t="n">
        <v>79</v>
      </c>
      <c r="C6" s="54" t="n">
        <v>38631819</v>
      </c>
      <c r="D6" s="54" t="n">
        <v>13351275.61</v>
      </c>
      <c r="E6" s="54" t="n">
        <v>34.5603079420102</v>
      </c>
      <c r="F6" s="55" t="n">
        <v>55</v>
      </c>
      <c r="G6" s="85" t="n">
        <v>0.69620253164557</v>
      </c>
      <c r="H6" s="54" t="n">
        <v>12.2909090909091</v>
      </c>
      <c r="I6" s="54" t="n">
        <v>50.3164556962025</v>
      </c>
      <c r="J6" s="54" t="n">
        <v>13.6455696202532</v>
      </c>
      <c r="K6" s="86" t="n">
        <v>1028700</v>
      </c>
      <c r="L6" s="87" t="n">
        <v>37.5540186643336</v>
      </c>
      <c r="M6" s="2"/>
      <c r="N6" s="2"/>
    </row>
    <row r="7" customFormat="false" ht="12.75" hidden="false" customHeight="false" outlineLevel="0" collapsed="false">
      <c r="A7" s="6" t="s">
        <v>61</v>
      </c>
      <c r="B7" s="8" t="n">
        <v>116</v>
      </c>
      <c r="C7" s="59" t="n">
        <v>177338061</v>
      </c>
      <c r="D7" s="59" t="n">
        <v>72828815.47</v>
      </c>
      <c r="E7" s="59" t="n">
        <v>41.0677860462228</v>
      </c>
      <c r="F7" s="8" t="n">
        <v>62</v>
      </c>
      <c r="G7" s="88" t="n">
        <v>0.53448275862069</v>
      </c>
      <c r="H7" s="59" t="n">
        <v>11.2258064516129</v>
      </c>
      <c r="I7" s="59" t="n">
        <v>44.7413793103448</v>
      </c>
      <c r="J7" s="59" t="n">
        <v>11.8141592920354</v>
      </c>
      <c r="K7" s="89" t="n">
        <v>13368300</v>
      </c>
      <c r="L7" s="90" t="n">
        <v>13.2655656291376</v>
      </c>
      <c r="M7" s="2"/>
      <c r="N7" s="2"/>
    </row>
    <row r="8" customFormat="false" ht="12.75" hidden="false" customHeight="false" outlineLevel="0" collapsed="false">
      <c r="A8" s="6" t="s">
        <v>62</v>
      </c>
      <c r="B8" s="8" t="n">
        <v>17</v>
      </c>
      <c r="C8" s="59" t="n">
        <v>6464099</v>
      </c>
      <c r="D8" s="59" t="n">
        <v>3472254.91</v>
      </c>
      <c r="E8" s="59" t="n">
        <v>53.7159921282146</v>
      </c>
      <c r="F8" s="8" t="n">
        <v>12</v>
      </c>
      <c r="G8" s="88" t="n">
        <v>0.705882352941177</v>
      </c>
      <c r="H8" s="59" t="n">
        <v>8.16666666666667</v>
      </c>
      <c r="I8" s="59" t="n">
        <v>45.2941176470588</v>
      </c>
      <c r="J8" s="59" t="n">
        <v>9.70588235294118</v>
      </c>
      <c r="K8" s="89" t="n">
        <v>258200</v>
      </c>
      <c r="L8" s="90" t="n">
        <v>25.0352401239349</v>
      </c>
      <c r="M8" s="2"/>
      <c r="N8" s="2"/>
    </row>
    <row r="9" customFormat="false" ht="12.75" hidden="false" customHeight="false" outlineLevel="0" collapsed="false">
      <c r="A9" s="6" t="s">
        <v>63</v>
      </c>
      <c r="B9" s="8" t="n">
        <v>74</v>
      </c>
      <c r="C9" s="59" t="n">
        <v>44662527</v>
      </c>
      <c r="D9" s="59" t="n">
        <v>12896903.96</v>
      </c>
      <c r="E9" s="59" t="n">
        <v>28.8763418155896</v>
      </c>
      <c r="F9" s="8" t="n">
        <v>31</v>
      </c>
      <c r="G9" s="88" t="n">
        <v>0.418918918918919</v>
      </c>
      <c r="H9" s="59" t="n">
        <v>8.7741935483871</v>
      </c>
      <c r="I9" s="59" t="n">
        <v>40.3513513513514</v>
      </c>
      <c r="J9" s="59" t="n">
        <v>6.67567567567568</v>
      </c>
      <c r="K9" s="89" t="n">
        <v>2255700</v>
      </c>
      <c r="L9" s="90" t="n">
        <v>19.7998523739859</v>
      </c>
      <c r="M9" s="2"/>
      <c r="N9" s="2"/>
    </row>
    <row r="10" customFormat="false" ht="12.75" hidden="false" customHeight="false" outlineLevel="0" collapsed="false">
      <c r="A10" s="4" t="s">
        <v>64</v>
      </c>
      <c r="B10" s="23"/>
      <c r="C10" s="51"/>
      <c r="D10" s="51"/>
      <c r="E10" s="51"/>
      <c r="F10" s="51"/>
      <c r="G10" s="51"/>
      <c r="H10" s="51"/>
      <c r="I10" s="51"/>
      <c r="J10" s="51"/>
      <c r="K10" s="69"/>
      <c r="L10" s="84"/>
      <c r="M10" s="2"/>
      <c r="N10" s="2"/>
    </row>
    <row r="11" customFormat="false" ht="12.75" hidden="false" customHeight="false" outlineLevel="0" collapsed="false">
      <c r="A11" s="6" t="s">
        <v>84</v>
      </c>
      <c r="B11" s="8" t="n">
        <v>45</v>
      </c>
      <c r="C11" s="59" t="n">
        <v>18865695</v>
      </c>
      <c r="D11" s="59" t="n">
        <v>8448.29</v>
      </c>
      <c r="E11" s="59" t="n">
        <v>0.0447812285738744</v>
      </c>
      <c r="F11" s="8" t="n">
        <v>1</v>
      </c>
      <c r="G11" s="88" t="n">
        <v>0.0222222222222222</v>
      </c>
      <c r="H11" s="59" t="n">
        <v>5</v>
      </c>
      <c r="I11" s="59" t="n">
        <v>35.2</v>
      </c>
      <c r="J11" s="59" t="n">
        <v>0</v>
      </c>
      <c r="K11" s="89" t="n">
        <v>3551500</v>
      </c>
      <c r="L11" s="90" t="n">
        <v>5.31203575953822</v>
      </c>
      <c r="M11" s="2"/>
      <c r="N11" s="2"/>
    </row>
    <row r="12" customFormat="false" ht="12.75" hidden="false" customHeight="false" outlineLevel="0" collapsed="false">
      <c r="A12" s="6" t="s">
        <v>72</v>
      </c>
      <c r="B12" s="8" t="n">
        <v>234</v>
      </c>
      <c r="C12" s="59" t="n">
        <v>200764649</v>
      </c>
      <c r="D12" s="59" t="n">
        <v>77796848.07</v>
      </c>
      <c r="E12" s="59" t="n">
        <v>38.7502722503701</v>
      </c>
      <c r="F12" s="8" t="n">
        <v>154</v>
      </c>
      <c r="G12" s="88" t="n">
        <v>0.658119658119658</v>
      </c>
      <c r="H12" s="59" t="n">
        <v>10.3701298701299</v>
      </c>
      <c r="I12" s="59" t="n">
        <v>46.6965811965812</v>
      </c>
      <c r="J12" s="59" t="n">
        <v>12.2554112554113</v>
      </c>
      <c r="K12" s="89" t="n">
        <v>7268800</v>
      </c>
      <c r="L12" s="90" t="n">
        <v>27.620054066696</v>
      </c>
      <c r="M12" s="2"/>
      <c r="N12" s="2"/>
    </row>
    <row r="13" customFormat="false" ht="12.75" hidden="false" customHeight="false" outlineLevel="0" collapsed="false">
      <c r="A13" s="6" t="s">
        <v>73</v>
      </c>
      <c r="B13" s="8" t="n">
        <v>2</v>
      </c>
      <c r="C13" s="59" t="n">
        <v>44997213</v>
      </c>
      <c r="D13" s="59" t="n">
        <v>23000000</v>
      </c>
      <c r="E13" s="59" t="n">
        <v>51.1142767886536</v>
      </c>
      <c r="F13" s="8" t="n">
        <v>1</v>
      </c>
      <c r="G13" s="88" t="n">
        <v>0.5</v>
      </c>
      <c r="H13" s="59" t="n">
        <v>16</v>
      </c>
      <c r="I13" s="59" t="n">
        <v>63</v>
      </c>
      <c r="J13" s="59" t="n">
        <v>36</v>
      </c>
      <c r="K13" s="89" t="n">
        <v>5947000</v>
      </c>
      <c r="L13" s="90" t="n">
        <v>7.56637178409282</v>
      </c>
      <c r="M13" s="2"/>
      <c r="N13" s="2"/>
    </row>
    <row r="14" customFormat="false" ht="12.75" hidden="false" customHeight="false" outlineLevel="0" collapsed="false">
      <c r="A14" s="6" t="s">
        <v>74</v>
      </c>
      <c r="B14" s="8" t="n">
        <v>5</v>
      </c>
      <c r="C14" s="59" t="n">
        <v>2468949</v>
      </c>
      <c r="D14" s="59" t="n">
        <v>1743953.59</v>
      </c>
      <c r="E14" s="59" t="n">
        <v>70.6354643210532</v>
      </c>
      <c r="F14" s="8" t="n">
        <v>4</v>
      </c>
      <c r="G14" s="88" t="n">
        <v>0.8</v>
      </c>
      <c r="H14" s="59" t="n">
        <v>31</v>
      </c>
      <c r="I14" s="59" t="n">
        <v>56.8</v>
      </c>
      <c r="J14" s="59" t="n">
        <v>33.8</v>
      </c>
      <c r="K14" s="89" t="n">
        <v>143600</v>
      </c>
      <c r="L14" s="90" t="n">
        <v>17.1932381615599</v>
      </c>
      <c r="M14" s="2"/>
      <c r="N14" s="2"/>
    </row>
    <row r="15" customFormat="false" ht="12.75" hidden="false" customHeight="false" outlineLevel="0" collapsed="false">
      <c r="A15" s="3"/>
      <c r="B15" s="2"/>
      <c r="C15" s="2"/>
      <c r="D15" s="2"/>
      <c r="E15" s="2"/>
      <c r="F15" s="2"/>
      <c r="G15" s="2"/>
      <c r="H15" s="2"/>
      <c r="I15" s="2"/>
      <c r="J15" s="91"/>
      <c r="K15" s="2"/>
      <c r="L15" s="2"/>
      <c r="M15" s="2"/>
      <c r="N15" s="2"/>
    </row>
    <row r="16" customFormat="false" ht="12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91"/>
      <c r="K16" s="2"/>
      <c r="L16" s="2"/>
      <c r="M16" s="2"/>
      <c r="N16" s="2"/>
    </row>
    <row r="17" customFormat="false" ht="12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91"/>
      <c r="K17" s="2"/>
      <c r="L17" s="2"/>
      <c r="M17" s="2"/>
      <c r="N17" s="2"/>
    </row>
    <row r="18" customFormat="false" ht="12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91"/>
      <c r="K18" s="2"/>
      <c r="L18" s="2"/>
      <c r="M18" s="2"/>
      <c r="N18" s="2"/>
    </row>
    <row r="19" customFormat="false" ht="12.75" hidden="false" customHeight="false" outlineLevel="0" collapsed="false">
      <c r="N1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32" activeCellId="0" sqref="E32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.14"/>
    <col collapsed="false" customWidth="true" hidden="false" outlineLevel="0" max="3" min="3" style="0" width="12.15"/>
    <col collapsed="false" customWidth="true" hidden="false" outlineLevel="0" max="4" min="4" style="0" width="15.29"/>
    <col collapsed="false" customWidth="true" hidden="false" outlineLevel="0" max="5" min="5" style="0" width="16.43"/>
    <col collapsed="false" customWidth="true" hidden="false" outlineLevel="0" max="6" min="6" style="0" width="10.42"/>
    <col collapsed="false" customWidth="true" hidden="false" outlineLevel="0" max="7" min="7" style="0" width="13.57"/>
    <col collapsed="false" customWidth="true" hidden="false" outlineLevel="0" max="9" min="8" style="0" width="16.29"/>
    <col collapsed="false" customWidth="true" hidden="false" outlineLevel="0" max="10" min="10" style="0" width="17.42"/>
    <col collapsed="false" customWidth="true" hidden="false" outlineLevel="0" max="11" min="11" style="0" width="5.14"/>
  </cols>
  <sheetData>
    <row r="1" customFormat="false" ht="15" hidden="false" customHeight="false" outlineLevel="0" collapsed="false">
      <c r="A1" s="1" t="s">
        <v>95</v>
      </c>
      <c r="K1" s="2"/>
      <c r="L1" s="2"/>
    </row>
    <row r="2" customFormat="false" ht="12.75" hidden="false" customHeight="false" outlineLevel="0" collapsed="false">
      <c r="A2" s="3"/>
      <c r="I2" s="34"/>
      <c r="J2" s="34"/>
      <c r="K2" s="2"/>
      <c r="L2" s="2"/>
    </row>
    <row r="3" customFormat="false" ht="58" hidden="false" customHeight="false" outlineLevel="0" collapsed="false">
      <c r="A3" s="71" t="s">
        <v>83</v>
      </c>
      <c r="B3" s="32" t="s">
        <v>86</v>
      </c>
      <c r="C3" s="32" t="s">
        <v>44</v>
      </c>
      <c r="D3" s="32" t="s">
        <v>87</v>
      </c>
      <c r="E3" s="32" t="s">
        <v>47</v>
      </c>
      <c r="F3" s="32" t="s">
        <v>88</v>
      </c>
      <c r="G3" s="32" t="s">
        <v>89</v>
      </c>
      <c r="H3" s="32" t="s">
        <v>56</v>
      </c>
      <c r="I3" s="32" t="s">
        <v>91</v>
      </c>
      <c r="J3" s="32" t="s">
        <v>92</v>
      </c>
      <c r="K3" s="2"/>
      <c r="L3" s="2"/>
    </row>
    <row r="4" customFormat="false" ht="12.75" hidden="false" customHeight="false" outlineLevel="0" collapsed="false">
      <c r="A4" s="4" t="s">
        <v>32</v>
      </c>
      <c r="B4" s="20" t="n">
        <v>364</v>
      </c>
      <c r="C4" s="92" t="n">
        <v>79824710</v>
      </c>
      <c r="D4" s="92" t="n">
        <v>14931039.49</v>
      </c>
      <c r="E4" s="92" t="n">
        <v>18.7047838820836</v>
      </c>
      <c r="F4" s="20" t="n">
        <v>145</v>
      </c>
      <c r="G4" s="93" t="n">
        <v>0.398351648351648</v>
      </c>
      <c r="H4" s="92" t="n">
        <v>14.751724137931</v>
      </c>
      <c r="I4" s="92" t="n">
        <v>39.1428571428571</v>
      </c>
      <c r="J4" s="92" t="n">
        <v>6.49450549450549</v>
      </c>
      <c r="K4" s="2"/>
      <c r="L4" s="2"/>
    </row>
    <row r="5" customFormat="false" ht="12.75" hidden="false" customHeight="false" outlineLevel="0" collapsed="false">
      <c r="A5" s="73" t="s">
        <v>59</v>
      </c>
      <c r="B5" s="23"/>
      <c r="C5" s="51"/>
      <c r="D5" s="51"/>
      <c r="E5" s="51"/>
      <c r="F5" s="51"/>
      <c r="G5" s="51"/>
      <c r="H5" s="51"/>
      <c r="I5" s="51"/>
      <c r="J5" s="31"/>
      <c r="K5" s="2"/>
      <c r="L5" s="2"/>
    </row>
    <row r="6" customFormat="false" ht="12.75" hidden="false" customHeight="false" outlineLevel="0" collapsed="false">
      <c r="A6" s="6" t="s">
        <v>60</v>
      </c>
      <c r="B6" s="55" t="n">
        <v>115</v>
      </c>
      <c r="C6" s="54" t="n">
        <v>15026030</v>
      </c>
      <c r="D6" s="54" t="n">
        <v>1870084.32</v>
      </c>
      <c r="E6" s="54" t="n">
        <v>12.4456314808369</v>
      </c>
      <c r="F6" s="55" t="n">
        <v>30</v>
      </c>
      <c r="G6" s="85" t="n">
        <v>0.260869565217391</v>
      </c>
      <c r="H6" s="54" t="n">
        <v>12.7</v>
      </c>
      <c r="I6" s="54" t="n">
        <v>34.9565217391304</v>
      </c>
      <c r="J6" s="54" t="n">
        <v>3.19130434782609</v>
      </c>
      <c r="K6" s="2"/>
      <c r="L6" s="2"/>
    </row>
    <row r="7" customFormat="false" ht="12.75" hidden="false" customHeight="false" outlineLevel="0" collapsed="false">
      <c r="A7" s="6" t="s">
        <v>61</v>
      </c>
      <c r="B7" s="8" t="n">
        <v>125</v>
      </c>
      <c r="C7" s="59" t="n">
        <v>32535239</v>
      </c>
      <c r="D7" s="59" t="n">
        <v>8243460.88</v>
      </c>
      <c r="E7" s="59" t="n">
        <v>25.337022666408</v>
      </c>
      <c r="F7" s="8" t="n">
        <v>70</v>
      </c>
      <c r="G7" s="88" t="n">
        <v>0.56</v>
      </c>
      <c r="H7" s="59" t="n">
        <v>16.8714285714286</v>
      </c>
      <c r="I7" s="59" t="n">
        <v>43.512</v>
      </c>
      <c r="J7" s="59" t="n">
        <v>8.304</v>
      </c>
      <c r="K7" s="2"/>
      <c r="L7" s="2"/>
    </row>
    <row r="8" customFormat="false" ht="15" hidden="false" customHeight="false" outlineLevel="0" collapsed="false">
      <c r="A8" s="6" t="s">
        <v>62</v>
      </c>
      <c r="B8" s="8" t="n">
        <v>24</v>
      </c>
      <c r="C8" s="59" t="n">
        <v>3588673</v>
      </c>
      <c r="D8" s="59" t="n">
        <v>740838.9</v>
      </c>
      <c r="E8" s="59" t="n">
        <v>20.6438117933843</v>
      </c>
      <c r="F8" s="8" t="n">
        <v>14</v>
      </c>
      <c r="G8" s="88" t="n">
        <v>0.583333333333333</v>
      </c>
      <c r="H8" s="59" t="n">
        <v>7.57142857142857</v>
      </c>
      <c r="I8" s="59" t="n">
        <v>34.4166666666667</v>
      </c>
      <c r="J8" s="59" t="n">
        <v>3.29166666666667</v>
      </c>
      <c r="K8" s="2"/>
      <c r="L8" s="2"/>
      <c r="M8" s="9"/>
    </row>
    <row r="9" customFormat="false" ht="12.75" hidden="false" customHeight="false" outlineLevel="0" collapsed="false">
      <c r="A9" s="6" t="s">
        <v>79</v>
      </c>
      <c r="B9" s="8" t="n">
        <v>5</v>
      </c>
      <c r="C9" s="59" t="n">
        <v>11424600</v>
      </c>
      <c r="D9" s="59" t="n">
        <v>66498.77</v>
      </c>
      <c r="E9" s="59" t="n">
        <v>0.5820665056107</v>
      </c>
      <c r="F9" s="8" t="n">
        <v>1</v>
      </c>
      <c r="G9" s="88" t="n">
        <v>0.2</v>
      </c>
      <c r="H9" s="59" t="n">
        <v>8</v>
      </c>
      <c r="I9" s="59" t="n">
        <v>14.4</v>
      </c>
      <c r="J9" s="59" t="n">
        <v>0</v>
      </c>
      <c r="K9" s="2"/>
      <c r="L9" s="2"/>
    </row>
    <row r="10" customFormat="false" ht="12.75" hidden="false" customHeight="false" outlineLevel="0" collapsed="false">
      <c r="A10" s="6" t="s">
        <v>63</v>
      </c>
      <c r="B10" s="8" t="n">
        <v>95</v>
      </c>
      <c r="C10" s="59" t="n">
        <v>17250168</v>
      </c>
      <c r="D10" s="59" t="n">
        <v>4010156.62</v>
      </c>
      <c r="E10" s="59" t="n">
        <v>23.2470583474897</v>
      </c>
      <c r="F10" s="8" t="n">
        <v>30</v>
      </c>
      <c r="G10" s="88" t="n">
        <v>0.315789473684211</v>
      </c>
      <c r="H10" s="59" t="n">
        <v>15.4333333333333</v>
      </c>
      <c r="I10" s="59" t="n">
        <v>40.9578947368421</v>
      </c>
      <c r="J10" s="59" t="n">
        <v>9.26315789473684</v>
      </c>
      <c r="K10" s="2"/>
      <c r="L10" s="2"/>
    </row>
    <row r="11" customFormat="false" ht="12.75" hidden="false" customHeight="false" outlineLevel="0" collapsed="false">
      <c r="A11" s="4" t="s">
        <v>64</v>
      </c>
      <c r="B11" s="23"/>
      <c r="C11" s="51"/>
      <c r="D11" s="51"/>
      <c r="E11" s="51"/>
      <c r="F11" s="51"/>
      <c r="G11" s="51"/>
      <c r="H11" s="51"/>
      <c r="I11" s="51"/>
      <c r="J11" s="31"/>
      <c r="K11" s="2"/>
      <c r="L11" s="2"/>
    </row>
    <row r="12" customFormat="false" ht="12.75" hidden="false" customHeight="false" outlineLevel="0" collapsed="false">
      <c r="A12" s="6" t="s">
        <v>96</v>
      </c>
      <c r="B12" s="8" t="n">
        <v>42</v>
      </c>
      <c r="C12" s="59" t="n">
        <v>5302365</v>
      </c>
      <c r="D12" s="59" t="n">
        <v>24313.3</v>
      </c>
      <c r="E12" s="59" t="n">
        <v>0.458536898157709</v>
      </c>
      <c r="F12" s="8" t="n">
        <v>3</v>
      </c>
      <c r="G12" s="88" t="n">
        <v>0.0714285714285714</v>
      </c>
      <c r="H12" s="59" t="n">
        <v>3.66666666666667</v>
      </c>
      <c r="I12" s="59" t="n">
        <v>34.6428571428571</v>
      </c>
      <c r="J12" s="59" t="n">
        <v>0.285714285714286</v>
      </c>
      <c r="K12" s="2"/>
      <c r="L12" s="2"/>
    </row>
    <row r="13" customFormat="false" ht="12.75" hidden="false" customHeight="false" outlineLevel="0" collapsed="false">
      <c r="A13" s="6" t="s">
        <v>84</v>
      </c>
      <c r="B13" s="8" t="n">
        <v>18</v>
      </c>
      <c r="C13" s="59" t="n">
        <v>1391715</v>
      </c>
      <c r="D13" s="59" t="n">
        <v>0</v>
      </c>
      <c r="E13" s="59" t="n">
        <v>0</v>
      </c>
      <c r="F13" s="8" t="n">
        <v>0</v>
      </c>
      <c r="G13" s="88" t="n">
        <v>0</v>
      </c>
      <c r="H13" s="59" t="e">
        <f aca="false">#DIV/0!</f>
        <v>#DIV/0!</v>
      </c>
      <c r="I13" s="59" t="n">
        <v>36.6666666666667</v>
      </c>
      <c r="J13" s="59" t="n">
        <v>0</v>
      </c>
      <c r="K13" s="2"/>
      <c r="L13" s="2"/>
    </row>
    <row r="14" customFormat="false" ht="12.75" hidden="false" customHeight="false" outlineLevel="0" collapsed="false">
      <c r="A14" s="6" t="s">
        <v>72</v>
      </c>
      <c r="B14" s="8" t="n">
        <v>155</v>
      </c>
      <c r="C14" s="59" t="n">
        <v>29936792</v>
      </c>
      <c r="D14" s="59" t="n">
        <v>10245472</v>
      </c>
      <c r="E14" s="59" t="n">
        <v>34.2236803462442</v>
      </c>
      <c r="F14" s="8" t="n">
        <v>79</v>
      </c>
      <c r="G14" s="88" t="n">
        <v>0.509677419354839</v>
      </c>
      <c r="H14" s="59" t="n">
        <v>17.4556962025316</v>
      </c>
      <c r="I14" s="59" t="n">
        <v>43.7612903225806</v>
      </c>
      <c r="J14" s="59" t="n">
        <v>9.27096774193548</v>
      </c>
      <c r="K14" s="2"/>
      <c r="L14" s="2"/>
    </row>
    <row r="15" customFormat="false" ht="12.75" hidden="false" customHeight="false" outlineLevel="0" collapsed="false">
      <c r="A15" s="6" t="s">
        <v>73</v>
      </c>
      <c r="B15" s="8" t="n">
        <v>1</v>
      </c>
      <c r="C15" s="59" t="n">
        <v>50000</v>
      </c>
      <c r="D15" s="59" t="n">
        <v>0</v>
      </c>
      <c r="E15" s="59" t="n">
        <v>0</v>
      </c>
      <c r="F15" s="8" t="n">
        <v>0</v>
      </c>
      <c r="G15" s="88" t="n">
        <v>0</v>
      </c>
      <c r="H15" s="59" t="e">
        <f aca="false">#DIV/0!</f>
        <v>#DIV/0!</v>
      </c>
      <c r="I15" s="59" t="n">
        <v>12</v>
      </c>
      <c r="J15" s="59" t="n">
        <v>0</v>
      </c>
      <c r="K15" s="2"/>
      <c r="L15" s="2"/>
    </row>
    <row r="16" customFormat="false" ht="12.75" hidden="false" customHeight="false" outlineLevel="0" collapsed="false">
      <c r="A16" s="6" t="s">
        <v>81</v>
      </c>
      <c r="B16" s="8" t="n">
        <v>148</v>
      </c>
      <c r="C16" s="59" t="n">
        <v>43143838</v>
      </c>
      <c r="D16" s="59" t="n">
        <v>4661254.19</v>
      </c>
      <c r="E16" s="59" t="n">
        <v>10.8039859365317</v>
      </c>
      <c r="F16" s="8" t="n">
        <v>63</v>
      </c>
      <c r="G16" s="88" t="n">
        <v>0.425675675675676</v>
      </c>
      <c r="H16" s="59" t="n">
        <v>11.8888888888889</v>
      </c>
      <c r="I16" s="59" t="n">
        <v>36.0675675675676</v>
      </c>
      <c r="J16" s="59" t="n">
        <v>6.18243243243243</v>
      </c>
      <c r="K16" s="2"/>
      <c r="L16" s="2"/>
    </row>
    <row r="17" customFormat="false" ht="12.75" hidden="false" customHeight="false" outlineLevel="0" collapsed="false">
      <c r="A17" s="3"/>
      <c r="K17" s="2"/>
      <c r="L17" s="2"/>
    </row>
    <row r="18" customFormat="false" ht="12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2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2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2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2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2.75" hidden="false" customHeight="false" outlineLevel="0" collapsed="false">
      <c r="L23" s="2"/>
    </row>
    <row r="24" customFormat="false" ht="12.75" hidden="false" customHeight="false" outlineLevel="0" collapsed="false">
      <c r="L2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E28" activeCellId="0" sqref="E28"/>
    </sheetView>
  </sheetViews>
  <sheetFormatPr defaultColWidth="8.60546875" defaultRowHeight="12.75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10.42"/>
    <col collapsed="false" customWidth="true" hidden="false" outlineLevel="0" max="3" min="3" style="0" width="17.42"/>
    <col collapsed="false" customWidth="true" hidden="false" outlineLevel="0" max="4" min="4" style="0" width="9.86"/>
    <col collapsed="false" customWidth="true" hidden="false" outlineLevel="0" max="5" min="5" style="0" width="16.43"/>
    <col collapsed="false" customWidth="true" hidden="false" outlineLevel="0" max="6" min="6" style="0" width="16.29"/>
    <col collapsed="false" customWidth="true" hidden="false" outlineLevel="0" max="7" min="7" style="0" width="18.29"/>
    <col collapsed="false" customWidth="true" hidden="false" outlineLevel="0" max="8" min="8" style="0" width="17.42"/>
    <col collapsed="false" customWidth="true" hidden="false" outlineLevel="0" max="9" min="9" style="0" width="4.42"/>
    <col collapsed="false" customWidth="true" hidden="false" outlineLevel="0" max="10" min="10" style="0" width="11"/>
    <col collapsed="false" customWidth="true" hidden="false" outlineLevel="0" max="11" min="11" style="0" width="17.42"/>
  </cols>
  <sheetData>
    <row r="1" customFormat="false" ht="15" hidden="false" customHeight="false" outlineLevel="0" collapsed="false">
      <c r="A1" s="1" t="s">
        <v>97</v>
      </c>
      <c r="I1" s="2"/>
      <c r="J1" s="2"/>
    </row>
    <row r="2" customFormat="false" ht="12.75" hidden="false" customHeight="false" outlineLevel="0" collapsed="false">
      <c r="A2" s="3"/>
      <c r="I2" s="2"/>
      <c r="J2" s="2"/>
    </row>
    <row r="3" customFormat="false" ht="46.65" hidden="false" customHeight="false" outlineLevel="0" collapsed="false">
      <c r="A3" s="72" t="s">
        <v>49</v>
      </c>
      <c r="B3" s="32" t="s">
        <v>78</v>
      </c>
      <c r="C3" s="32" t="s">
        <v>44</v>
      </c>
      <c r="D3" s="32" t="s">
        <v>98</v>
      </c>
      <c r="E3" s="32" t="s">
        <v>47</v>
      </c>
      <c r="F3" s="32" t="s">
        <v>56</v>
      </c>
      <c r="G3" s="32" t="s">
        <v>99</v>
      </c>
      <c r="H3" s="32" t="s">
        <v>92</v>
      </c>
      <c r="I3" s="2"/>
      <c r="J3" s="2"/>
    </row>
    <row r="4" customFormat="false" ht="12.75" hidden="false" customHeight="false" outlineLevel="0" collapsed="false">
      <c r="A4" s="4" t="s">
        <v>32</v>
      </c>
      <c r="B4" s="45" t="n">
        <v>209</v>
      </c>
      <c r="C4" s="44" t="n">
        <v>18045000</v>
      </c>
      <c r="D4" s="44" t="n">
        <v>4303289.52462925</v>
      </c>
      <c r="E4" s="44" t="n">
        <v>23.847545162811</v>
      </c>
      <c r="F4" s="44" t="n">
        <v>11.2521739130435</v>
      </c>
      <c r="G4" s="44" t="n">
        <v>31.555023923445</v>
      </c>
      <c r="H4" s="44" t="n">
        <v>7.48325358851675</v>
      </c>
      <c r="I4" s="2"/>
      <c r="J4" s="2"/>
    </row>
    <row r="5" customFormat="false" ht="15" hidden="false" customHeight="false" outlineLevel="0" collapsed="false">
      <c r="A5" s="76" t="s">
        <v>83</v>
      </c>
      <c r="B5" s="68"/>
      <c r="C5" s="78"/>
      <c r="D5" s="78"/>
      <c r="E5" s="78"/>
      <c r="F5" s="78"/>
      <c r="G5" s="78"/>
      <c r="H5" s="79"/>
      <c r="I5" s="2"/>
      <c r="J5" s="2"/>
      <c r="K5" s="9"/>
    </row>
    <row r="6" customFormat="false" ht="12.75" hidden="false" customHeight="false" outlineLevel="0" collapsed="false">
      <c r="A6" s="6" t="s">
        <v>60</v>
      </c>
      <c r="B6" s="55" t="n">
        <v>92</v>
      </c>
      <c r="C6" s="54" t="n">
        <v>7286000</v>
      </c>
      <c r="D6" s="54" t="n">
        <v>1619965.44462925</v>
      </c>
      <c r="E6" s="54" t="n">
        <v>22.2339479087187</v>
      </c>
      <c r="F6" s="54" t="n">
        <v>13.1147540983607</v>
      </c>
      <c r="G6" s="54" t="n">
        <v>33.3695652173913</v>
      </c>
      <c r="H6" s="54" t="n">
        <v>9.30434782608696</v>
      </c>
      <c r="I6" s="2"/>
      <c r="J6" s="2"/>
    </row>
    <row r="7" customFormat="false" ht="12.75" hidden="false" customHeight="false" outlineLevel="0" collapsed="false">
      <c r="A7" s="6" t="s">
        <v>61</v>
      </c>
      <c r="B7" s="8" t="n">
        <v>47</v>
      </c>
      <c r="C7" s="59" t="n">
        <v>4284000</v>
      </c>
      <c r="D7" s="59" t="n">
        <v>900298.56</v>
      </c>
      <c r="E7" s="59" t="n">
        <v>21.0153725490196</v>
      </c>
      <c r="F7" s="59" t="n">
        <v>11.2608695652174</v>
      </c>
      <c r="G7" s="59" t="n">
        <v>32.2765957446809</v>
      </c>
      <c r="H7" s="59" t="n">
        <v>8.19148936170213</v>
      </c>
      <c r="I7" s="2"/>
      <c r="J7" s="2"/>
    </row>
    <row r="8" customFormat="false" ht="12.75" hidden="false" customHeight="false" outlineLevel="0" collapsed="false">
      <c r="A8" s="6" t="s">
        <v>62</v>
      </c>
      <c r="B8" s="8" t="n">
        <v>19</v>
      </c>
      <c r="C8" s="59" t="n">
        <v>1665000</v>
      </c>
      <c r="D8" s="59" t="n">
        <v>423897.75</v>
      </c>
      <c r="E8" s="59" t="n">
        <v>25.4593243243243</v>
      </c>
      <c r="F8" s="59" t="n">
        <v>6</v>
      </c>
      <c r="G8" s="59" t="n">
        <v>26.8947368421053</v>
      </c>
      <c r="H8" s="59" t="n">
        <v>2.68421052631579</v>
      </c>
      <c r="I8" s="2"/>
      <c r="J8" s="2"/>
    </row>
    <row r="9" customFormat="false" ht="12.75" hidden="false" customHeight="false" outlineLevel="0" collapsed="false">
      <c r="A9" s="6" t="s">
        <v>63</v>
      </c>
      <c r="B9" s="8" t="n">
        <v>51</v>
      </c>
      <c r="C9" s="59" t="n">
        <v>4810000</v>
      </c>
      <c r="D9" s="59" t="n">
        <v>1359127.77</v>
      </c>
      <c r="E9" s="59" t="n">
        <v>28.2562945945946</v>
      </c>
      <c r="F9" s="59" t="n">
        <v>8.22727272727273</v>
      </c>
      <c r="G9" s="59" t="n">
        <v>29.3529411764706</v>
      </c>
      <c r="H9" s="59" t="n">
        <v>5.33333333333333</v>
      </c>
      <c r="I9" s="2"/>
      <c r="J9" s="2"/>
    </row>
    <row r="10" customFormat="false" ht="12.75" hidden="false" customHeight="false" outlineLevel="0" collapsed="false">
      <c r="A10" s="4" t="s">
        <v>64</v>
      </c>
      <c r="B10" s="68"/>
      <c r="C10" s="78"/>
      <c r="D10" s="78"/>
      <c r="E10" s="78"/>
      <c r="F10" s="78"/>
      <c r="G10" s="78"/>
      <c r="H10" s="79"/>
      <c r="I10" s="2"/>
      <c r="J10" s="2"/>
    </row>
    <row r="11" customFormat="false" ht="12.75" hidden="false" customHeight="false" outlineLevel="0" collapsed="false">
      <c r="A11" s="6" t="s">
        <v>80</v>
      </c>
      <c r="B11" s="8" t="n">
        <v>37</v>
      </c>
      <c r="C11" s="59" t="n">
        <v>2950000</v>
      </c>
      <c r="D11" s="59" t="n">
        <v>0</v>
      </c>
      <c r="E11" s="59" t="n">
        <v>0</v>
      </c>
      <c r="F11" s="59" t="e">
        <f aca="false">#DIV/0!</f>
        <v>#DIV/0!</v>
      </c>
      <c r="G11" s="59" t="n">
        <v>24</v>
      </c>
      <c r="H11" s="59" t="n">
        <v>0</v>
      </c>
      <c r="I11" s="2"/>
      <c r="J11" s="2"/>
    </row>
    <row r="12" customFormat="false" ht="12.75" hidden="false" customHeight="false" outlineLevel="0" collapsed="false">
      <c r="A12" s="6" t="s">
        <v>96</v>
      </c>
      <c r="B12" s="8" t="n">
        <v>5</v>
      </c>
      <c r="C12" s="59" t="n">
        <v>150000</v>
      </c>
      <c r="D12" s="59" t="n">
        <v>0</v>
      </c>
      <c r="E12" s="59" t="n">
        <v>0</v>
      </c>
      <c r="F12" s="59" t="e">
        <f aca="false">#DIV/0!</f>
        <v>#DIV/0!</v>
      </c>
      <c r="G12" s="59" t="n">
        <v>19.4</v>
      </c>
      <c r="H12" s="59" t="n">
        <v>1.4</v>
      </c>
      <c r="I12" s="2"/>
      <c r="J12" s="2"/>
    </row>
    <row r="13" customFormat="false" ht="12.75" hidden="false" customHeight="false" outlineLevel="0" collapsed="false">
      <c r="A13" s="6" t="s">
        <v>66</v>
      </c>
      <c r="B13" s="8" t="n">
        <v>1</v>
      </c>
      <c r="C13" s="59" t="n">
        <v>80000</v>
      </c>
      <c r="D13" s="59" t="n">
        <v>10469.38</v>
      </c>
      <c r="E13" s="59" t="n">
        <v>13.086725</v>
      </c>
      <c r="F13" s="59" t="n">
        <v>8</v>
      </c>
      <c r="G13" s="59" t="n">
        <v>24</v>
      </c>
      <c r="H13" s="59" t="n">
        <v>0</v>
      </c>
      <c r="I13" s="2"/>
      <c r="J13" s="2"/>
    </row>
    <row r="14" customFormat="false" ht="12.75" hidden="false" customHeight="false" outlineLevel="0" collapsed="false">
      <c r="A14" s="6" t="s">
        <v>84</v>
      </c>
      <c r="B14" s="8" t="n">
        <v>127</v>
      </c>
      <c r="C14" s="59" t="n">
        <v>13380000</v>
      </c>
      <c r="D14" s="59" t="n">
        <v>3763304.98462925</v>
      </c>
      <c r="E14" s="59" t="n">
        <v>28.1263451766013</v>
      </c>
      <c r="F14" s="59" t="n">
        <v>9.55056179775281</v>
      </c>
      <c r="G14" s="59" t="n">
        <v>30.511811023622</v>
      </c>
      <c r="H14" s="59" t="n">
        <v>6.15748031496063</v>
      </c>
      <c r="I14" s="2"/>
      <c r="J14" s="2"/>
    </row>
    <row r="15" customFormat="false" ht="12.75" hidden="false" customHeight="false" outlineLevel="0" collapsed="false">
      <c r="A15" s="6" t="s">
        <v>72</v>
      </c>
      <c r="B15" s="8" t="n">
        <v>37</v>
      </c>
      <c r="C15" s="59" t="n">
        <v>1305000</v>
      </c>
      <c r="D15" s="59" t="n">
        <v>422855.18</v>
      </c>
      <c r="E15" s="59" t="n">
        <v>32.4026957854406</v>
      </c>
      <c r="F15" s="59" t="n">
        <v>18.4782608695652</v>
      </c>
      <c r="G15" s="59" t="n">
        <v>44.4324324324324</v>
      </c>
      <c r="H15" s="59" t="n">
        <v>20.4324324324324</v>
      </c>
      <c r="I15" s="2"/>
      <c r="J15" s="2"/>
    </row>
    <row r="16" customFormat="false" ht="12.75" hidden="false" customHeight="false" outlineLevel="0" collapsed="false">
      <c r="A16" s="6" t="s">
        <v>74</v>
      </c>
      <c r="B16" s="8" t="n">
        <v>2</v>
      </c>
      <c r="C16" s="59" t="n">
        <v>180000</v>
      </c>
      <c r="D16" s="59" t="n">
        <v>106659.98</v>
      </c>
      <c r="E16" s="59" t="n">
        <v>59.2555444444445</v>
      </c>
      <c r="F16" s="59" t="n">
        <v>5.5</v>
      </c>
      <c r="G16" s="59" t="n">
        <v>33.5</v>
      </c>
      <c r="H16" s="59" t="n">
        <v>9.5</v>
      </c>
      <c r="I16" s="94"/>
      <c r="J16" s="2"/>
    </row>
    <row r="17" customFormat="false" ht="12.75" hidden="false" customHeight="false" outlineLevel="0" collapsed="false">
      <c r="J17" s="2"/>
    </row>
    <row r="18" customFormat="false" ht="12.75" hidden="false" customHeight="false" outlineLevel="0" collapsed="false">
      <c r="J18" s="2"/>
    </row>
    <row r="19" customFormat="false" ht="12.75" hidden="false" customHeight="false" outlineLevel="0" collapsed="false">
      <c r="J19" s="2"/>
    </row>
    <row r="20" customFormat="false" ht="12.75" hidden="false" customHeight="false" outlineLevel="0" collapsed="false">
      <c r="J20" s="2"/>
    </row>
    <row r="21" customFormat="false" ht="12.75" hidden="false" customHeight="false" outlineLevel="0" collapsed="false">
      <c r="J2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8de9ef-0285-4012-9e7a-b91537000444">
      <Terms xmlns="http://schemas.microsoft.com/office/infopath/2007/PartnerControls"/>
    </lcf76f155ced4ddcb4097134ff3c332f>
    <TaxCatchAll xmlns="566f8f9c-ed1f-4e0f-8d7c-43e24169b3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80FB904E6CC49926E3CC880C12E7D" ma:contentTypeVersion="14" ma:contentTypeDescription="Create a new document." ma:contentTypeScope="" ma:versionID="fdacfa2d4449a1b7099dac2d42b54004">
  <xsd:schema xmlns:xsd="http://www.w3.org/2001/XMLSchema" xmlns:xs="http://www.w3.org/2001/XMLSchema" xmlns:p="http://schemas.microsoft.com/office/2006/metadata/properties" xmlns:ns2="bd8de9ef-0285-4012-9e7a-b91537000444" xmlns:ns3="566f8f9c-ed1f-4e0f-8d7c-43e24169b3b8" targetNamespace="http://schemas.microsoft.com/office/2006/metadata/properties" ma:root="true" ma:fieldsID="dfc4aa1313128e0b9ac790b9b6504309" ns2:_="" ns3:_="">
    <xsd:import namespace="bd8de9ef-0285-4012-9e7a-b91537000444"/>
    <xsd:import namespace="566f8f9c-ed1f-4e0f-8d7c-43e24169b3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de9ef-0285-4012-9e7a-b91537000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f8f9c-ed1f-4e0f-8d7c-43e24169b3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1e7951-b5aa-41d2-9f9e-172cd5e1612d}" ma:internalName="TaxCatchAll" ma:showField="CatchAllData" ma:web="566f8f9c-ed1f-4e0f-8d7c-43e24169b3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ACBB4AD-BC2E-46BF-B6E9-543516858E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C72B00-CE45-4A0E-9955-8E980629D66D}">
  <ds:schemaRefs>
    <ds:schemaRef ds:uri="566f8f9c-ed1f-4e0f-8d7c-43e24169b3b8"/>
    <ds:schemaRef ds:uri="http://schemas.microsoft.com/office/2006/documentManagement/types"/>
    <ds:schemaRef ds:uri="bd8de9ef-0285-4012-9e7a-b91537000444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061AB3-548E-495D-9240-1F3719167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de9ef-0285-4012-9e7a-b91537000444"/>
    <ds:schemaRef ds:uri="566f8f9c-ed1f-4e0f-8d7c-43e24169b3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CC5B447-1613-4D06-AA25-508EB05B3F4A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1999-06-05T18:56:22Z</dcterms:created>
  <dc:creator>Deepak Kataria</dc:creator>
  <dc:description/>
  <dc:language>ro-RO</dc:language>
  <cp:lastModifiedBy/>
  <cp:lastPrinted>2025-06-17T19:25:54Z</cp:lastPrinted>
  <dcterms:modified xsi:type="dcterms:W3CDTF">2026-08-18T13:08:50Z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0x010100AE580FB904E6CC49926E3CC880C12E7D</vt:lpwstr>
  </property>
  <property fmtid="{D5CDD505-2E9C-101B-9397-08002B2CF9AE}" pid="3" name="MediaServiceImageTags">
    <vt:lpwstr/>
  </property>
  <property fmtid="{D5CDD505-2E9C-101B-9397-08002B2CF9AE}" pid="4" name="Order">
    <vt:lpwstr>7443400.00000000</vt:lpwstr>
  </property>
  <property fmtid="{D5CDD505-2E9C-101B-9397-08002B2CF9AE}" pid="5" name="TaxCatchAll">
    <vt:lpwstr/>
  </property>
  <property fmtid="{D5CDD505-2E9C-101B-9397-08002B2CF9AE}" pid="6" name="display_urn:schemas-microsoft-com:office:office#Author">
    <vt:lpwstr>Laura Duong</vt:lpwstr>
  </property>
  <property fmtid="{D5CDD505-2E9C-101B-9397-08002B2CF9AE}" pid="7" name="display_urn:schemas-microsoft-com:office:office#Editor">
    <vt:lpwstr>Laura Duong</vt:lpwstr>
  </property>
  <property fmtid="{D5CDD505-2E9C-101B-9397-08002B2CF9AE}" pid="8" name="lcf76f155ced4ddcb4097134ff3c332f">
    <vt:lpwstr/>
  </property>
</Properties>
</file>