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nex I APR report " sheetId="1" r:id="rId5"/>
    <sheet state="hidden" name="Format for EDW" sheetId="2" r:id="rId6"/>
    <sheet state="hidden" name="Template for analysis tables" sheetId="3" r:id="rId7"/>
    <sheet state="hidden" name="TemplateforMacro" sheetId="4" r:id="rId8"/>
    <sheet state="hidden" name="Date" sheetId="5" r:id="rId9"/>
    <sheet state="hidden" name="Phaseout " sheetId="6" r:id="rId10"/>
    <sheet state="hidden" name="Financial " sheetId="7" r:id="rId11"/>
    <sheet state="hidden" name="Narrative &amp; Indicators " sheetId="8" r:id="rId12"/>
    <sheet state="hidden" name="CLO and TRF" sheetId="9" r:id="rId13"/>
    <sheet state="hidden" name="Annual Summary" sheetId="10" r:id="rId14"/>
    <sheet state="hidden" name="Total Funds" sheetId="11" r:id="rId15"/>
    <sheet state="hidden" name="Summary Data by Project Type" sheetId="12" r:id="rId16"/>
    <sheet state="hidden" name="Cumulative Completed Investment" sheetId="13" r:id="rId17"/>
    <sheet state="hidden" name="Cumulative Ongoing Investment" sheetId="14" r:id="rId18"/>
    <sheet state="hidden" name="Cumulative Completed Non-Invest" sheetId="15" r:id="rId19"/>
    <sheet state="hidden" name="Cumulative Ongoing Non-Invest" sheetId="16" r:id="rId20"/>
    <sheet state="hidden" name="Project Preparation" sheetId="17" r:id="rId2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XX meeting, based on the year of the APR and the last ExCom meeting held before the APR. to be derived
	-Rony Salim Aoun</t>
      </text>
    </comment>
    <comment authorId="0" ref="AU2">
      <text>
        <t xml:space="preserve">XX meeting, based on the year of the APR and the last ExCom meeting held before the APR. to be derived
	-Rony Salim Aoun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Shouldn’t we add the Estimated PSC disbursed
	-Rony Salim Aoun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">
      <text>
        <t xml:space="preserve">Remarks for the reporting period APR as of 31 Dec XXXX
	-Rony Salim Aoun</t>
      </text>
    </comment>
    <comment authorId="0" ref="D5">
      <text>
        <t xml:space="preserve">The remarks of the “Current year” which represent Q1 of the second year
	-Rony Salim Aoun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Planned date of completion - Date completion per proposal
	-Rony Salim Aoun</t>
      </text>
    </comment>
  </commentList>
</comments>
</file>

<file path=xl/sharedStrings.xml><?xml version="1.0" encoding="utf-8"?>
<sst xmlns="http://schemas.openxmlformats.org/spreadsheetml/2006/main" count="1030" uniqueCount="590">
  <si>
    <t xml:space="preserve">Date data fields </t>
  </si>
  <si>
    <t>Phaseout data fields</t>
  </si>
  <si>
    <t>Financial data fields</t>
  </si>
  <si>
    <t xml:space="preserve">Narrative &amp; Imdicators Data Fields </t>
  </si>
  <si>
    <t>PCR Due</t>
  </si>
  <si>
    <t>Meta Code</t>
  </si>
  <si>
    <t>Project Code</t>
  </si>
  <si>
    <t>Legacy Code</t>
  </si>
  <si>
    <t>Agency</t>
  </si>
  <si>
    <t>Cluster</t>
  </si>
  <si>
    <t>Region</t>
  </si>
  <si>
    <t>Country</t>
  </si>
  <si>
    <t>Type</t>
  </si>
  <si>
    <t>Sector</t>
  </si>
  <si>
    <t>Project Title</t>
  </si>
  <si>
    <t>Date Approved</t>
  </si>
  <si>
    <t>Date of Completion per Proposal</t>
  </si>
  <si>
    <t>Status</t>
  </si>
  <si>
    <t>First Disbursement Date</t>
  </si>
  <si>
    <t>Planned Date of Completion</t>
  </si>
  <si>
    <t>Date Completed (Actual)</t>
  </si>
  <si>
    <t>Date of Financial Completion</t>
  </si>
  <si>
    <t>Consumption to be Phased Out per Proposal (ODP tonnes)</t>
  </si>
  <si>
    <t xml:space="preserve">Consumption to be Phased Out per Proposal (metric tonnes) </t>
  </si>
  <si>
    <t>Consumption to be Phased Out per Proposal (CO2-eq tonnes)</t>
  </si>
  <si>
    <t>Production to be Phased Out per Proposal (ODP tonnes)</t>
  </si>
  <si>
    <t xml:space="preserve">Production to be Phased Out per Proposal (metric tonnes) </t>
  </si>
  <si>
    <t>Production to be Phased Out per Proposal (CO2-eq tonnes)</t>
  </si>
  <si>
    <t>Consumption Phased Out (ODP tonnes)</t>
  </si>
  <si>
    <t>Consumption Phased Out (metric tonnes)</t>
  </si>
  <si>
    <t>Consumption Phased Out (Co2-eq tonnes)</t>
  </si>
  <si>
    <t>Production Phased Out (ODP tonnes)</t>
  </si>
  <si>
    <t>Production Phased Out (metric tonnes)</t>
  </si>
  <si>
    <t>Production Phased Out (CO2-eq tonnes)</t>
  </si>
  <si>
    <t>Approved Funding (US$)</t>
  </si>
  <si>
    <t>Adjustment (US$)</t>
  </si>
  <si>
    <t>Approved Funding plus Adjustments (US$)</t>
  </si>
  <si>
    <t>Per Cent of Funds Disbursed</t>
  </si>
  <si>
    <t>Balance (US$)</t>
  </si>
  <si>
    <t>Support Cost Approved (US$)</t>
  </si>
  <si>
    <t>Support Cost Adjustment (US$)</t>
  </si>
  <si>
    <t>Support Costs Approved Funding plus Adjustments (US$)</t>
  </si>
  <si>
    <t>Support Cost Balance (US$)</t>
  </si>
  <si>
    <t>Funds Disbursed (US$)</t>
  </si>
  <si>
    <t>Funds Committed (US$)</t>
  </si>
  <si>
    <t>Estimated Disbursement in Current Year (US$)</t>
  </si>
  <si>
    <t>Support Cost Disbursed (US$)</t>
  </si>
  <si>
    <t>Support Cost Committed (US$)</t>
  </si>
  <si>
    <t>Disbursements made to final beneficiaries from FECO/ MEP</t>
  </si>
  <si>
    <t xml:space="preserve">Funds advanced (US$) </t>
  </si>
  <si>
    <t xml:space="preserve">Implementation Delays/Status Report Decisions </t>
  </si>
  <si>
    <t>Date of Completion per Agreements or per Decisions</t>
  </si>
  <si>
    <t xml:space="preserve">Remarks (as of 31 December XXXX) </t>
  </si>
  <si>
    <t>Remarks (Current year)</t>
  </si>
  <si>
    <t>Gender Policy for All Projects Approved from 85th Mtg (Yes/No)</t>
  </si>
  <si>
    <t>Yes</t>
  </si>
  <si>
    <t>IVC/ARS/46/INV/23</t>
  </si>
  <si>
    <t>UNIDO</t>
  </si>
  <si>
    <t>AFR</t>
  </si>
  <si>
    <t>IVC</t>
  </si>
  <si>
    <t>INV</t>
  </si>
  <si>
    <t>ARS</t>
  </si>
  <si>
    <t xml:space="preserve"> Phase-out of CFC-12 in the manufacture of cosmetics aerosols (deodorants) by conversion to hydrocarbon aerosol propellant (HAP) at COPACI, Abidjan (terminal aerosol sector project)</t>
  </si>
  <si>
    <t>CLO</t>
  </si>
  <si>
    <t>Code</t>
  </si>
  <si>
    <t>Clusters</t>
  </si>
  <si>
    <t>Date of Compl  per Proposal</t>
  </si>
  <si>
    <t>Consumption ODP/MT to be Phased Out per Proposal</t>
  </si>
  <si>
    <t>Consumption to be Phased Out per Proposal in CO2-eq Tonnes</t>
  </si>
  <si>
    <t>Production ODP/MT to be Phased Out per Proposal</t>
  </si>
  <si>
    <t>Production to be Phased Out per Proposal in CO2-eq Tonnes</t>
  </si>
  <si>
    <t>Consumption ODP/MT Phased Out</t>
  </si>
  <si>
    <t>Consumption Phased Out in CO2-eq Tonnes</t>
  </si>
  <si>
    <t>Production ODP/MT Phased Out</t>
  </si>
  <si>
    <t>Production Phased Out in CO2-eq Tonnes</t>
  </si>
  <si>
    <t>Implementation Delays/Status Report Decisions (96th Meeting)</t>
  </si>
  <si>
    <t>Mandatory requirements and performance indicators when submitting stages of multi-year agreement projects starting 94th meeting (Yes/No)</t>
  </si>
  <si>
    <t xml:space="preserve">Derived </t>
  </si>
  <si>
    <t>Input</t>
  </si>
  <si>
    <t xml:space="preserve">Calculated Field </t>
  </si>
  <si>
    <t xml:space="preserve">Multi-Year/Multi-Year Partial Phase-out/One-off Phase-Out/Individual/RMP/RMP Update/RMP for Non-LVC/Halon Banking </t>
  </si>
  <si>
    <t>Mtg</t>
  </si>
  <si>
    <t>Num</t>
  </si>
  <si>
    <t>A/N</t>
  </si>
  <si>
    <t>IRDX</t>
  </si>
  <si>
    <t>Chemical</t>
  </si>
  <si>
    <t>Consumption ODP to be Phased Out per Proposal</t>
  </si>
  <si>
    <t>Production ODP to be Phased Out per Proposal</t>
  </si>
  <si>
    <t>Year Approved</t>
  </si>
  <si>
    <t>Months from Approval to First Disbursement</t>
  </si>
  <si>
    <t>Months from Approval to Completionper Proposal</t>
  </si>
  <si>
    <t>Months from Approval to Planned Completion</t>
  </si>
  <si>
    <t>Months from Approval to Completion</t>
  </si>
  <si>
    <t>Year of Contribution</t>
  </si>
  <si>
    <t>Com Imp Delay</t>
  </si>
  <si>
    <t>Sum of AN and AO</t>
  </si>
  <si>
    <t>ONG or COM AL</t>
  </si>
  <si>
    <t>ONG or COM AL for CPG,TAS,TRA AND INS</t>
  </si>
  <si>
    <t>Sum of AN and AO for CPG,TAS,TRA</t>
  </si>
  <si>
    <t>Latest Planned Date of Completion</t>
  </si>
  <si>
    <t>Business Plan Allocation (Investment/Non-Investment)</t>
  </si>
  <si>
    <t>Funds Transferred (US$)</t>
  </si>
  <si>
    <t>Support Costs Transferred (US$)</t>
  </si>
  <si>
    <t>12 Months Delay</t>
  </si>
  <si>
    <t>Net Emissions</t>
  </si>
  <si>
    <t>18 months Delay</t>
  </si>
  <si>
    <t>Delay List Exclusions</t>
  </si>
  <si>
    <t>Implementation Delays/Status Report Decisions (94th Meeting)</t>
  </si>
  <si>
    <t>Remarks</t>
  </si>
  <si>
    <t>Remarks (Latest information)</t>
  </si>
  <si>
    <t>Consumption ODP Phased Out</t>
  </si>
  <si>
    <t>Production ODP Phased Out</t>
  </si>
  <si>
    <t>Correct Code</t>
  </si>
  <si>
    <t>This table is used to run the macros for summary tables.</t>
  </si>
  <si>
    <t>Changes will be made after changing the format of the summary tables.</t>
  </si>
  <si>
    <t xml:space="preserve">Unique Code </t>
  </si>
  <si>
    <t>Date</t>
  </si>
  <si>
    <t>Phaseout</t>
  </si>
  <si>
    <t xml:space="preserve">Financial </t>
  </si>
  <si>
    <t xml:space="preserve">Funds advanced (US$) 
</t>
  </si>
  <si>
    <t>ECU/REF/91/INV/81</t>
  </si>
  <si>
    <t>BOL/EEF/93/DEM/62</t>
  </si>
  <si>
    <t>ECU/EEF/93/DEM/85</t>
  </si>
  <si>
    <t>ARG/PHA/87/INV/194</t>
  </si>
  <si>
    <t>MEX/PHA/86/INV/194</t>
  </si>
  <si>
    <t>JOR/REF/81/INV/103</t>
  </si>
  <si>
    <t>GLO/SEV/91/TAS/364</t>
  </si>
  <si>
    <t>GLO/SEV/93/TAS/369</t>
  </si>
  <si>
    <t>MEX/PHA/92/INV/205</t>
  </si>
  <si>
    <t>ALG/SEV/84/TAS/83</t>
  </si>
  <si>
    <t>EGY/EEF/93/DEM/157</t>
  </si>
  <si>
    <t>MEX/EEF/93/DEM/213</t>
  </si>
  <si>
    <t>SOA/EEF/93/DEM/17</t>
  </si>
  <si>
    <t>SYR/SEV/73/INS/104</t>
  </si>
  <si>
    <t>SYR/SEV/90/INS/110</t>
  </si>
  <si>
    <t>TUN/SEV/84/INS/77</t>
  </si>
  <si>
    <t>TUR/SEV/84/INS/110</t>
  </si>
  <si>
    <t>YUG/SEV/84/INS/53</t>
  </si>
  <si>
    <t>ECU/SEV/87/INS/77</t>
  </si>
  <si>
    <t>YUG/SEV/88/INS/56</t>
  </si>
  <si>
    <t>TUN/SEV/74/INS/64</t>
  </si>
  <si>
    <t>ARM/SEV/91/INS/28</t>
  </si>
  <si>
    <t>ECU/SEV/92/INS/81</t>
  </si>
  <si>
    <t>TUR/SEV/91/INS/114</t>
  </si>
  <si>
    <t>TUN/SEV/93/INS/83</t>
  </si>
  <si>
    <t>MEX/SEV/86/INS/193</t>
  </si>
  <si>
    <t>MEX/SEV/91/INS/203</t>
  </si>
  <si>
    <t>TKM/SEV/86/INS/16</t>
  </si>
  <si>
    <t>TKM/SEV/90/INS/20</t>
  </si>
  <si>
    <t>MDN/SEV/88/INS/48</t>
  </si>
  <si>
    <t>BHE/SEV/92/INS/42</t>
  </si>
  <si>
    <t>MDN/SEV/92/INS/49</t>
  </si>
  <si>
    <t>EGY/SEV/91/INS/154</t>
  </si>
  <si>
    <t>GLO/REF/80/DEM/344</t>
  </si>
  <si>
    <t>MDN/PHA/88/INV/47</t>
  </si>
  <si>
    <t>SOA/PHA/91/INV/16</t>
  </si>
  <si>
    <t>BOT/PHA/75/INV/18</t>
  </si>
  <si>
    <t>MAU/PHA/88/INV/28</t>
  </si>
  <si>
    <t>MOZ/PHA/66/INV/23</t>
  </si>
  <si>
    <t>SYR/PHA/86/INV/107</t>
  </si>
  <si>
    <t>ALG/PHA/66/INV/77</t>
  </si>
  <si>
    <t>ALG/PHA/66/INV/76</t>
  </si>
  <si>
    <t>KUW/PHA/66/INV/21</t>
  </si>
  <si>
    <t>LIB/PHA/75/INV/36</t>
  </si>
  <si>
    <t>DRK/PHA/73/INV/59</t>
  </si>
  <si>
    <t>SOA/FOA/67/INV/03</t>
  </si>
  <si>
    <t>LIB/PHA/75/INV/37</t>
  </si>
  <si>
    <t>AFG/PHA/85/INV/28</t>
  </si>
  <si>
    <t>SUR/PHA/92/INV/32</t>
  </si>
  <si>
    <t>TUR/PHA/93/INV/115</t>
  </si>
  <si>
    <t>BHE/PHA/82/INV/36</t>
  </si>
  <si>
    <t>KUW/PHA/88/INV/45</t>
  </si>
  <si>
    <t>KUW/PHA/88/INV/46</t>
  </si>
  <si>
    <t>SOA/PHA/83/TAS/13</t>
  </si>
  <si>
    <t>BOT/PHA/82/INV/21</t>
  </si>
  <si>
    <t>AFG/PHA/77/INV/20</t>
  </si>
  <si>
    <t>MAU/PHA/91/INV/29</t>
  </si>
  <si>
    <t>MYA/PHA/80/INV/19</t>
  </si>
  <si>
    <t>NER/PHA/84/INV/39</t>
  </si>
  <si>
    <t>SYR/PHA/91/INV/111</t>
  </si>
  <si>
    <t>BHE/PHA/72/INV/29</t>
  </si>
  <si>
    <t>KUW/PHA/74/INV/25</t>
  </si>
  <si>
    <t>DRK/PHA/75/INV/62</t>
  </si>
  <si>
    <t>SYR/PHA/91/INV/113</t>
  </si>
  <si>
    <t>KUW/PHA/74/INV/24</t>
  </si>
  <si>
    <t>SYR/PHA/91/INV/112</t>
  </si>
  <si>
    <t>TUR/PHA/75/INV/107</t>
  </si>
  <si>
    <t>IRQ/PHA/74/INV/23</t>
  </si>
  <si>
    <t>LIB/PHA/82/INV/42</t>
  </si>
  <si>
    <t>SOM/PHA/77/INV/12</t>
  </si>
  <si>
    <t>SOA/PHA/71/INV/06</t>
  </si>
  <si>
    <t>MOZ/PHA/83/INV/31</t>
  </si>
  <si>
    <t>AFG/PHA/79/INV/22</t>
  </si>
  <si>
    <t>IVC/PHA/84/INV/45</t>
  </si>
  <si>
    <t>GAB/PHA/79/INV/34</t>
  </si>
  <si>
    <t>GUI/PHA/85/INV/34</t>
  </si>
  <si>
    <t>NER/PHA/88/INV/41</t>
  </si>
  <si>
    <t>SEN/PHA/85/INV/41</t>
  </si>
  <si>
    <t>SOM/PHA/88/INV/16</t>
  </si>
  <si>
    <t>ZAM/PHA/77/INV/33</t>
  </si>
  <si>
    <t>BHE/PHA/76/INV/33</t>
  </si>
  <si>
    <t>DRK/PHA/77/INV/64</t>
  </si>
  <si>
    <t>SOA/PHA/76/INV/10</t>
  </si>
  <si>
    <t>TUR/PHA/84/INV/111</t>
  </si>
  <si>
    <t>IRQ/PHA/84/INV/29</t>
  </si>
  <si>
    <t>KUW/PHA/83/TAS/37</t>
  </si>
  <si>
    <t>SOA/PHA/76/TAS/11</t>
  </si>
  <si>
    <t>BEN/EEF/93/TAS/47</t>
  </si>
  <si>
    <t>ALB/EEF/93/TAS/54</t>
  </si>
  <si>
    <t>GRN/EEF/93/TAS/33</t>
  </si>
  <si>
    <t>BOL/EEF/93/TAS/61</t>
  </si>
  <si>
    <t>ECU/EEF/93/TAS/84</t>
  </si>
  <si>
    <t>GAM/EEF/93/TAS/50</t>
  </si>
  <si>
    <t>GUA/EEF/93/TAS/67</t>
  </si>
  <si>
    <t>SIL/EEF/93/TAS/48</t>
  </si>
  <si>
    <t>MOR/PHA/91/INV/78</t>
  </si>
  <si>
    <t>MEX/PHA/92/INV/206</t>
  </si>
  <si>
    <t>BRA/PHA/88/INV/327</t>
  </si>
  <si>
    <t>CPR/PHA/91/INV/613</t>
  </si>
  <si>
    <t>AFG/PHA/85/INV/30</t>
  </si>
  <si>
    <t>BOT/PHA/86/INV/27</t>
  </si>
  <si>
    <t>CMR/PHA/82/INV/45</t>
  </si>
  <si>
    <t>ALB/PHA/85/INV/41</t>
  </si>
  <si>
    <t>BHA/PHA/90/INV/32</t>
  </si>
  <si>
    <t>BEN/PHA/90/INV/44</t>
  </si>
  <si>
    <t>BOL/PHA/87/INV/50</t>
  </si>
  <si>
    <t>BHE/PHA/87/INV/39</t>
  </si>
  <si>
    <t>BRU/PHA/91/INV/32</t>
  </si>
  <si>
    <t>BKF/PHA/92/INV/48</t>
  </si>
  <si>
    <t>CHD/PHA/90/INV/40</t>
  </si>
  <si>
    <t>ECU/PHA/86/INV/75</t>
  </si>
  <si>
    <t>ECU/PHA/87/TAS/79</t>
  </si>
  <si>
    <t>ERI/PHA/91/INV/23</t>
  </si>
  <si>
    <t>ETH/PHA/88/INV/34</t>
  </si>
  <si>
    <t>GAM/PHA/86/INV/41</t>
  </si>
  <si>
    <t>GRN/PHA/90/INV/30</t>
  </si>
  <si>
    <t>GUA/PHA/86/INV/57</t>
  </si>
  <si>
    <t>GUI/PHA/93/INV/43</t>
  </si>
  <si>
    <t>HON/PHA/86/INV/50</t>
  </si>
  <si>
    <t>IRQ/PHA/87/INV/31</t>
  </si>
  <si>
    <t>KUW/PHA/88/INV/43</t>
  </si>
  <si>
    <t>LIR/PHA/90/INV/32</t>
  </si>
  <si>
    <t>MAG/PHA/90/INV/37</t>
  </si>
  <si>
    <t>MLW/PHA/85/INV/48</t>
  </si>
  <si>
    <t>MOG/PHA/85/INV/16</t>
  </si>
  <si>
    <t>MOR/PHA/88/INV/76</t>
  </si>
  <si>
    <t>NIC/PHA/86/INV/40</t>
  </si>
  <si>
    <t>NER/PHA/90/TAS/44</t>
  </si>
  <si>
    <t>MDN/PHA/88/INV/46</t>
  </si>
  <si>
    <t>QAT/PHA/88/INV/26</t>
  </si>
  <si>
    <t>RWA/PHA/86/INV/35</t>
  </si>
  <si>
    <t>STL/PHA/87/INV/35</t>
  </si>
  <si>
    <t>SEN/PHA/88/INV/48</t>
  </si>
  <si>
    <t>YUG/PHA/85/INV/54</t>
  </si>
  <si>
    <t>SIL/PHA/87/INV/40</t>
  </si>
  <si>
    <t>SOA/PHA/91/INV/15</t>
  </si>
  <si>
    <t>SUR/PHA/93/INV/35</t>
  </si>
  <si>
    <t>URT/PHA/87/INV/42</t>
  </si>
  <si>
    <t>TOG/PHA/91/INV/40</t>
  </si>
  <si>
    <t>TKM/PHA/86/INV/17</t>
  </si>
  <si>
    <t>UGA/PHA/86/INV/30</t>
  </si>
  <si>
    <t>ZAM/PHA/86/INV/41</t>
  </si>
  <si>
    <t>PHI/PHA/83/INV/104</t>
  </si>
  <si>
    <t>MEX/PHA/73/INV/174</t>
  </si>
  <si>
    <t>BRA/PHA/75/INV/311</t>
  </si>
  <si>
    <t>BAH/PHA/88/INV/43</t>
  </si>
  <si>
    <t>SUD/PHA/75/INV/38</t>
  </si>
  <si>
    <t>ARG/PHA/80/INV/184</t>
  </si>
  <si>
    <t>IRA/PHA/77/INV/228</t>
  </si>
  <si>
    <t>TUN/PHA/84/INV/75</t>
  </si>
  <si>
    <t>ARG/PHA/80/TAS/185</t>
  </si>
  <si>
    <t>LIB/PHA/90/INV/45</t>
  </si>
  <si>
    <t>PAK/PHA/76/INV/94</t>
  </si>
  <si>
    <t>EGY/PHA/79/INV/133</t>
  </si>
  <si>
    <t>JOR/PHA/77/INV/100</t>
  </si>
  <si>
    <t>BRA/PHA/75/TAS/308</t>
  </si>
  <si>
    <t>ARG/PHA/79/INV/180</t>
  </si>
  <si>
    <t>JOR/PHA/77/INV/101</t>
  </si>
  <si>
    <t>PHI/PHA/83/TAS/105</t>
  </si>
  <si>
    <t>TUN/PHA/84/INV/74</t>
  </si>
  <si>
    <t>CPR/PHA/77/INV/576</t>
  </si>
  <si>
    <t>BAH/PHA/88/TAS/41</t>
  </si>
  <si>
    <t>LIB/PHA/90/INV/46</t>
  </si>
  <si>
    <t>MEX/PHA/90/INV/200</t>
  </si>
  <si>
    <t>PAK/PHA/90/INV/110</t>
  </si>
  <si>
    <t>CPR/PHA/88/INV/607</t>
  </si>
  <si>
    <t>ALB/PHA/91/INV/47</t>
  </si>
  <si>
    <t>BAH/PHA/93/INV/46</t>
  </si>
  <si>
    <t>BOL/PHA/93/INV/55</t>
  </si>
  <si>
    <t>CMR/PHA/88/INV/48</t>
  </si>
  <si>
    <t>ECU/PHA/93/INV/82</t>
  </si>
  <si>
    <t>GAM/PHA/93/INV/48</t>
  </si>
  <si>
    <t>GUA/PHA/93/INV/63</t>
  </si>
  <si>
    <t>HON/PHA/92/INV/58</t>
  </si>
  <si>
    <t>MLW/PHA/92/INV/54</t>
  </si>
  <si>
    <t>MOG/PHA/91/INV/19</t>
  </si>
  <si>
    <t>MOR/PHA/93/INV/80</t>
  </si>
  <si>
    <t>NIC/PHA/92/INV/48</t>
  </si>
  <si>
    <t>MDN/PHA/93/INV/50</t>
  </si>
  <si>
    <t>QAT/PHA/93/INV/30</t>
  </si>
  <si>
    <t>YUG/PHA/91/INV/60</t>
  </si>
  <si>
    <t>SIL/PHA/93/INV/46</t>
  </si>
  <si>
    <t>TUN/PHA/92/INV/82</t>
  </si>
  <si>
    <t>TKM/PHA/91/INV/21</t>
  </si>
  <si>
    <t>EGY/PHA/84/TAS/145</t>
  </si>
  <si>
    <t>PAK/PHA/83/INV/99</t>
  </si>
  <si>
    <t>NIC/EEF/92/TAS/49</t>
  </si>
  <si>
    <t>HON/EEF/92/TAS/59</t>
  </si>
  <si>
    <t>CPR/PHA/80/INV/584</t>
  </si>
  <si>
    <t>ARG/PHA/84/INV/189</t>
  </si>
  <si>
    <t>ARG/PHA/84/INV/192</t>
  </si>
  <si>
    <t>IRA/PHA/84/INV/239</t>
  </si>
  <si>
    <t>ARG/PHA/84/TAS/191</t>
  </si>
  <si>
    <t>PAK/PHA/83/INV/102</t>
  </si>
  <si>
    <t>JOR/PHA/84/INV/106</t>
  </si>
  <si>
    <t>PAK/PHA/83/TAS/100</t>
  </si>
  <si>
    <t>ARG/PHA/84/TAS/190</t>
  </si>
  <si>
    <t>EGY/PHA/84/INV/141</t>
  </si>
  <si>
    <t>ARG/PHA/84/TAS/193</t>
  </si>
  <si>
    <t>CHI/PHA/81/TAS/196</t>
  </si>
  <si>
    <t>IRA/PHA/84/TAS/240</t>
  </si>
  <si>
    <t>MEX/PHA/77/INV/183</t>
  </si>
  <si>
    <t>JOR/PHA/84/TAS/107</t>
  </si>
  <si>
    <t>EGY/PHA/84/INV/147</t>
  </si>
  <si>
    <t>CPR/PHA/81/INV/588</t>
  </si>
  <si>
    <t>VEN/PHA/91/INV/137</t>
  </si>
  <si>
    <t>CPR/PHA/93/INV/621</t>
  </si>
  <si>
    <t>JOR/PHA/91/INV/114</t>
  </si>
  <si>
    <t>VEN/PHA/93/INV/140</t>
  </si>
  <si>
    <t>ARG/PHA/92/INV/198</t>
  </si>
  <si>
    <t>BRA/PHA/82/INV/320</t>
  </si>
  <si>
    <t>EGY/PHA/88/INV/150</t>
  </si>
  <si>
    <t>IRA/PHA/86/INV/246</t>
  </si>
  <si>
    <t>ARG/PHA/92/INV/199</t>
  </si>
  <si>
    <t>EGY/PHA/88/INV/151</t>
  </si>
  <si>
    <t>ARG/PHA/92/INV/200</t>
  </si>
  <si>
    <t>CHI/PHA/85/TAS/200</t>
  </si>
  <si>
    <t>MEX/PHA/81/INV/189</t>
  </si>
  <si>
    <t>EGY/PHA/88/INV/149</t>
  </si>
  <si>
    <t>CPR/PHA/88/INV/605</t>
  </si>
  <si>
    <t>SUD/PHA/88/INV/48</t>
  </si>
  <si>
    <t>CHI/PHA/88/INV/205</t>
  </si>
  <si>
    <t>OMA/PHA/88/INV/44</t>
  </si>
  <si>
    <t>PHI/PHA/93/INV/111</t>
  </si>
  <si>
    <t>PAK/PHA/90/INV/111</t>
  </si>
  <si>
    <t>PAK/PHA/90/INV/112</t>
  </si>
  <si>
    <t>NIR/PHA/91/INV/164</t>
  </si>
  <si>
    <t>PAK/PHA/90/INV/113</t>
  </si>
  <si>
    <t>OMA/PHA/93/INV/48</t>
  </si>
  <si>
    <t>URU/PHA/92/INV/79</t>
  </si>
  <si>
    <t>NER/KIP/93/INV/50</t>
  </si>
  <si>
    <t>ALB/KIP/93/INV/55</t>
  </si>
  <si>
    <t>BOL/KIP/93/INV/63</t>
  </si>
  <si>
    <t>CMR/KIP/92/INV/50</t>
  </si>
  <si>
    <t>PRC/KIP/93/INV/41</t>
  </si>
  <si>
    <t>DOM/KIP/93/INV/81</t>
  </si>
  <si>
    <t>ECU/KIP/93/INV/86</t>
  </si>
  <si>
    <t>MLW/KIP/93/INV/58</t>
  </si>
  <si>
    <t>NIC/KIP/93/INV/57</t>
  </si>
  <si>
    <t>MDN/KIP/93/INV/52</t>
  </si>
  <si>
    <t>TKM/KIP/93/INV/25</t>
  </si>
  <si>
    <t>JOR/KIP/93/INV/118</t>
  </si>
  <si>
    <t>JOR/KIP/93/INV/117</t>
  </si>
  <si>
    <t>JOR/KIP/93/INV/120</t>
  </si>
  <si>
    <t>MEX/KIP/93/INV/215</t>
  </si>
  <si>
    <t>JOR/KIP/93/INV/119</t>
  </si>
  <si>
    <t>JOR/KIP/93/INV/116</t>
  </si>
  <si>
    <t>MEX/KIP/93/INV/214</t>
  </si>
  <si>
    <t>NER/KIP/91/INV/46</t>
  </si>
  <si>
    <t>IRQ/PHA/58/INV/09</t>
  </si>
  <si>
    <t>PAK/FOA/84/INV/103</t>
  </si>
  <si>
    <t>SYR/REF/62/INV/103</t>
  </si>
  <si>
    <t>NIC/EEF/93/DEM/56</t>
  </si>
  <si>
    <t>NIR/EEF/93/DEM/168</t>
  </si>
  <si>
    <t>TKM/EEF/93/DEM/24</t>
  </si>
  <si>
    <t>ARG/PHA/90/PRP/196</t>
  </si>
  <si>
    <t>LIB/FOA/82/PRP/41</t>
  </si>
  <si>
    <t>ALG/PHA/85/PRP/85</t>
  </si>
  <si>
    <t>BKF/PHA/84/PRP/41</t>
  </si>
  <si>
    <t>BDI/PHA/85/PRP/40</t>
  </si>
  <si>
    <t>IVC/PHA/84/PRP/47</t>
  </si>
  <si>
    <t>GAB/PHA/84/PRP/38</t>
  </si>
  <si>
    <t>GUI/PHA/86/PRP/37</t>
  </si>
  <si>
    <t>MAG/PHA/84/PRP/33</t>
  </si>
  <si>
    <t>MYA/PHA/83/PRP/20</t>
  </si>
  <si>
    <t>SEN/PHA/85/PRP/43</t>
  </si>
  <si>
    <t>ALG/PHA/85/PRP/86</t>
  </si>
  <si>
    <t>SAU/REF/86/PRP/35</t>
  </si>
  <si>
    <t>ALG/PHA/85/PRP/84</t>
  </si>
  <si>
    <t>NIR/PHA/83/PRP/153</t>
  </si>
  <si>
    <t>BEN/KIP/90/PRP/42</t>
  </si>
  <si>
    <t>BHE/KIP/91/PRP/41</t>
  </si>
  <si>
    <t>BOT/KIP/90/PRP/29</t>
  </si>
  <si>
    <t>BDI/KIP/92/PRP/44</t>
  </si>
  <si>
    <t>CHD/KIP/90/PRP/38</t>
  </si>
  <si>
    <t>PRC/KIP/91/PRP/38</t>
  </si>
  <si>
    <t>IVC/KIP/91/PRP/50</t>
  </si>
  <si>
    <t>ETH/KIP/90/PRP/35</t>
  </si>
  <si>
    <t>GAB/KIP/91/PRP/42</t>
  </si>
  <si>
    <t>GAM/KIP/90/PRP/44</t>
  </si>
  <si>
    <t>GUI/KIP/90/PRP/39</t>
  </si>
  <si>
    <t>GBS/KIP/91/PRP/31</t>
  </si>
  <si>
    <t>HON/KIP/90/PRP/55</t>
  </si>
  <si>
    <t>MOR/KIP/91/PRP/77</t>
  </si>
  <si>
    <t>STL/KIP/91/PRP/37</t>
  </si>
  <si>
    <t>YUG/KIP/90/PRP/59</t>
  </si>
  <si>
    <t>SOM/KIP/90/PRP/19</t>
  </si>
  <si>
    <t>URT/KIP/91/PRP/44</t>
  </si>
  <si>
    <t>TOG/KIP/90/PRP/38</t>
  </si>
  <si>
    <t>TUR/KIP/90/PRP/113</t>
  </si>
  <si>
    <t>VEN/KIP/92/PRP/138</t>
  </si>
  <si>
    <t>BRA/KIP/93/PRP/334</t>
  </si>
  <si>
    <t>EGY/KIP/93/PRP/158</t>
  </si>
  <si>
    <t>ERI/KIP/93/PRP/28</t>
  </si>
  <si>
    <t>STV/KIP/93/PRP/30</t>
  </si>
  <si>
    <t>MON/KIP/93/PRP/37</t>
  </si>
  <si>
    <t>MOR/KIP/92/PRP/79</t>
  </si>
  <si>
    <t>SOM/PHA/88/PRP/17</t>
  </si>
  <si>
    <t>IRA/PHA/87/PRP/257</t>
  </si>
  <si>
    <t>ALB/PHA/92/PRP/50</t>
  </si>
  <si>
    <t>BRA/PHA/88/PRP/331</t>
  </si>
  <si>
    <t>IRA/PHA/87/PRP/253</t>
  </si>
  <si>
    <t>JOR/PHA/88/PRP/111</t>
  </si>
  <si>
    <t>JOR/PHA/92/PRP/115</t>
  </si>
  <si>
    <t>MEX/PHA/91/PRP/202</t>
  </si>
  <si>
    <t>PHI/PHA/88/PRP/108</t>
  </si>
  <si>
    <t>ALB/KIP/87/PRP/43</t>
  </si>
  <si>
    <t>ARG/KIP/88/PRP/195</t>
  </si>
  <si>
    <t>BOL/KIP/87/PRP/52</t>
  </si>
  <si>
    <t>CMR/KIP/88/PRP/49</t>
  </si>
  <si>
    <t>ECU/KIP/87/PRP/76</t>
  </si>
  <si>
    <t>JOR/KIP/87/PRP/109</t>
  </si>
  <si>
    <t>LES/KIP/88/PRP/28</t>
  </si>
  <si>
    <t>MLW/KIP/88/PRP/51</t>
  </si>
  <si>
    <t>MEX/KIP/87/PRP/196</t>
  </si>
  <si>
    <t>MOG/KIP/87/PRP/17</t>
  </si>
  <si>
    <t>NAM/KIP/88/PRP/28</t>
  </si>
  <si>
    <t>NIC/KIP/87/PRP/45</t>
  </si>
  <si>
    <t>NER/KIP/87/PRP/40</t>
  </si>
  <si>
    <t>NIR/KIP/87/PRP/158</t>
  </si>
  <si>
    <t>MDN/KIP/87/PRP/45</t>
  </si>
  <si>
    <t>RWA/KIP/88/PRP/38</t>
  </si>
  <si>
    <t>SEN/KIP/87/PRP/45</t>
  </si>
  <si>
    <t>SIL/KIP/88/PRP/43</t>
  </si>
  <si>
    <t>SOA/KIP/87/PRP/14</t>
  </si>
  <si>
    <t>SYR/KIP/88/PRP/109</t>
  </si>
  <si>
    <t>TUN/KIP/88/PRP/80</t>
  </si>
  <si>
    <t>TKM/KIP/92/PRP/22</t>
  </si>
  <si>
    <t>UGA/KIP/88/PRP/32</t>
  </si>
  <si>
    <t>ZAM/KIP/88/PRP/44</t>
  </si>
  <si>
    <t>BEN/DES/93/PRP/49</t>
  </si>
  <si>
    <t>BKF/DES/93/PRP/50</t>
  </si>
  <si>
    <t>BDI/DES/93/PRP/46</t>
  </si>
  <si>
    <t>CMR/DES/93/PRP/51</t>
  </si>
  <si>
    <t>ECU/DES/93/PRP/83</t>
  </si>
  <si>
    <t>GUA/DES/93/PRP/65</t>
  </si>
  <si>
    <t>HON/DES/93/PRP/62</t>
  </si>
  <si>
    <t>MEX/DES/93/PRP/208</t>
  </si>
  <si>
    <t>MOG/DES/93/PRP/20</t>
  </si>
  <si>
    <t>NIC/DES/93/PRP/53</t>
  </si>
  <si>
    <t>MDN/DES/93/PRP/51</t>
  </si>
  <si>
    <t>TOG/DES/93/PRP/44</t>
  </si>
  <si>
    <t>TKM/DES/93/PRP/23</t>
  </si>
  <si>
    <t>VEN/DES/93/PRP/141</t>
  </si>
  <si>
    <t>BOL/DES/93/PRP/58</t>
  </si>
  <si>
    <t>LEB/REF/88/PRP/99</t>
  </si>
  <si>
    <t>ALB/SEV/93/INS/51</t>
  </si>
  <si>
    <t>OMA/SEV/92/INS/46</t>
  </si>
  <si>
    <t>OMA/SEV/86/INS/42</t>
  </si>
  <si>
    <t>LIB/SEV/85/INS/44</t>
  </si>
  <si>
    <t>LIB/SEV/91/INS/47</t>
  </si>
  <si>
    <t>BHE/PHA/86/TAS/38</t>
  </si>
  <si>
    <t>ALB/PHA/88/TAS/46</t>
  </si>
  <si>
    <t>BOL/PHA/91/TAS/53</t>
  </si>
  <si>
    <t>ECU/PHA/91/TAS/80</t>
  </si>
  <si>
    <t>GUA/PHA/91/TAS/61</t>
  </si>
  <si>
    <t>HON/PHA/88/TAS/54</t>
  </si>
  <si>
    <t>MOG/PHA/88/TAS/18</t>
  </si>
  <si>
    <t>NER/PHA/92/TAS/48</t>
  </si>
  <si>
    <t>YUG/PHA/88/TAS/57</t>
  </si>
  <si>
    <t>TKM/PHA/88/TAS/19</t>
  </si>
  <si>
    <t xml:space="preserve">Narrative &amp; Indicators </t>
  </si>
  <si>
    <t>Number of Projects</t>
  </si>
  <si>
    <t>Adjustments (USS)</t>
  </si>
  <si>
    <t>Approved Funding Plus Adjustment (US$)</t>
  </si>
  <si>
    <t>Balances (US$)</t>
  </si>
  <si>
    <t>Percent of Funds Disbursed</t>
  </si>
  <si>
    <t>Consumption to Be Phased Out</t>
  </si>
  <si>
    <t xml:space="preserve">Consumption Phased Out </t>
  </si>
  <si>
    <t>Production to Be Phased Out</t>
  </si>
  <si>
    <t xml:space="preserve">Production Phased Out </t>
  </si>
  <si>
    <t>Closed Projects</t>
  </si>
  <si>
    <t>UNDP</t>
  </si>
  <si>
    <t>UNEP</t>
  </si>
  <si>
    <t>World Bank</t>
  </si>
  <si>
    <t>Bilaterals</t>
  </si>
  <si>
    <t>Total</t>
  </si>
  <si>
    <t>Transferred Projects</t>
  </si>
  <si>
    <t>Year Approv-ed</t>
  </si>
  <si>
    <t>Number of Ap-prov-als*</t>
  </si>
  <si>
    <t>Number Com-pleted</t>
  </si>
  <si>
    <t>Per Cent  Com-pleted</t>
  </si>
  <si>
    <t>Consumption to be Phased Out*</t>
  </si>
  <si>
    <t>Consumption Phased Out*</t>
  </si>
  <si>
    <t>Per Cent of Consumption Phased Out</t>
  </si>
  <si>
    <t>Production to be Phased Out*</t>
  </si>
  <si>
    <t>Production Phased Out*</t>
  </si>
  <si>
    <t>Per Cent of Production Phased Out</t>
  </si>
  <si>
    <t>Approved Funding plus Adjustment (US$)</t>
  </si>
  <si>
    <t>Per Cent of Funds Dis-burs-ed</t>
  </si>
  <si>
    <t>Support Costs Approved (US$)</t>
  </si>
  <si>
    <t>Support Cost Adjustments (US$)</t>
  </si>
  <si>
    <t>*Excludes Closed and Transferred Projects</t>
  </si>
  <si>
    <t>Includes Project Preparation</t>
  </si>
  <si>
    <t xml:space="preserve">Those need to be enhanced to include CO2 eq 
for all the analysis reports </t>
  </si>
  <si>
    <t>Item</t>
  </si>
  <si>
    <t>UNDP (US$)</t>
  </si>
  <si>
    <t>UNEP (US$)</t>
  </si>
  <si>
    <t>UNIDO (US$)</t>
  </si>
  <si>
    <t>World Bank (US$)*</t>
  </si>
  <si>
    <t>Bilaterals (US$)</t>
  </si>
  <si>
    <t>Grand Total (US$)*</t>
  </si>
  <si>
    <t>Aerosol</t>
  </si>
  <si>
    <t>Destruction</t>
  </si>
  <si>
    <t>Energy efficiency</t>
  </si>
  <si>
    <t>Fire fighting</t>
  </si>
  <si>
    <t>Foam</t>
  </si>
  <si>
    <t>Halon</t>
  </si>
  <si>
    <t>HFC phase-down plan</t>
  </si>
  <si>
    <t>Fumigants</t>
  </si>
  <si>
    <t>Multiple sectors</t>
  </si>
  <si>
    <t>Other</t>
  </si>
  <si>
    <t>Phase-out plan</t>
  </si>
  <si>
    <t>Process agent</t>
  </si>
  <si>
    <t>Production</t>
  </si>
  <si>
    <t>Refrigeration</t>
  </si>
  <si>
    <t>Several</t>
  </si>
  <si>
    <t>Solvents</t>
  </si>
  <si>
    <t>Sterilant</t>
  </si>
  <si>
    <t>Sub-Total</t>
  </si>
  <si>
    <t>Agency fees/administrative costs</t>
  </si>
  <si>
    <t>GRAND TOTAL</t>
  </si>
  <si>
    <t>*13 per cent agency fees were charged starting in July 1995, prior to which actual administrative costs were charged as project preparation or technical assistance.</t>
  </si>
  <si>
    <t>Africa</t>
  </si>
  <si>
    <t>Asia &amp; Pacific</t>
  </si>
  <si>
    <t>Europe</t>
  </si>
  <si>
    <t>Latin America and Caribbean</t>
  </si>
  <si>
    <t>Global</t>
  </si>
  <si>
    <t>Number of Approvals*</t>
  </si>
  <si>
    <t>Number Completed</t>
  </si>
  <si>
    <t>Per Cent Completed</t>
  </si>
  <si>
    <t>Approved Funding     (US$)</t>
  </si>
  <si>
    <t>Adjustment   (US $)</t>
  </si>
  <si>
    <t>Funds Disbursed    (US $)</t>
  </si>
  <si>
    <t>Balance    (US$)</t>
  </si>
  <si>
    <t>Country Programme Preparation</t>
  </si>
  <si>
    <t>Demonstration Projects</t>
  </si>
  <si>
    <t>Institutional Strengthening Projects</t>
  </si>
  <si>
    <t>Investment Projects</t>
  </si>
  <si>
    <t>Project Preparation</t>
  </si>
  <si>
    <t>Technical Assistance Projects</t>
  </si>
  <si>
    <t>Training Projects</t>
  </si>
  <si>
    <t>*Excludes Closed and Transferred Projects.</t>
  </si>
  <si>
    <t>Approved Funds plus Adjustment (US $)</t>
  </si>
  <si>
    <t>Average Number of Months from Approval to First Disbursement</t>
  </si>
  <si>
    <t>Average Number of Months from Approval to Completion</t>
  </si>
  <si>
    <t>Overall Cost-Effectiveness to the Fund (US$/kg.)</t>
  </si>
  <si>
    <t>* Total phased out for the Fund is ____    includes ____ from completed non-investment projects and ____ from ongoing projects.</t>
  </si>
  <si>
    <t>Approved Funds plus Adjustment (US$)</t>
  </si>
  <si>
    <t>Per Cent of Funds Dis-bursed</t>
  </si>
  <si>
    <t>Number of Projects Disburs-ing</t>
  </si>
  <si>
    <t>Per Cent of Projects Disburs-ing</t>
  </si>
  <si>
    <t>Average Number of Months from Approval to First Disburse-ment</t>
  </si>
  <si>
    <t>Average Number of Months from Approval to Planned Completion</t>
  </si>
  <si>
    <t>Average Length of Delay in Project Planned Comple-tion</t>
  </si>
  <si>
    <t>Overall Cost-Effective-ness to the Fund (US$/kg.)*</t>
  </si>
  <si>
    <t>*Based on the ODS to be phased out according to the proposal.</t>
  </si>
  <si>
    <t>Note:</t>
  </si>
  <si>
    <t>(1)  Per decision 22/11(a)(vi), project preparation is not included as a non-investment project.</t>
  </si>
  <si>
    <t>Number of Projects Disbursing</t>
  </si>
  <si>
    <t>Per Cent of Projects Disbursing</t>
  </si>
  <si>
    <t>Average Length of Delay in Project Planned Completion</t>
  </si>
  <si>
    <t>COMPLETED PROJECT PREPARATION</t>
  </si>
  <si>
    <t>ONGOING PROJECT PREPARATION</t>
  </si>
  <si>
    <t>Num-ber of Pro-jects</t>
  </si>
  <si>
    <t>Aver-age Num-ber of Months from Ap-proval to First Dis-burse-ment</t>
  </si>
  <si>
    <t>Approved Funds plus Adjust-ment (US$)</t>
  </si>
  <si>
    <t>Average Number of Months from Ap-proval to First Dis-burse-ment</t>
  </si>
  <si>
    <t>Average Number of Months from Ap-proval to Planned Com-pletion</t>
  </si>
  <si>
    <t>Latin Amer./Car.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</si>
</sst>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[$-409]mmm\-yy"/>
    <numFmt numFmtId="165" formatCode="#,##0.0"/>
    <numFmt numFmtId="166" formatCode="[$-1009]mmmm\ d\,\ yyyy"/>
    <numFmt numFmtId="167" formatCode="dd/mm/yyyy"/>
    <numFmt numFmtId="168" formatCode="###0_);\(###0\);\ \-\ \ "/>
    <numFmt numFmtId="169" formatCode="#,##0;\(#,##0\);&quot;n/a&quot;"/>
    <numFmt numFmtId="170" formatCode="&quot;$&quot;#,##0.00_);\(&quot;$&quot;#,##0.00\)"/>
  </numFmts>
  <fonts count="18">
    <font>
      <sz val="10.0"/>
      <color rgb="FF000000"/>
      <name val="Arial"/>
      <scheme val="minor"/>
    </font>
    <font>
      <b/>
      <sz val="10.0"/>
      <color theme="1"/>
      <name val="Times New Roman"/>
    </font>
    <font/>
    <font>
      <b/>
      <sz val="10.0"/>
      <color rgb="FFFF0000"/>
      <name val="Times New Roman"/>
    </font>
    <font>
      <sz val="9.0"/>
      <color theme="1"/>
      <name val="Times New Roman"/>
    </font>
    <font>
      <sz val="9.0"/>
      <color theme="1"/>
      <name val="Arial"/>
    </font>
    <font>
      <sz val="10.0"/>
      <color theme="1"/>
      <name val="Times New Roman"/>
    </font>
    <font>
      <sz val="10.0"/>
      <color rgb="FF1F497D"/>
      <name val="Times New Roman"/>
    </font>
    <font>
      <sz val="10.0"/>
      <color rgb="FFFF0000"/>
      <name val="Times New Roman"/>
    </font>
    <font>
      <sz val="10.0"/>
      <color rgb="FF000000"/>
      <name val="Times New Roman"/>
    </font>
    <font>
      <sz val="11.0"/>
      <color theme="1"/>
      <name val="Calibri"/>
    </font>
    <font>
      <b/>
      <sz val="11.0"/>
      <color theme="1"/>
      <name val="Calibri"/>
    </font>
    <font>
      <b/>
      <sz val="10.0"/>
      <color theme="0"/>
      <name val="Times New Roman"/>
    </font>
    <font>
      <b/>
      <sz val="8.0"/>
      <color theme="0"/>
      <name val="Times New Roman"/>
    </font>
    <font>
      <sz val="8.0"/>
      <color theme="1"/>
      <name val="Times New Roman"/>
    </font>
    <font>
      <b/>
      <sz val="8.0"/>
      <color theme="1"/>
      <name val="Times New Roman"/>
    </font>
    <font>
      <sz val="10.0"/>
      <color theme="1"/>
      <name val="Arial"/>
    </font>
    <font>
      <sz val="8.0"/>
      <color theme="0"/>
      <name val="Times New Roman"/>
    </font>
  </fonts>
  <fills count="14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DBE5F1"/>
        <bgColor rgb="FFDBE5F1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E5DFEC"/>
        <bgColor rgb="FFE5DFE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E2ECF7"/>
        <bgColor rgb="FFE2ECF7"/>
      </patternFill>
    </fill>
    <fill>
      <patternFill patternType="solid">
        <fgColor rgb="FF366092"/>
        <bgColor rgb="FF366092"/>
      </patternFill>
    </fill>
    <fill>
      <patternFill patternType="solid">
        <fgColor rgb="FFB8CCE4"/>
        <bgColor rgb="FFB8CCE4"/>
      </patternFill>
    </fill>
    <fill>
      <patternFill patternType="solid">
        <fgColor rgb="FF95B3D7"/>
        <bgColor rgb="FF95B3D7"/>
      </patternFill>
    </fill>
    <fill>
      <patternFill patternType="solid">
        <fgColor rgb="FFD8D8D8"/>
        <bgColor rgb="FFD8D8D8"/>
      </patternFill>
    </fill>
  </fills>
  <borders count="26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left/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5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1" numFmtId="0" xfId="0" applyAlignment="1" applyBorder="1" applyFont="1">
      <alignment horizontal="center" shrinkToFit="0" vertical="top" wrapText="1"/>
    </xf>
    <xf borderId="2" fillId="0" fontId="2" numFmtId="0" xfId="0" applyBorder="1" applyFont="1"/>
    <xf borderId="3" fillId="0" fontId="2" numFmtId="0" xfId="0" applyBorder="1" applyFont="1"/>
    <xf borderId="4" fillId="0" fontId="1" numFmtId="0" xfId="0" applyAlignment="1" applyBorder="1" applyFont="1">
      <alignment horizontal="center" vertical="top"/>
    </xf>
    <xf borderId="5" fillId="0" fontId="2" numFmtId="0" xfId="0" applyBorder="1" applyFont="1"/>
    <xf borderId="0" fillId="0" fontId="1" numFmtId="0" xfId="0" applyAlignment="1" applyFont="1">
      <alignment horizontal="center" vertical="top"/>
    </xf>
    <xf borderId="0" fillId="0" fontId="1" numFmtId="0" xfId="0" applyAlignment="1" applyFont="1">
      <alignment shrinkToFit="0" wrapText="1"/>
    </xf>
    <xf borderId="6" fillId="2" fontId="1" numFmtId="3" xfId="0" applyAlignment="1" applyBorder="1" applyFill="1" applyFont="1" applyNumberFormat="1">
      <alignment horizontal="center" shrinkToFit="0" vertical="top" wrapText="1"/>
    </xf>
    <xf borderId="6" fillId="0" fontId="1" numFmtId="3" xfId="0" applyAlignment="1" applyBorder="1" applyFont="1" applyNumberFormat="1">
      <alignment horizontal="center" shrinkToFit="0" vertical="top" wrapText="1"/>
    </xf>
    <xf borderId="6" fillId="2" fontId="1" numFmtId="3" xfId="0" applyAlignment="1" applyBorder="1" applyFont="1" applyNumberFormat="1">
      <alignment horizontal="center" readingOrder="0" shrinkToFit="0" vertical="top" wrapText="1"/>
    </xf>
    <xf borderId="6" fillId="2" fontId="1" numFmtId="9" xfId="0" applyAlignment="1" applyBorder="1" applyFont="1" applyNumberFormat="1">
      <alignment horizontal="center" shrinkToFit="0" vertical="top" wrapText="1"/>
    </xf>
    <xf borderId="6" fillId="0" fontId="1" numFmtId="17" xfId="0" applyAlignment="1" applyBorder="1" applyFont="1" applyNumberFormat="1">
      <alignment horizontal="center" shrinkToFit="0" vertical="top" wrapText="1"/>
    </xf>
    <xf borderId="6" fillId="2" fontId="1" numFmtId="0" xfId="0" applyAlignment="1" applyBorder="1" applyFont="1">
      <alignment horizontal="center" shrinkToFit="0" vertical="top" wrapText="1"/>
    </xf>
    <xf borderId="6" fillId="2" fontId="1" numFmtId="164" xfId="0" applyAlignment="1" applyBorder="1" applyFont="1" applyNumberFormat="1">
      <alignment horizontal="center" shrinkToFit="0" vertical="top" wrapText="1"/>
    </xf>
    <xf borderId="7" fillId="0" fontId="1" numFmtId="49" xfId="0" applyAlignment="1" applyBorder="1" applyFont="1" applyNumberFormat="1">
      <alignment horizontal="center" shrinkToFit="0" vertical="top" wrapText="1"/>
    </xf>
    <xf borderId="7" fillId="0" fontId="1" numFmtId="165" xfId="0" applyAlignment="1" applyBorder="1" applyFont="1" applyNumberFormat="1">
      <alignment horizontal="center" shrinkToFit="0" vertical="top" wrapText="1"/>
    </xf>
    <xf borderId="0" fillId="0" fontId="3" numFmtId="3" xfId="0" applyAlignment="1" applyFont="1" applyNumberFormat="1">
      <alignment horizontal="center" shrinkToFit="0" vertical="top" wrapText="1"/>
    </xf>
    <xf borderId="0" fillId="0" fontId="3" numFmtId="165" xfId="0" applyAlignment="1" applyFont="1" applyNumberFormat="1">
      <alignment horizontal="center" shrinkToFit="0" vertical="top" wrapText="1"/>
    </xf>
    <xf borderId="0" fillId="0" fontId="4" numFmtId="0" xfId="0" applyFont="1"/>
    <xf borderId="0" fillId="0" fontId="4" numFmtId="0" xfId="0" applyAlignment="1" applyFont="1">
      <alignment vertical="top"/>
    </xf>
    <xf borderId="0" fillId="0" fontId="4" numFmtId="0" xfId="0" applyAlignment="1" applyFont="1">
      <alignment horizontal="center" vertical="bottom"/>
    </xf>
    <xf borderId="0" fillId="0" fontId="5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164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vertical="bottom"/>
    </xf>
    <xf borderId="0" fillId="0" fontId="4" numFmtId="3" xfId="0" applyAlignment="1" applyFont="1" applyNumberFormat="1">
      <alignment horizontal="right" vertical="bottom"/>
    </xf>
    <xf borderId="0" fillId="0" fontId="6" numFmtId="0" xfId="0" applyAlignment="1" applyFont="1">
      <alignment shrinkToFit="0" vertical="top" wrapText="1"/>
    </xf>
    <xf borderId="0" fillId="0" fontId="6" numFmtId="0" xfId="0" applyFont="1"/>
    <xf borderId="0" fillId="0" fontId="7" numFmtId="0" xfId="0" applyFont="1"/>
    <xf borderId="8" fillId="3" fontId="1" numFmtId="0" xfId="0" applyAlignment="1" applyBorder="1" applyFill="1" applyFont="1">
      <alignment horizontal="center" shrinkToFit="0" vertical="top" wrapText="1"/>
    </xf>
    <xf borderId="9" fillId="0" fontId="2" numFmtId="0" xfId="0" applyBorder="1" applyFont="1"/>
    <xf borderId="8" fillId="4" fontId="1" numFmtId="0" xfId="0" applyAlignment="1" applyBorder="1" applyFill="1" applyFont="1">
      <alignment horizontal="center" shrinkToFit="0" vertical="top" wrapText="1"/>
    </xf>
    <xf borderId="0" fillId="0" fontId="1" numFmtId="0" xfId="0" applyAlignment="1" applyFont="1">
      <alignment horizontal="center" shrinkToFit="0" vertical="top" wrapText="1"/>
    </xf>
    <xf borderId="8" fillId="5" fontId="1" numFmtId="0" xfId="0" applyAlignment="1" applyBorder="1" applyFill="1" applyFont="1">
      <alignment horizontal="center" vertical="top"/>
    </xf>
    <xf borderId="8" fillId="6" fontId="1" numFmtId="0" xfId="0" applyAlignment="1" applyBorder="1" applyFill="1" applyFont="1">
      <alignment horizontal="center" shrinkToFit="0" vertical="top" wrapText="1"/>
    </xf>
    <xf borderId="10" fillId="2" fontId="1" numFmtId="49" xfId="0" applyAlignment="1" applyBorder="1" applyFont="1" applyNumberFormat="1">
      <alignment horizontal="center" shrinkToFit="0" vertical="top" wrapText="1"/>
    </xf>
    <xf borderId="10" fillId="2" fontId="1" numFmtId="164" xfId="0" applyAlignment="1" applyBorder="1" applyFont="1" applyNumberFormat="1">
      <alignment horizontal="center" shrinkToFit="0" vertical="top" wrapText="1"/>
    </xf>
    <xf borderId="10" fillId="3" fontId="1" numFmtId="49" xfId="0" applyAlignment="1" applyBorder="1" applyFont="1" applyNumberFormat="1">
      <alignment horizontal="center" shrinkToFit="0" vertical="top" wrapText="1"/>
    </xf>
    <xf borderId="10" fillId="3" fontId="1" numFmtId="164" xfId="0" applyAlignment="1" applyBorder="1" applyFont="1" applyNumberFormat="1">
      <alignment horizontal="center" shrinkToFit="0" vertical="top" wrapText="1"/>
    </xf>
    <xf borderId="10" fillId="2" fontId="1" numFmtId="165" xfId="0" applyAlignment="1" applyBorder="1" applyFont="1" applyNumberFormat="1">
      <alignment horizontal="center" shrinkToFit="0" vertical="top" wrapText="1"/>
    </xf>
    <xf borderId="10" fillId="2" fontId="1" numFmtId="3" xfId="0" applyAlignment="1" applyBorder="1" applyFont="1" applyNumberFormat="1">
      <alignment horizontal="center" shrinkToFit="0" vertical="top" wrapText="1"/>
    </xf>
    <xf borderId="10" fillId="4" fontId="1" numFmtId="165" xfId="0" applyAlignment="1" applyBorder="1" applyFont="1" applyNumberFormat="1">
      <alignment horizontal="center" shrinkToFit="0" vertical="top" wrapText="1"/>
    </xf>
    <xf borderId="10" fillId="2" fontId="1" numFmtId="9" xfId="0" applyAlignment="1" applyBorder="1" applyFont="1" applyNumberFormat="1">
      <alignment horizontal="center" shrinkToFit="0" vertical="top" wrapText="1"/>
    </xf>
    <xf borderId="10" fillId="5" fontId="1" numFmtId="3" xfId="0" applyAlignment="1" applyBorder="1" applyFont="1" applyNumberFormat="1">
      <alignment horizontal="center" shrinkToFit="0" vertical="top" wrapText="1"/>
    </xf>
    <xf borderId="10" fillId="5" fontId="1" numFmtId="17" xfId="0" applyAlignment="1" applyBorder="1" applyFont="1" applyNumberFormat="1">
      <alignment horizontal="center" shrinkToFit="0" vertical="top" wrapText="1"/>
    </xf>
    <xf borderId="10" fillId="2" fontId="1" numFmtId="0" xfId="0" applyAlignment="1" applyBorder="1" applyFont="1">
      <alignment horizontal="center" shrinkToFit="0" vertical="top" wrapText="1"/>
    </xf>
    <xf borderId="10" fillId="6" fontId="1" numFmtId="49" xfId="0" applyAlignment="1" applyBorder="1" applyFont="1" applyNumberFormat="1">
      <alignment horizontal="center" shrinkToFit="0" vertical="top" wrapText="1"/>
    </xf>
    <xf borderId="10" fillId="6" fontId="1" numFmtId="165" xfId="0" applyAlignment="1" applyBorder="1" applyFont="1" applyNumberFormat="1">
      <alignment horizontal="center" shrinkToFit="0" vertical="top" wrapText="1"/>
    </xf>
    <xf borderId="10" fillId="3" fontId="6" numFmtId="0" xfId="0" applyAlignment="1" applyBorder="1" applyFont="1">
      <alignment shrinkToFit="0" vertical="top" wrapText="1"/>
    </xf>
    <xf borderId="10" fillId="4" fontId="6" numFmtId="0" xfId="0" applyAlignment="1" applyBorder="1" applyFont="1">
      <alignment shrinkToFit="0" vertical="top" wrapText="1"/>
    </xf>
    <xf borderId="10" fillId="5" fontId="6" numFmtId="0" xfId="0" applyAlignment="1" applyBorder="1" applyFont="1">
      <alignment shrinkToFit="0" vertical="top" wrapText="1"/>
    </xf>
    <xf borderId="10" fillId="6" fontId="6" numFmtId="0" xfId="0" applyAlignment="1" applyBorder="1" applyFont="1">
      <alignment shrinkToFit="0" vertical="top" wrapText="1"/>
    </xf>
    <xf borderId="0" fillId="0" fontId="6" numFmtId="0" xfId="0" applyAlignment="1" applyFont="1">
      <alignment horizontal="center" shrinkToFit="0" vertical="top" wrapText="1"/>
    </xf>
    <xf borderId="0" fillId="0" fontId="3" numFmtId="49" xfId="0" applyAlignment="1" applyFont="1" applyNumberFormat="1">
      <alignment horizontal="center" shrinkToFit="0" vertical="top" wrapText="1"/>
    </xf>
    <xf borderId="0" fillId="0" fontId="3" numFmtId="1" xfId="0" applyAlignment="1" applyFont="1" applyNumberFormat="1">
      <alignment horizontal="center" shrinkToFit="0" vertical="top" wrapText="1"/>
    </xf>
    <xf borderId="0" fillId="0" fontId="8" numFmtId="0" xfId="0" applyAlignment="1" applyFont="1">
      <alignment horizontal="center" shrinkToFit="0" vertical="top" wrapText="1"/>
    </xf>
    <xf borderId="0" fillId="0" fontId="3" numFmtId="0" xfId="0" applyAlignment="1" applyFont="1">
      <alignment horizontal="center" shrinkToFit="0" vertical="top" wrapText="1"/>
    </xf>
    <xf borderId="0" fillId="0" fontId="1" numFmtId="1" xfId="0" applyAlignment="1" applyFont="1" applyNumberFormat="1">
      <alignment shrinkToFit="0" vertical="top" wrapText="1"/>
    </xf>
    <xf borderId="0" fillId="0" fontId="1" numFmtId="0" xfId="0" applyAlignment="1" applyFont="1">
      <alignment shrinkToFit="0" vertical="top" wrapText="1"/>
    </xf>
    <xf borderId="0" fillId="0" fontId="1" numFmtId="17" xfId="0" applyAlignment="1" applyFont="1" applyNumberFormat="1">
      <alignment horizontal="center" shrinkToFit="0" vertical="top" wrapText="1"/>
    </xf>
    <xf borderId="0" fillId="0" fontId="1" numFmtId="3" xfId="0" applyAlignment="1" applyFont="1" applyNumberFormat="1">
      <alignment horizontal="center" shrinkToFit="0" vertical="top" wrapText="1"/>
    </xf>
    <xf borderId="0" fillId="0" fontId="1" numFmtId="165" xfId="0" applyAlignment="1" applyFont="1" applyNumberFormat="1">
      <alignment horizontal="center" shrinkToFit="0" vertical="top" wrapText="1"/>
    </xf>
    <xf borderId="10" fillId="7" fontId="1" numFmtId="3" xfId="0" applyAlignment="1" applyBorder="1" applyFill="1" applyFont="1" applyNumberFormat="1">
      <alignment horizontal="center" shrinkToFit="0" vertical="top" wrapText="1"/>
    </xf>
    <xf borderId="10" fillId="7" fontId="1" numFmtId="165" xfId="0" applyAlignment="1" applyBorder="1" applyFont="1" applyNumberFormat="1">
      <alignment horizontal="center" shrinkToFit="0" vertical="top" wrapText="1"/>
    </xf>
    <xf borderId="10" fillId="7" fontId="1" numFmtId="0" xfId="0" applyAlignment="1" applyBorder="1" applyFont="1">
      <alignment horizontal="center" shrinkToFit="0" vertical="top" wrapText="1"/>
    </xf>
    <xf borderId="0" fillId="0" fontId="6" numFmtId="0" xfId="0" applyAlignment="1" applyFont="1">
      <alignment horizontal="left"/>
    </xf>
    <xf borderId="0" fillId="0" fontId="6" numFmtId="49" xfId="0" applyFont="1" applyNumberFormat="1"/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right"/>
    </xf>
    <xf borderId="0" fillId="0" fontId="6" numFmtId="165" xfId="0" applyFont="1" applyNumberFormat="1"/>
    <xf borderId="0" fillId="0" fontId="6" numFmtId="164" xfId="0" applyFont="1" applyNumberFormat="1"/>
    <xf borderId="0" fillId="0" fontId="6" numFmtId="3" xfId="0" applyAlignment="1" applyFont="1" applyNumberFormat="1">
      <alignment horizontal="right"/>
    </xf>
    <xf borderId="0" fillId="0" fontId="6" numFmtId="3" xfId="0" applyFont="1" applyNumberFormat="1"/>
    <xf borderId="0" fillId="0" fontId="6" numFmtId="9" xfId="0" applyFont="1" applyNumberFormat="1"/>
    <xf borderId="0" fillId="0" fontId="6" numFmtId="1" xfId="0" applyFont="1" applyNumberFormat="1"/>
    <xf borderId="0" fillId="0" fontId="6" numFmtId="0" xfId="0" applyAlignment="1" applyFont="1">
      <alignment vertical="top"/>
    </xf>
    <xf borderId="0" fillId="0" fontId="6" numFmtId="1" xfId="0" applyAlignment="1" applyFont="1" applyNumberFormat="1">
      <alignment vertical="top"/>
    </xf>
    <xf borderId="0" fillId="0" fontId="6" numFmtId="17" xfId="0" applyFont="1" applyNumberFormat="1"/>
    <xf borderId="0" fillId="0" fontId="6" numFmtId="3" xfId="0" applyAlignment="1" applyFont="1" applyNumberFormat="1">
      <alignment vertical="top"/>
    </xf>
    <xf borderId="0" fillId="0" fontId="9" numFmtId="0" xfId="0" applyAlignment="1" applyFont="1">
      <alignment vertical="top"/>
    </xf>
    <xf borderId="0" fillId="0" fontId="8" numFmtId="0" xfId="0" applyFont="1"/>
    <xf borderId="0" fillId="0" fontId="1" numFmtId="49" xfId="0" applyAlignment="1" applyFont="1" applyNumberFormat="1">
      <alignment horizontal="center" shrinkToFit="0" vertical="top" wrapText="1"/>
    </xf>
    <xf borderId="0" fillId="0" fontId="1" numFmtId="164" xfId="0" applyAlignment="1" applyFont="1" applyNumberFormat="1">
      <alignment horizontal="center" shrinkToFit="0" vertical="top" wrapText="1"/>
    </xf>
    <xf borderId="0" fillId="0" fontId="1" numFmtId="9" xfId="0" applyAlignment="1" applyFont="1" applyNumberFormat="1">
      <alignment horizontal="center" shrinkToFit="0" vertical="top" wrapText="1"/>
    </xf>
    <xf borderId="0" fillId="0" fontId="6" numFmtId="166" xfId="0" applyAlignment="1" applyFont="1" applyNumberFormat="1">
      <alignment horizontal="center"/>
    </xf>
    <xf borderId="0" fillId="0" fontId="6" numFmtId="166" xfId="0" applyFont="1" applyNumberFormat="1"/>
    <xf borderId="0" fillId="0" fontId="1" numFmtId="1" xfId="0" applyAlignment="1" applyFont="1" applyNumberFormat="1">
      <alignment horizontal="center" shrinkToFit="0" vertical="top" wrapText="1"/>
    </xf>
    <xf borderId="10" fillId="8" fontId="10" numFmtId="0" xfId="0" applyBorder="1" applyFill="1" applyFont="1"/>
    <xf borderId="10" fillId="8" fontId="10" numFmtId="0" xfId="0" applyAlignment="1" applyBorder="1" applyFont="1">
      <alignment horizontal="left" vertical="top"/>
    </xf>
    <xf borderId="10" fillId="8" fontId="10" numFmtId="167" xfId="0" applyBorder="1" applyFont="1" applyNumberFormat="1"/>
    <xf borderId="0" fillId="0" fontId="10" numFmtId="0" xfId="0" applyFont="1"/>
    <xf borderId="10" fillId="9" fontId="11" numFmtId="0" xfId="0" applyAlignment="1" applyBorder="1" applyFill="1" applyFont="1">
      <alignment horizontal="left" vertical="top"/>
    </xf>
    <xf borderId="0" fillId="0" fontId="10" numFmtId="0" xfId="0" applyAlignment="1" applyFont="1">
      <alignment shrinkToFit="0" vertical="top" wrapText="1"/>
    </xf>
    <xf borderId="11" fillId="9" fontId="11" numFmtId="0" xfId="0" applyAlignment="1" applyBorder="1" applyFont="1">
      <alignment horizontal="left" shrinkToFit="0" vertical="top" wrapText="1"/>
    </xf>
    <xf borderId="11" fillId="9" fontId="11" numFmtId="167" xfId="0" applyAlignment="1" applyBorder="1" applyFont="1" applyNumberFormat="1">
      <alignment shrinkToFit="0" vertical="top" wrapText="1"/>
    </xf>
    <xf borderId="10" fillId="8" fontId="10" numFmtId="0" xfId="0" applyAlignment="1" applyBorder="1" applyFont="1">
      <alignment shrinkToFit="0" vertical="top" wrapText="1"/>
    </xf>
    <xf borderId="11" fillId="8" fontId="4" numFmtId="0" xfId="0" applyAlignment="1" applyBorder="1" applyFont="1">
      <alignment horizontal="left" vertical="top"/>
    </xf>
    <xf borderId="11" fillId="8" fontId="10" numFmtId="167" xfId="0" applyBorder="1" applyFont="1" applyNumberFormat="1"/>
    <xf borderId="0" fillId="0" fontId="4" numFmtId="0" xfId="0" applyAlignment="1" applyFont="1">
      <alignment horizontal="left" vertical="top"/>
    </xf>
    <xf borderId="0" fillId="0" fontId="10" numFmtId="0" xfId="0" applyAlignment="1" applyFont="1">
      <alignment horizontal="left" vertical="top"/>
    </xf>
    <xf borderId="0" fillId="0" fontId="10" numFmtId="167" xfId="0" applyFont="1" applyNumberFormat="1"/>
    <xf borderId="10" fillId="9" fontId="11" numFmtId="0" xfId="0" applyBorder="1" applyFont="1"/>
    <xf borderId="11" fillId="9" fontId="11" numFmtId="0" xfId="0" applyAlignment="1" applyBorder="1" applyFont="1">
      <alignment shrinkToFit="0" vertical="top" wrapText="1"/>
    </xf>
    <xf borderId="11" fillId="8" fontId="4" numFmtId="165" xfId="0" applyBorder="1" applyFont="1" applyNumberFormat="1"/>
    <xf borderId="11" fillId="0" fontId="4" numFmtId="0" xfId="0" applyAlignment="1" applyBorder="1" applyFont="1">
      <alignment horizontal="left" vertical="top"/>
    </xf>
    <xf borderId="11" fillId="0" fontId="4" numFmtId="165" xfId="0" applyBorder="1" applyFont="1" applyNumberFormat="1"/>
    <xf borderId="11" fillId="0" fontId="10" numFmtId="0" xfId="0" applyAlignment="1" applyBorder="1" applyFont="1">
      <alignment horizontal="left" vertical="top"/>
    </xf>
    <xf borderId="11" fillId="0" fontId="10" numFmtId="0" xfId="0" applyBorder="1" applyFont="1"/>
    <xf borderId="10" fillId="8" fontId="10" numFmtId="0" xfId="0" applyAlignment="1" applyBorder="1" applyFont="1">
      <alignment shrinkToFit="0" wrapText="1"/>
    </xf>
    <xf borderId="11" fillId="8" fontId="10" numFmtId="0" xfId="0" applyAlignment="1" applyBorder="1" applyFont="1">
      <alignment shrinkToFit="0" vertical="top" wrapText="1"/>
    </xf>
    <xf borderId="11" fillId="8" fontId="10" numFmtId="0" xfId="0" applyBorder="1" applyFont="1"/>
    <xf borderId="6" fillId="10" fontId="12" numFmtId="0" xfId="0" applyAlignment="1" applyBorder="1" applyFill="1" applyFont="1">
      <alignment horizontal="center" shrinkToFit="0" vertical="top" wrapText="1"/>
    </xf>
    <xf borderId="6" fillId="10" fontId="12" numFmtId="3" xfId="0" applyAlignment="1" applyBorder="1" applyFont="1" applyNumberFormat="1">
      <alignment horizontal="center" shrinkToFit="0" vertical="top" wrapText="1"/>
    </xf>
    <xf borderId="6" fillId="10" fontId="12" numFmtId="9" xfId="0" applyAlignment="1" applyBorder="1" applyFont="1" applyNumberFormat="1">
      <alignment horizontal="center" shrinkToFit="0" vertical="top" wrapText="1"/>
    </xf>
    <xf borderId="10" fillId="8" fontId="6" numFmtId="0" xfId="0" applyAlignment="1" applyBorder="1" applyFont="1">
      <alignment horizontal="center" shrinkToFit="0" vertical="top" wrapText="1"/>
    </xf>
    <xf borderId="12" fillId="8" fontId="1" numFmtId="0" xfId="0" applyAlignment="1" applyBorder="1" applyFont="1">
      <alignment horizontal="center" vertical="top"/>
    </xf>
    <xf borderId="10" fillId="8" fontId="1" numFmtId="0" xfId="0" applyAlignment="1" applyBorder="1" applyFont="1">
      <alignment horizontal="center" vertical="top"/>
    </xf>
    <xf borderId="10" fillId="8" fontId="1" numFmtId="3" xfId="0" applyAlignment="1" applyBorder="1" applyFont="1" applyNumberFormat="1">
      <alignment horizontal="center" vertical="top"/>
    </xf>
    <xf borderId="10" fillId="8" fontId="1" numFmtId="9" xfId="0" applyAlignment="1" applyBorder="1" applyFont="1" applyNumberFormat="1">
      <alignment horizontal="center" vertical="top"/>
    </xf>
    <xf borderId="10" fillId="8" fontId="6" numFmtId="0" xfId="0" applyAlignment="1" applyBorder="1" applyFont="1">
      <alignment horizontal="center" vertical="top"/>
    </xf>
    <xf borderId="0" fillId="0" fontId="6" numFmtId="0" xfId="0" applyAlignment="1" applyFont="1">
      <alignment horizontal="center" vertical="top"/>
    </xf>
    <xf borderId="12" fillId="8" fontId="1" numFmtId="0" xfId="0" applyAlignment="1" applyBorder="1" applyFont="1">
      <alignment horizontal="left" vertical="top"/>
    </xf>
    <xf borderId="6" fillId="3" fontId="6" numFmtId="0" xfId="0" applyAlignment="1" applyBorder="1" applyFont="1">
      <alignment vertical="top"/>
    </xf>
    <xf borderId="6" fillId="3" fontId="6" numFmtId="3" xfId="0" applyAlignment="1" applyBorder="1" applyFont="1" applyNumberFormat="1">
      <alignment vertical="top"/>
    </xf>
    <xf borderId="6" fillId="3" fontId="6" numFmtId="9" xfId="0" applyAlignment="1" applyBorder="1" applyFont="1" applyNumberFormat="1">
      <alignment vertical="top"/>
    </xf>
    <xf borderId="10" fillId="8" fontId="6" numFmtId="0" xfId="0" applyAlignment="1" applyBorder="1" applyFont="1">
      <alignment vertical="top"/>
    </xf>
    <xf borderId="6" fillId="11" fontId="6" numFmtId="0" xfId="0" applyAlignment="1" applyBorder="1" applyFill="1" applyFont="1">
      <alignment vertical="top"/>
    </xf>
    <xf borderId="6" fillId="11" fontId="6" numFmtId="3" xfId="0" applyAlignment="1" applyBorder="1" applyFont="1" applyNumberFormat="1">
      <alignment vertical="top"/>
    </xf>
    <xf borderId="6" fillId="11" fontId="6" numFmtId="9" xfId="0" applyAlignment="1" applyBorder="1" applyFont="1" applyNumberFormat="1">
      <alignment vertical="top"/>
    </xf>
    <xf borderId="6" fillId="10" fontId="12" numFmtId="0" xfId="0" applyAlignment="1" applyBorder="1" applyFont="1">
      <alignment vertical="top"/>
    </xf>
    <xf borderId="6" fillId="10" fontId="12" numFmtId="3" xfId="0" applyAlignment="1" applyBorder="1" applyFont="1" applyNumberFormat="1">
      <alignment vertical="top"/>
    </xf>
    <xf borderId="6" fillId="10" fontId="12" numFmtId="9" xfId="0" applyAlignment="1" applyBorder="1" applyFont="1" applyNumberFormat="1">
      <alignment vertical="top"/>
    </xf>
    <xf borderId="12" fillId="8" fontId="6" numFmtId="0" xfId="0" applyAlignment="1" applyBorder="1" applyFont="1">
      <alignment vertical="top"/>
    </xf>
    <xf borderId="10" fillId="8" fontId="6" numFmtId="3" xfId="0" applyAlignment="1" applyBorder="1" applyFont="1" applyNumberFormat="1">
      <alignment vertical="top"/>
    </xf>
    <xf borderId="10" fillId="8" fontId="6" numFmtId="9" xfId="0" applyAlignment="1" applyBorder="1" applyFont="1" applyNumberFormat="1">
      <alignment vertical="top"/>
    </xf>
    <xf borderId="10" fillId="8" fontId="1" numFmtId="0" xfId="0" applyAlignment="1" applyBorder="1" applyFont="1">
      <alignment horizontal="left" vertical="top"/>
    </xf>
    <xf borderId="10" fillId="8" fontId="1" numFmtId="3" xfId="0" applyAlignment="1" applyBorder="1" applyFont="1" applyNumberFormat="1">
      <alignment horizontal="left" vertical="top"/>
    </xf>
    <xf borderId="10" fillId="8" fontId="1" numFmtId="9" xfId="0" applyAlignment="1" applyBorder="1" applyFont="1" applyNumberFormat="1">
      <alignment horizontal="left" vertical="top"/>
    </xf>
    <xf borderId="10" fillId="8" fontId="6" numFmtId="0" xfId="0" applyAlignment="1" applyBorder="1" applyFont="1">
      <alignment shrinkToFit="0" vertical="top" wrapText="1"/>
    </xf>
    <xf borderId="10" fillId="8" fontId="6" numFmtId="3" xfId="0" applyAlignment="1" applyBorder="1" applyFont="1" applyNumberFormat="1">
      <alignment shrinkToFit="0" vertical="top" wrapText="1"/>
    </xf>
    <xf borderId="10" fillId="8" fontId="6" numFmtId="9" xfId="0" applyAlignment="1" applyBorder="1" applyFont="1" applyNumberFormat="1">
      <alignment shrinkToFit="0" vertical="top" wrapText="1"/>
    </xf>
    <xf borderId="10" fillId="8" fontId="3" numFmtId="0" xfId="0" applyAlignment="1" applyBorder="1" applyFont="1">
      <alignment horizontal="left" vertical="top"/>
    </xf>
    <xf borderId="0" fillId="0" fontId="6" numFmtId="3" xfId="0" applyAlignment="1" applyFont="1" applyNumberFormat="1">
      <alignment shrinkToFit="0" vertical="top" wrapText="1"/>
    </xf>
    <xf borderId="0" fillId="0" fontId="6" numFmtId="9" xfId="0" applyAlignment="1" applyFont="1" applyNumberFormat="1">
      <alignment shrinkToFit="0" vertical="top" wrapText="1"/>
    </xf>
    <xf borderId="6" fillId="10" fontId="13" numFmtId="168" xfId="0" applyAlignment="1" applyBorder="1" applyFont="1" applyNumberFormat="1">
      <alignment horizontal="center" shrinkToFit="0" vertical="top" wrapText="1"/>
    </xf>
    <xf borderId="6" fillId="10" fontId="13" numFmtId="3" xfId="0" applyAlignment="1" applyBorder="1" applyFont="1" applyNumberFormat="1">
      <alignment horizontal="center" shrinkToFit="0" vertical="top" wrapText="1"/>
    </xf>
    <xf borderId="6" fillId="10" fontId="13" numFmtId="9" xfId="0" applyAlignment="1" applyBorder="1" applyFont="1" applyNumberFormat="1">
      <alignment horizontal="center" shrinkToFit="0" vertical="top" wrapText="1"/>
    </xf>
    <xf borderId="0" fillId="0" fontId="14" numFmtId="0" xfId="0" applyFont="1"/>
    <xf borderId="12" fillId="8" fontId="15" numFmtId="168" xfId="0" applyAlignment="1" applyBorder="1" applyFont="1" applyNumberFormat="1">
      <alignment horizontal="left" shrinkToFit="0" vertical="top" wrapText="1"/>
    </xf>
    <xf borderId="10" fillId="8" fontId="14" numFmtId="3" xfId="0" applyBorder="1" applyFont="1" applyNumberFormat="1"/>
    <xf borderId="10" fillId="8" fontId="14" numFmtId="9" xfId="0" applyBorder="1" applyFont="1" applyNumberFormat="1"/>
    <xf borderId="10" fillId="8" fontId="14" numFmtId="0" xfId="0" applyBorder="1" applyFont="1"/>
    <xf borderId="6" fillId="3" fontId="15" numFmtId="168" xfId="0" applyAlignment="1" applyBorder="1" applyFont="1" applyNumberFormat="1">
      <alignment horizontal="left" vertical="top"/>
    </xf>
    <xf borderId="6" fillId="3" fontId="14" numFmtId="3" xfId="0" applyBorder="1" applyFont="1" applyNumberFormat="1"/>
    <xf borderId="6" fillId="3" fontId="14" numFmtId="9" xfId="0" applyBorder="1" applyFont="1" applyNumberFormat="1"/>
    <xf borderId="6" fillId="11" fontId="15" numFmtId="168" xfId="0" applyAlignment="1" applyBorder="1" applyFont="1" applyNumberFormat="1">
      <alignment horizontal="left" vertical="top"/>
    </xf>
    <xf borderId="6" fillId="11" fontId="14" numFmtId="3" xfId="0" applyBorder="1" applyFont="1" applyNumberFormat="1"/>
    <xf borderId="6" fillId="11" fontId="14" numFmtId="9" xfId="0" applyBorder="1" applyFont="1" applyNumberFormat="1"/>
    <xf borderId="6" fillId="10" fontId="13" numFmtId="168" xfId="0" applyAlignment="1" applyBorder="1" applyFont="1" applyNumberFormat="1">
      <alignment horizontal="left" vertical="top"/>
    </xf>
    <xf borderId="6" fillId="10" fontId="13" numFmtId="3" xfId="0" applyBorder="1" applyFont="1" applyNumberFormat="1"/>
    <xf borderId="6" fillId="10" fontId="13" numFmtId="9" xfId="0" applyBorder="1" applyFont="1" applyNumberFormat="1"/>
    <xf borderId="12" fillId="8" fontId="14" numFmtId="0" xfId="0" applyBorder="1" applyFont="1"/>
    <xf borderId="13" fillId="8" fontId="14" numFmtId="3" xfId="0" applyBorder="1" applyFont="1" applyNumberFormat="1"/>
    <xf borderId="14" fillId="8" fontId="14" numFmtId="0" xfId="0" applyBorder="1" applyFont="1"/>
    <xf borderId="15" fillId="8" fontId="14" numFmtId="3" xfId="0" applyBorder="1" applyFont="1" applyNumberFormat="1"/>
    <xf borderId="15" fillId="8" fontId="14" numFmtId="9" xfId="0" applyBorder="1" applyFont="1" applyNumberFormat="1"/>
    <xf borderId="16" fillId="8" fontId="14" numFmtId="3" xfId="0" applyBorder="1" applyFont="1" applyNumberFormat="1"/>
    <xf borderId="0" fillId="0" fontId="14" numFmtId="3" xfId="0" applyFont="1" applyNumberFormat="1"/>
    <xf borderId="0" fillId="0" fontId="14" numFmtId="9" xfId="0" applyFont="1" applyNumberFormat="1"/>
    <xf borderId="0" fillId="0" fontId="3" numFmtId="0" xfId="0" applyAlignment="1" applyFont="1">
      <alignment horizontal="left" vertical="top"/>
    </xf>
    <xf borderId="0" fillId="0" fontId="16" numFmtId="0" xfId="0" applyFont="1"/>
    <xf borderId="6" fillId="10" fontId="13" numFmtId="0" xfId="0" applyAlignment="1" applyBorder="1" applyFont="1">
      <alignment horizontal="center" shrinkToFit="0" vertical="top" wrapText="1"/>
    </xf>
    <xf borderId="17" fillId="0" fontId="15" numFmtId="0" xfId="0" applyBorder="1" applyFont="1"/>
    <xf borderId="17" fillId="0" fontId="14" numFmtId="3" xfId="0" applyBorder="1" applyFont="1" applyNumberFormat="1"/>
    <xf borderId="6" fillId="3" fontId="14" numFmtId="0" xfId="0" applyBorder="1" applyFont="1"/>
    <xf borderId="6" fillId="11" fontId="14" numFmtId="0" xfId="0" applyBorder="1" applyFont="1"/>
    <xf borderId="6" fillId="12" fontId="15" numFmtId="0" xfId="0" applyBorder="1" applyFill="1" applyFont="1"/>
    <xf borderId="6" fillId="12" fontId="14" numFmtId="3" xfId="0" applyBorder="1" applyFont="1" applyNumberFormat="1"/>
    <xf borderId="6" fillId="10" fontId="13" numFmtId="0" xfId="0" applyBorder="1" applyFont="1"/>
    <xf borderId="6" fillId="10" fontId="17" numFmtId="3" xfId="0" applyBorder="1" applyFont="1" applyNumberFormat="1"/>
    <xf borderId="13" fillId="8" fontId="14" numFmtId="0" xfId="0" applyBorder="1" applyFont="1"/>
    <xf borderId="12" fillId="8" fontId="15" numFmtId="0" xfId="0" applyBorder="1" applyFont="1"/>
    <xf borderId="6" fillId="0" fontId="15" numFmtId="0" xfId="0" applyAlignment="1" applyBorder="1" applyFont="1">
      <alignment horizontal="center" shrinkToFit="0" vertical="top" wrapText="1"/>
    </xf>
    <xf borderId="0" fillId="0" fontId="14" numFmtId="0" xfId="0" applyAlignment="1" applyFont="1">
      <alignment horizontal="center" shrinkToFit="0" vertical="top" wrapText="1"/>
    </xf>
    <xf borderId="6" fillId="0" fontId="14" numFmtId="0" xfId="0" applyAlignment="1" applyBorder="1" applyFont="1">
      <alignment shrinkToFit="0" vertical="top" wrapText="1"/>
    </xf>
    <xf borderId="6" fillId="0" fontId="14" numFmtId="3" xfId="0" applyAlignment="1" applyBorder="1" applyFont="1" applyNumberFormat="1">
      <alignment vertical="top"/>
    </xf>
    <xf borderId="6" fillId="0" fontId="14" numFmtId="9" xfId="0" applyAlignment="1" applyBorder="1" applyFont="1" applyNumberFormat="1">
      <alignment vertical="top"/>
    </xf>
    <xf borderId="0" fillId="0" fontId="14" numFmtId="0" xfId="0" applyAlignment="1" applyFont="1">
      <alignment shrinkToFit="0" vertical="top" wrapText="1"/>
    </xf>
    <xf borderId="6" fillId="0" fontId="15" numFmtId="0" xfId="0" applyAlignment="1" applyBorder="1" applyFont="1">
      <alignment horizontal="left" shrinkToFit="0" vertical="top" wrapText="1"/>
    </xf>
    <xf borderId="6" fillId="0" fontId="14" numFmtId="3" xfId="0" applyAlignment="1" applyBorder="1" applyFont="1" applyNumberFormat="1">
      <alignment shrinkToFit="0" vertical="top" wrapText="1"/>
    </xf>
    <xf borderId="0" fillId="0" fontId="15" numFmtId="0" xfId="0" applyAlignment="1" applyFont="1">
      <alignment shrinkToFit="0" vertical="top" wrapText="1"/>
    </xf>
    <xf borderId="18" fillId="0" fontId="14" numFmtId="0" xfId="0" applyBorder="1" applyFont="1"/>
    <xf borderId="19" fillId="0" fontId="14" numFmtId="0" xfId="0" applyBorder="1" applyFont="1"/>
    <xf borderId="5" fillId="0" fontId="14" numFmtId="0" xfId="0" applyBorder="1" applyFont="1"/>
    <xf borderId="0" fillId="0" fontId="14" numFmtId="169" xfId="0" applyAlignment="1" applyFont="1" applyNumberFormat="1">
      <alignment horizontal="right"/>
    </xf>
    <xf borderId="20" fillId="0" fontId="14" numFmtId="170" xfId="0" applyAlignment="1" applyBorder="1" applyFont="1" applyNumberFormat="1">
      <alignment horizontal="right"/>
    </xf>
    <xf borderId="18" fillId="0" fontId="15" numFmtId="0" xfId="0" applyBorder="1" applyFont="1"/>
    <xf borderId="20" fillId="0" fontId="14" numFmtId="0" xfId="0" applyAlignment="1" applyBorder="1" applyFont="1">
      <alignment horizontal="right"/>
    </xf>
    <xf borderId="6" fillId="0" fontId="14" numFmtId="0" xfId="0" applyBorder="1" applyFont="1"/>
    <xf borderId="6" fillId="0" fontId="14" numFmtId="3" xfId="0" applyBorder="1" applyFont="1" applyNumberFormat="1"/>
    <xf borderId="6" fillId="0" fontId="14" numFmtId="9" xfId="0" applyBorder="1" applyFont="1" applyNumberFormat="1"/>
    <xf borderId="6" fillId="0" fontId="14" numFmtId="169" xfId="0" applyAlignment="1" applyBorder="1" applyFont="1" applyNumberFormat="1">
      <alignment horizontal="right"/>
    </xf>
    <xf borderId="6" fillId="0" fontId="14" numFmtId="170" xfId="0" applyAlignment="1" applyBorder="1" applyFont="1" applyNumberFormat="1">
      <alignment horizontal="right"/>
    </xf>
    <xf borderId="6" fillId="0" fontId="14" numFmtId="169" xfId="0" applyBorder="1" applyFont="1" applyNumberFormat="1"/>
    <xf borderId="6" fillId="0" fontId="14" numFmtId="9" xfId="0" applyAlignment="1" applyBorder="1" applyFont="1" applyNumberFormat="1">
      <alignment horizontal="right"/>
    </xf>
    <xf borderId="6" fillId="13" fontId="15" numFmtId="0" xfId="0" applyBorder="1" applyFill="1" applyFont="1"/>
    <xf borderId="6" fillId="13" fontId="14" numFmtId="3" xfId="0" applyBorder="1" applyFont="1" applyNumberFormat="1"/>
    <xf borderId="6" fillId="13" fontId="14" numFmtId="3" xfId="0" applyAlignment="1" applyBorder="1" applyFont="1" applyNumberFormat="1">
      <alignment horizontal="right"/>
    </xf>
    <xf borderId="6" fillId="13" fontId="14" numFmtId="9" xfId="0" applyAlignment="1" applyBorder="1" applyFont="1" applyNumberFormat="1">
      <alignment horizontal="right"/>
    </xf>
    <xf borderId="6" fillId="13" fontId="14" numFmtId="169" xfId="0" applyAlignment="1" applyBorder="1" applyFont="1" applyNumberFormat="1">
      <alignment horizontal="right"/>
    </xf>
    <xf borderId="6" fillId="13" fontId="14" numFmtId="170" xfId="0" applyAlignment="1" applyBorder="1" applyFont="1" applyNumberFormat="1">
      <alignment horizontal="right"/>
    </xf>
    <xf borderId="0" fillId="0" fontId="14" numFmtId="4" xfId="0" applyFont="1" applyNumberFormat="1"/>
    <xf borderId="0" fillId="0" fontId="14" numFmtId="3" xfId="0" applyAlignment="1" applyFont="1" applyNumberFormat="1">
      <alignment horizontal="right"/>
    </xf>
    <xf borderId="0" fillId="0" fontId="14" numFmtId="0" xfId="0" applyAlignment="1" applyFont="1">
      <alignment horizontal="right"/>
    </xf>
    <xf borderId="6" fillId="0" fontId="14" numFmtId="3" xfId="0" applyAlignment="1" applyBorder="1" applyFont="1" applyNumberFormat="1">
      <alignment horizontal="right"/>
    </xf>
    <xf borderId="6" fillId="13" fontId="15" numFmtId="3" xfId="0" applyBorder="1" applyFont="1" applyNumberFormat="1"/>
    <xf borderId="6" fillId="13" fontId="15" numFmtId="9" xfId="0" applyBorder="1" applyFont="1" applyNumberFormat="1"/>
    <xf borderId="6" fillId="13" fontId="15" numFmtId="3" xfId="0" applyAlignment="1" applyBorder="1" applyFont="1" applyNumberFormat="1">
      <alignment horizontal="right"/>
    </xf>
    <xf borderId="6" fillId="13" fontId="15" numFmtId="169" xfId="0" applyAlignment="1" applyBorder="1" applyFont="1" applyNumberFormat="1">
      <alignment horizontal="right"/>
    </xf>
    <xf borderId="6" fillId="13" fontId="15" numFmtId="170" xfId="0" applyAlignment="1" applyBorder="1" applyFont="1" applyNumberFormat="1">
      <alignment horizontal="right"/>
    </xf>
    <xf borderId="5" fillId="0" fontId="14" numFmtId="0" xfId="0" applyAlignment="1" applyBorder="1" applyFont="1">
      <alignment horizontal="right"/>
    </xf>
    <xf borderId="21" fillId="0" fontId="14" numFmtId="0" xfId="0" applyAlignment="1" applyBorder="1" applyFont="1">
      <alignment horizontal="right"/>
    </xf>
    <xf borderId="20" fillId="0" fontId="14" numFmtId="169" xfId="0" applyAlignment="1" applyBorder="1" applyFont="1" applyNumberFormat="1">
      <alignment horizontal="right"/>
    </xf>
    <xf borderId="6" fillId="0" fontId="15" numFmtId="0" xfId="0" applyBorder="1" applyFont="1"/>
    <xf borderId="20" fillId="0" fontId="14" numFmtId="3" xfId="0" applyBorder="1" applyFont="1" applyNumberFormat="1"/>
    <xf borderId="20" fillId="0" fontId="14" numFmtId="0" xfId="0" applyBorder="1" applyFont="1"/>
    <xf borderId="6" fillId="13" fontId="15" numFmtId="9" xfId="0" applyAlignment="1" applyBorder="1" applyFont="1" applyNumberFormat="1">
      <alignment horizontal="right"/>
    </xf>
    <xf borderId="22" fillId="0" fontId="15" numFmtId="3" xfId="0" applyAlignment="1" applyBorder="1" applyFont="1" applyNumberFormat="1">
      <alignment horizontal="center" shrinkToFit="0" vertical="top" wrapText="1"/>
    </xf>
    <xf borderId="17" fillId="0" fontId="2" numFmtId="0" xfId="0" applyBorder="1" applyFont="1"/>
    <xf borderId="23" fillId="0" fontId="2" numFmtId="0" xfId="0" applyBorder="1" applyFont="1"/>
    <xf borderId="22" fillId="0" fontId="15" numFmtId="0" xfId="0" applyAlignment="1" applyBorder="1" applyFont="1">
      <alignment horizontal="center" shrinkToFit="0" vertical="top" wrapText="1"/>
    </xf>
    <xf borderId="24" fillId="0" fontId="15" numFmtId="0" xfId="0" applyAlignment="1" applyBorder="1" applyFont="1">
      <alignment shrinkToFit="0" vertical="top" wrapText="1"/>
    </xf>
    <xf borderId="25" fillId="0" fontId="14" numFmtId="0" xfId="0" applyAlignment="1" applyBorder="1" applyFont="1">
      <alignment shrinkToFit="0" vertical="top" wrapText="1"/>
    </xf>
    <xf borderId="25" fillId="0" fontId="14" numFmtId="169" xfId="0" applyAlignment="1" applyBorder="1" applyFont="1" applyNumberFormat="1">
      <alignment horizontal="right" shrinkToFit="0" vertical="top" wrapText="1"/>
    </xf>
    <xf borderId="6" fillId="0" fontId="14" numFmtId="9" xfId="0" applyAlignment="1" applyBorder="1" applyFont="1" applyNumberFormat="1">
      <alignment horizontal="right" shrinkToFit="0" vertical="top" wrapText="1"/>
    </xf>
    <xf borderId="6" fillId="0" fontId="14" numFmtId="169" xfId="0" applyAlignment="1" applyBorder="1" applyFont="1" applyNumberFormat="1">
      <alignment horizontal="right" shrinkToFit="0" vertical="top" wrapText="1"/>
    </xf>
    <xf borderId="6" fillId="0" fontId="14" numFmtId="3" xfId="0" applyAlignment="1" applyBorder="1" applyFont="1" applyNumberFormat="1">
      <alignment horizontal="right" shrinkToFit="0" vertical="top" wrapText="1"/>
    </xf>
    <xf borderId="6" fillId="0" fontId="14" numFmtId="0" xfId="0" applyAlignment="1" applyBorder="1" applyFont="1">
      <alignment vertical="top"/>
    </xf>
    <xf borderId="6" fillId="0" fontId="14" numFmtId="3" xfId="0" applyAlignment="1" applyBorder="1" applyFont="1" applyNumberFormat="1">
      <alignment horizontal="right" vertical="top"/>
    </xf>
    <xf borderId="6" fillId="13" fontId="15" numFmtId="0" xfId="0" applyAlignment="1" applyBorder="1" applyFont="1">
      <alignment shrinkToFit="0" vertical="top" wrapText="1"/>
    </xf>
    <xf borderId="6" fillId="13" fontId="14" numFmtId="3" xfId="0" applyAlignment="1" applyBorder="1" applyFont="1" applyNumberFormat="1">
      <alignment shrinkToFit="0" vertical="top" wrapText="1"/>
    </xf>
    <xf borderId="6" fillId="13" fontId="14" numFmtId="9" xfId="0" applyAlignment="1" applyBorder="1" applyFont="1" applyNumberFormat="1">
      <alignment shrinkToFit="0" vertical="top" wrapText="1"/>
    </xf>
    <xf borderId="6" fillId="13" fontId="14" numFmtId="169" xfId="0" applyAlignment="1" applyBorder="1" applyFont="1" applyNumberFormat="1">
      <alignment horizontal="right" shrinkToFit="0" vertical="top" wrapText="1"/>
    </xf>
    <xf borderId="6" fillId="13" fontId="14" numFmtId="3" xfId="0" applyAlignment="1" applyBorder="1" applyFont="1" applyNumberFormat="1">
      <alignment horizontal="right" shrinkToFit="0" vertical="top" wrapText="1"/>
    </xf>
    <xf borderId="24" fillId="0" fontId="14" numFmtId="0" xfId="0" applyAlignment="1" applyBorder="1" applyFont="1">
      <alignment shrinkToFit="0" vertical="top" wrapText="1"/>
    </xf>
    <xf borderId="25" fillId="0" fontId="14" numFmtId="3" xfId="0" applyAlignment="1" applyBorder="1" applyFont="1" applyNumberFormat="1">
      <alignment shrinkToFit="0" vertical="top" wrapText="1"/>
    </xf>
    <xf borderId="25" fillId="0" fontId="14" numFmtId="9" xfId="0" applyAlignment="1" applyBorder="1" applyFont="1" applyNumberFormat="1">
      <alignment horizontal="right" shrinkToFit="0" vertical="top" wrapText="1"/>
    </xf>
    <xf borderId="25" fillId="0" fontId="14" numFmtId="169" xfId="0" applyAlignment="1" applyBorder="1" applyFont="1" applyNumberFormat="1">
      <alignment horizontal="right"/>
    </xf>
    <xf borderId="25" fillId="0" fontId="14" numFmtId="3" xfId="0" applyAlignment="1" applyBorder="1" applyFont="1" applyNumberFormat="1">
      <alignment horizontal="right" shrinkToFit="0" vertical="top" wrapText="1"/>
    </xf>
    <xf borderId="0" fillId="0" fontId="14" numFmtId="3" xfId="0" applyAlignment="1" applyFont="1" applyNumberFormat="1">
      <alignment shrinkToFit="0" vertical="top" wrapText="1"/>
    </xf>
    <xf borderId="0" fillId="0" fontId="14" numFmtId="2" xfId="0" applyAlignment="1" applyFont="1" applyNumberForma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hyperlink" Target="#'Financial%20'!A1" TargetMode="Externa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hyperlink" Target="#Date!A1" TargetMode="Externa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hyperlink" Target="#Narrative!A1" TargetMode="Externa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hyperlink" Target="#'Indicators_Impact%20'!A1" TargetMode="Externa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942975</xdr:colOff>
      <xdr:row>1</xdr:row>
      <xdr:rowOff>-19050</xdr:rowOff>
    </xdr:from>
    <xdr:ext cx="1476375" cy="476250"/>
    <xdr:sp>
      <xdr:nvSpPr>
        <xdr:cNvPr id="3" name="Shape 3">
          <a:hlinkClick r:id="rId1"/>
        </xdr:cNvPr>
        <xdr:cNvSpPr/>
      </xdr:nvSpPr>
      <xdr:spPr>
        <a:xfrm>
          <a:off x="4617338" y="3551400"/>
          <a:ext cx="1457325" cy="457200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lt1"/>
            </a:buClr>
            <a:buSzPts val="1600"/>
            <a:buFont typeface="Calibri"/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SzPts val="1600"/>
            <a:buFont typeface="Arial"/>
            <a:buNone/>
          </a:pPr>
          <a:r>
            <a:t/>
          </a:r>
          <a:endParaRPr sz="16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523875</xdr:colOff>
      <xdr:row>0</xdr:row>
      <xdr:rowOff>85725</xdr:rowOff>
    </xdr:from>
    <xdr:ext cx="1295400" cy="476250"/>
    <xdr:sp>
      <xdr:nvSpPr>
        <xdr:cNvPr id="4" name="Shape 4">
          <a:hlinkClick r:id="rId1"/>
        </xdr:cNvPr>
        <xdr:cNvSpPr/>
      </xdr:nvSpPr>
      <xdr:spPr>
        <a:xfrm>
          <a:off x="4707825" y="3551400"/>
          <a:ext cx="1276350" cy="457200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lt1"/>
            </a:buClr>
            <a:buSzPts val="1600"/>
            <a:buFont typeface="Calibri"/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SzPts val="1600"/>
            <a:buFont typeface="Arial"/>
            <a:buNone/>
          </a:pPr>
          <a:r>
            <a:t/>
          </a:r>
          <a:endParaRPr sz="16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200025</xdr:colOff>
      <xdr:row>0</xdr:row>
      <xdr:rowOff>142875</xdr:rowOff>
    </xdr:from>
    <xdr:ext cx="1295400" cy="495300"/>
    <xdr:sp>
      <xdr:nvSpPr>
        <xdr:cNvPr id="5" name="Shape 5">
          <a:hlinkClick r:id="rId1"/>
        </xdr:cNvPr>
        <xdr:cNvSpPr/>
      </xdr:nvSpPr>
      <xdr:spPr>
        <a:xfrm>
          <a:off x="4707825" y="3541875"/>
          <a:ext cx="1276350" cy="476250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lt1"/>
            </a:buClr>
            <a:buSzPts val="1600"/>
            <a:buFont typeface="Calibri"/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SzPts val="1600"/>
            <a:buFont typeface="Arial"/>
            <a:buNone/>
          </a:pPr>
          <a:r>
            <a:t/>
          </a:r>
          <a:endParaRPr sz="16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847725</xdr:colOff>
      <xdr:row>2</xdr:row>
      <xdr:rowOff>152400</xdr:rowOff>
    </xdr:from>
    <xdr:ext cx="1533525" cy="476250"/>
    <xdr:sp>
      <xdr:nvSpPr>
        <xdr:cNvPr id="6" name="Shape 6">
          <a:hlinkClick r:id="rId1"/>
        </xdr:cNvPr>
        <xdr:cNvSpPr/>
      </xdr:nvSpPr>
      <xdr:spPr>
        <a:xfrm>
          <a:off x="4588763" y="3551400"/>
          <a:ext cx="1514475" cy="457200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lt1"/>
            </a:buClr>
            <a:buSzPts val="1600"/>
            <a:buFont typeface="Calibri"/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SzPts val="1600"/>
            <a:buFont typeface="Arial"/>
            <a:buNone/>
          </a:pPr>
          <a:r>
            <a:t/>
          </a:r>
          <a:endParaRPr sz="1600"/>
        </a:p>
      </xdr:txBody>
    </xdr:sp>
    <xdr:clientData fLocksWithSheet="0"/>
  </xdr:oneCellAnchor>
  <xdr:oneCellAnchor>
    <xdr:from>
      <xdr:col>3</xdr:col>
      <xdr:colOff>1514475</xdr:colOff>
      <xdr:row>0</xdr:row>
      <xdr:rowOff>9525</xdr:rowOff>
    </xdr:from>
    <xdr:ext cx="1085850" cy="419100"/>
    <xdr:sp>
      <xdr:nvSpPr>
        <xdr:cNvPr id="7" name="Shape 7"/>
        <xdr:cNvSpPr/>
      </xdr:nvSpPr>
      <xdr:spPr>
        <a:xfrm>
          <a:off x="4812600" y="3579975"/>
          <a:ext cx="1066800" cy="400050"/>
        </a:xfrm>
        <a:prstGeom prst="roundRect">
          <a:avLst>
            <a:gd fmla="val 7576" name="adj"/>
          </a:avLst>
        </a:prstGeom>
        <a:solidFill>
          <a:schemeClr val="dk2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lt1"/>
            </a:buClr>
            <a:buSzPts val="1600"/>
            <a:buFont typeface="Calibri"/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SzPts val="1600"/>
            <a:buFont typeface="Arial"/>
            <a:buNone/>
          </a:pPr>
          <a:r>
            <a:t/>
          </a:r>
          <a:endParaRPr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SzPts val="1600"/>
            <a:buFont typeface="Arial"/>
            <a:buNone/>
          </a:pPr>
          <a:r>
            <a:t/>
          </a:r>
          <a:endParaRPr sz="1600"/>
        </a:p>
      </xdr:txBody>
    </xdr:sp>
    <xdr:clientData fLocksWithSheet="0"/>
  </xdr:oneCellAnchor>
  <xdr:oneCellAnchor>
    <xdr:from>
      <xdr:col>0</xdr:col>
      <xdr:colOff>47625</xdr:colOff>
      <xdr:row>0</xdr:row>
      <xdr:rowOff>0</xdr:rowOff>
    </xdr:from>
    <xdr:ext cx="838200" cy="266700"/>
    <xdr:sp>
      <xdr:nvSpPr>
        <xdr:cNvPr id="8" name="Shape 8"/>
        <xdr:cNvSpPr/>
      </xdr:nvSpPr>
      <xdr:spPr>
        <a:xfrm>
          <a:off x="4936425" y="3656175"/>
          <a:ext cx="819150" cy="247650"/>
        </a:xfrm>
        <a:prstGeom prst="roundRect">
          <a:avLst>
            <a:gd fmla="val 7576" name="adj"/>
          </a:avLst>
        </a:prstGeom>
        <a:solidFill>
          <a:schemeClr val="dk2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lt1"/>
            </a:buClr>
            <a:buSzPts val="1600"/>
            <a:buFont typeface="Calibri"/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Back</a:t>
          </a:r>
          <a:endParaRPr sz="1400"/>
        </a:p>
      </xdr:txBody>
    </xdr:sp>
    <xdr:clientData fLocksWithSheet="0"/>
  </xdr:oneCellAnchor>
  <xdr:oneCellAnchor>
    <xdr:from>
      <xdr:col>4</xdr:col>
      <xdr:colOff>781050</xdr:colOff>
      <xdr:row>0</xdr:row>
      <xdr:rowOff>9525</xdr:rowOff>
    </xdr:from>
    <xdr:ext cx="1057275" cy="409575"/>
    <xdr:sp>
      <xdr:nvSpPr>
        <xdr:cNvPr id="9" name="Shape 9"/>
        <xdr:cNvSpPr/>
      </xdr:nvSpPr>
      <xdr:spPr>
        <a:xfrm>
          <a:off x="4826888" y="3584738"/>
          <a:ext cx="1038225" cy="390525"/>
        </a:xfrm>
        <a:prstGeom prst="roundRect">
          <a:avLst>
            <a:gd fmla="val 7576" name="adj"/>
          </a:avLst>
        </a:prstGeom>
        <a:solidFill>
          <a:schemeClr val="dk2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lt1"/>
            </a:buClr>
            <a:buSzPts val="1600"/>
            <a:buFont typeface="Calibri"/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Exit</a:t>
          </a:r>
          <a:endParaRPr sz="14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66092"/>
    <pageSetUpPr/>
  </sheetPr>
  <sheetViews>
    <sheetView workbookViewId="0"/>
  </sheetViews>
  <sheetFormatPr customHeight="1" defaultColWidth="12.63" defaultRowHeight="15.0" outlineLevelCol="1"/>
  <cols>
    <col customWidth="1" min="1" max="2" width="10.75"/>
    <col customWidth="1" min="3" max="4" width="11.25"/>
    <col customWidth="1" min="5" max="10" width="9.25"/>
    <col customWidth="1" min="11" max="11" width="26.5"/>
    <col customWidth="1" min="12" max="12" width="9.25"/>
    <col customWidth="1" min="13" max="13" width="11.13"/>
    <col customWidth="1" min="14" max="18" width="10.13" outlineLevel="1"/>
    <col customWidth="1" min="19" max="24" width="9.25"/>
    <col customWidth="1" min="25" max="30" width="11.13" outlineLevel="1"/>
    <col customWidth="1" min="31" max="36" width="9.25"/>
    <col customWidth="1" min="37" max="37" width="12.75"/>
    <col customWidth="1" min="38" max="38" width="12.88"/>
    <col customWidth="1" min="39" max="39" width="11.25"/>
    <col customWidth="1" min="40" max="44" width="9.25" outlineLevel="1"/>
    <col customWidth="1" min="45" max="46" width="12.13" outlineLevel="1"/>
    <col customWidth="1" min="47" max="47" width="13.13"/>
    <col customWidth="1" min="48" max="48" width="12.13"/>
    <col customWidth="1" min="49" max="51" width="21.38" outlineLevel="1"/>
    <col customWidth="1" min="52" max="52" width="10.63"/>
    <col customWidth="1" min="53" max="55" width="9.25"/>
    <col customWidth="1" min="56" max="57" width="12.25"/>
    <col customWidth="1" min="58" max="58" width="9.25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0</v>
      </c>
      <c r="M1" s="3"/>
      <c r="N1" s="3"/>
      <c r="O1" s="3"/>
      <c r="P1" s="3"/>
      <c r="Q1" s="3"/>
      <c r="R1" s="4"/>
      <c r="S1" s="2" t="s">
        <v>1</v>
      </c>
      <c r="T1" s="3"/>
      <c r="U1" s="3"/>
      <c r="V1" s="3"/>
      <c r="W1" s="3"/>
      <c r="X1" s="3"/>
      <c r="Y1" s="3"/>
      <c r="Z1" s="3"/>
      <c r="AA1" s="3"/>
      <c r="AB1" s="3"/>
      <c r="AC1" s="3"/>
      <c r="AD1" s="4"/>
      <c r="AE1" s="5" t="s">
        <v>2</v>
      </c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7"/>
      <c r="AU1" s="7"/>
      <c r="AV1" s="7"/>
      <c r="AW1" s="2" t="s">
        <v>3</v>
      </c>
      <c r="AX1" s="3"/>
      <c r="AY1" s="3"/>
      <c r="AZ1" s="8"/>
      <c r="BA1" s="8"/>
      <c r="BB1" s="8"/>
      <c r="BC1" s="8"/>
      <c r="BD1" s="8"/>
      <c r="BE1" s="8"/>
      <c r="BF1" s="8"/>
    </row>
    <row r="2" ht="99.75" customHeight="1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9" t="s">
        <v>11</v>
      </c>
      <c r="I2" s="9" t="s">
        <v>12</v>
      </c>
      <c r="J2" s="9" t="s">
        <v>13</v>
      </c>
      <c r="K2" s="9" t="s">
        <v>14</v>
      </c>
      <c r="L2" s="9" t="s">
        <v>15</v>
      </c>
      <c r="M2" s="9" t="s">
        <v>16</v>
      </c>
      <c r="N2" s="10" t="s">
        <v>17</v>
      </c>
      <c r="O2" s="10" t="s">
        <v>18</v>
      </c>
      <c r="P2" s="10" t="s">
        <v>19</v>
      </c>
      <c r="Q2" s="10" t="s">
        <v>20</v>
      </c>
      <c r="R2" s="10" t="s">
        <v>21</v>
      </c>
      <c r="S2" s="9" t="s">
        <v>22</v>
      </c>
      <c r="T2" s="9" t="s">
        <v>23</v>
      </c>
      <c r="U2" s="11" t="s">
        <v>24</v>
      </c>
      <c r="V2" s="9" t="s">
        <v>25</v>
      </c>
      <c r="W2" s="9" t="s">
        <v>26</v>
      </c>
      <c r="X2" s="11" t="s">
        <v>27</v>
      </c>
      <c r="Y2" s="10" t="s">
        <v>28</v>
      </c>
      <c r="Z2" s="10" t="s">
        <v>29</v>
      </c>
      <c r="AA2" s="10" t="s">
        <v>30</v>
      </c>
      <c r="AB2" s="10" t="s">
        <v>31</v>
      </c>
      <c r="AC2" s="10" t="s">
        <v>32</v>
      </c>
      <c r="AD2" s="10" t="s">
        <v>33</v>
      </c>
      <c r="AE2" s="9" t="s">
        <v>34</v>
      </c>
      <c r="AF2" s="9" t="s">
        <v>35</v>
      </c>
      <c r="AG2" s="9" t="s">
        <v>36</v>
      </c>
      <c r="AH2" s="12" t="s">
        <v>37</v>
      </c>
      <c r="AI2" s="9" t="s">
        <v>38</v>
      </c>
      <c r="AJ2" s="9" t="s">
        <v>39</v>
      </c>
      <c r="AK2" s="9" t="s">
        <v>40</v>
      </c>
      <c r="AL2" s="9" t="s">
        <v>41</v>
      </c>
      <c r="AM2" s="9" t="s">
        <v>42</v>
      </c>
      <c r="AN2" s="10" t="s">
        <v>43</v>
      </c>
      <c r="AO2" s="10" t="s">
        <v>44</v>
      </c>
      <c r="AP2" s="10" t="s">
        <v>45</v>
      </c>
      <c r="AQ2" s="10" t="s">
        <v>46</v>
      </c>
      <c r="AR2" s="10" t="s">
        <v>47</v>
      </c>
      <c r="AS2" s="13" t="s">
        <v>48</v>
      </c>
      <c r="AT2" s="13" t="s">
        <v>49</v>
      </c>
      <c r="AU2" s="14" t="s">
        <v>50</v>
      </c>
      <c r="AV2" s="15" t="s">
        <v>51</v>
      </c>
      <c r="AW2" s="16" t="s">
        <v>52</v>
      </c>
      <c r="AX2" s="16" t="s">
        <v>53</v>
      </c>
      <c r="AY2" s="17" t="s">
        <v>54</v>
      </c>
      <c r="AZ2" s="18"/>
      <c r="BA2" s="19"/>
      <c r="BB2" s="19"/>
      <c r="BC2" s="19"/>
      <c r="BD2" s="19"/>
      <c r="BE2" s="19"/>
      <c r="BF2" s="19"/>
    </row>
    <row r="3" ht="12.75" customHeight="1">
      <c r="A3" s="20" t="s">
        <v>55</v>
      </c>
      <c r="B3" s="21"/>
      <c r="C3" s="21"/>
      <c r="D3" s="21" t="s">
        <v>56</v>
      </c>
      <c r="E3" s="22" t="s">
        <v>57</v>
      </c>
      <c r="F3" s="23"/>
      <c r="G3" s="24" t="s">
        <v>58</v>
      </c>
      <c r="H3" s="22" t="s">
        <v>59</v>
      </c>
      <c r="I3" s="24" t="s">
        <v>60</v>
      </c>
      <c r="J3" s="22" t="s">
        <v>61</v>
      </c>
      <c r="K3" s="24" t="s">
        <v>62</v>
      </c>
      <c r="L3" s="25">
        <v>38534.0</v>
      </c>
      <c r="M3" s="25">
        <v>39326.0</v>
      </c>
      <c r="N3" s="24" t="s">
        <v>63</v>
      </c>
      <c r="O3" s="25">
        <v>38626.0</v>
      </c>
      <c r="P3" s="25">
        <v>38626.0</v>
      </c>
      <c r="Q3" s="25">
        <v>38626.0</v>
      </c>
      <c r="R3" s="25">
        <v>39965.0</v>
      </c>
      <c r="S3" s="26">
        <v>43.4</v>
      </c>
      <c r="T3" s="26">
        <v>43.4</v>
      </c>
      <c r="U3" s="26">
        <v>0.0</v>
      </c>
      <c r="V3" s="26">
        <v>0.0</v>
      </c>
      <c r="W3" s="26">
        <v>0.0</v>
      </c>
      <c r="X3" s="26">
        <v>0.0</v>
      </c>
      <c r="Y3" s="26">
        <v>0.0</v>
      </c>
      <c r="Z3" s="26">
        <v>0.0</v>
      </c>
      <c r="AA3" s="26">
        <v>0.0</v>
      </c>
      <c r="AB3" s="26">
        <v>0.0</v>
      </c>
      <c r="AC3" s="26">
        <v>0.0</v>
      </c>
      <c r="AD3" s="26">
        <v>0.0</v>
      </c>
      <c r="AE3" s="27">
        <v>110428.0</v>
      </c>
      <c r="AF3" s="27">
        <v>-109351.01</v>
      </c>
      <c r="AG3" s="27">
        <v>-109351.01</v>
      </c>
      <c r="AH3" s="27">
        <v>-109351.01</v>
      </c>
      <c r="AI3" s="27">
        <v>-109351.01</v>
      </c>
      <c r="AJ3" s="27">
        <v>-109351.01</v>
      </c>
      <c r="AK3" s="27">
        <v>-109351.01</v>
      </c>
      <c r="AL3" s="27">
        <v>-109351.01</v>
      </c>
      <c r="AM3" s="27">
        <v>-109351.01</v>
      </c>
      <c r="AN3" s="27">
        <v>-109351.01</v>
      </c>
      <c r="AO3" s="27">
        <v>-109351.01</v>
      </c>
      <c r="AP3" s="27">
        <v>-109351.01</v>
      </c>
      <c r="AQ3" s="27">
        <v>-109351.01</v>
      </c>
      <c r="AR3" s="27">
        <v>-109351.01</v>
      </c>
      <c r="AS3" s="27">
        <v>-109351.01</v>
      </c>
      <c r="AT3" s="27">
        <v>-109351.01</v>
      </c>
      <c r="AU3" s="28"/>
      <c r="AV3" s="25">
        <v>39965.0</v>
      </c>
      <c r="AW3" s="28"/>
      <c r="AX3" s="28"/>
      <c r="AY3" s="20" t="s">
        <v>55</v>
      </c>
      <c r="AZ3" s="28"/>
      <c r="BA3" s="28"/>
      <c r="BB3" s="28"/>
      <c r="BC3" s="28"/>
      <c r="BD3" s="28"/>
      <c r="BE3" s="28"/>
      <c r="BF3" s="28"/>
    </row>
    <row r="4" ht="12.75" customHeight="1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30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</row>
    <row r="5" ht="12.75" customHeight="1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</row>
    <row r="6" ht="12.75" customHeight="1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</row>
    <row r="7" ht="12.75" customHeight="1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</row>
    <row r="8" ht="12.75" customHeight="1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</row>
    <row r="9" ht="12.75" customHeight="1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</row>
    <row r="10" ht="12.75" customHeight="1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</row>
    <row r="11" ht="12.75" customHeight="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</row>
    <row r="12" ht="12.75" customHeight="1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</row>
    <row r="13" ht="12.75" customHeight="1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</row>
    <row r="14" ht="12.75" customHeight="1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</row>
    <row r="15" ht="12.75" customHeight="1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</row>
    <row r="16" ht="12.75" customHeight="1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</row>
    <row r="17" ht="12.75" customHeight="1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</row>
    <row r="18" ht="12.75" customHeigh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</row>
    <row r="19" ht="12.75" customHeigh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</row>
    <row r="20" ht="12.75" customHeigh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</row>
    <row r="21" ht="12.75" customHeigh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</row>
    <row r="22" ht="12.75" customHeigh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</row>
    <row r="23" ht="12.75" customHeigh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</row>
    <row r="24" ht="12.75" customHeigh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</row>
    <row r="25" ht="12.75" customHeigh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</row>
    <row r="26" ht="12.75" customHeigh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</row>
    <row r="27" ht="12.75" customHeigh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29"/>
      <c r="BD27" s="29"/>
      <c r="BE27" s="29"/>
      <c r="BF27" s="29"/>
    </row>
    <row r="28" ht="12.75" customHeight="1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</row>
    <row r="29" ht="12.75" customHeight="1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  <c r="BF29" s="29"/>
    </row>
    <row r="30" ht="12.75" customHeight="1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</row>
    <row r="31" ht="12.75" customHeight="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</row>
    <row r="32" ht="12.75" customHeight="1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29"/>
      <c r="BF32" s="29"/>
    </row>
    <row r="33" ht="12.75" customHeight="1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29"/>
      <c r="BF33" s="29"/>
    </row>
    <row r="34" ht="12.75" customHeight="1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  <c r="BE34" s="29"/>
      <c r="BF34" s="29"/>
    </row>
    <row r="35" ht="12.75" customHeight="1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</row>
    <row r="36" ht="12.75" customHeight="1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</row>
    <row r="37" ht="12.75" customHeight="1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</row>
    <row r="38" ht="12.75" customHeight="1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</row>
    <row r="39" ht="12.75" customHeight="1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  <c r="BE39" s="29"/>
      <c r="BF39" s="29"/>
    </row>
    <row r="40" ht="12.75" customHeight="1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  <c r="BC40" s="29"/>
      <c r="BD40" s="29"/>
      <c r="BE40" s="29"/>
      <c r="BF40" s="29"/>
    </row>
    <row r="41" ht="12.75" customHeight="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  <c r="BE41" s="29"/>
      <c r="BF41" s="29"/>
    </row>
    <row r="42" ht="12.75" customHeight="1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  <c r="BE42" s="29"/>
      <c r="BF42" s="29"/>
    </row>
    <row r="43" ht="12.75" customHeight="1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  <c r="BE43" s="29"/>
      <c r="BF43" s="29"/>
    </row>
    <row r="44" ht="12.75" customHeight="1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</row>
    <row r="45" ht="12.75" customHeight="1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  <c r="BE45" s="29"/>
      <c r="BF45" s="29"/>
    </row>
    <row r="46" ht="12.75" customHeight="1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  <c r="BE46" s="29"/>
      <c r="BF46" s="29"/>
    </row>
    <row r="47" ht="12.75" customHeight="1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  <c r="BE47" s="29"/>
      <c r="BF47" s="29"/>
    </row>
    <row r="48" ht="12.75" customHeight="1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</row>
    <row r="49" ht="12.75" customHeight="1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</row>
    <row r="50" ht="12.75" customHeight="1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</row>
    <row r="51" ht="12.75" customHeight="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</row>
    <row r="52" ht="12.75" customHeight="1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</row>
    <row r="53" ht="12.75" customHeight="1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</row>
    <row r="54" ht="12.75" customHeight="1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</row>
    <row r="55" ht="12.75" customHeight="1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</row>
    <row r="56" ht="12.75" customHeight="1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</row>
    <row r="57" ht="12.75" customHeight="1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</row>
    <row r="58" ht="12.75" customHeight="1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</row>
    <row r="59" ht="12.75" customHeight="1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</row>
    <row r="60" ht="12.7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</row>
    <row r="61" ht="12.7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</row>
    <row r="62" ht="12.7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</row>
    <row r="63" ht="12.7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</row>
    <row r="64" ht="12.7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</row>
    <row r="65" ht="12.7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</row>
    <row r="66" ht="12.7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</row>
    <row r="67" ht="12.7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</row>
    <row r="68" ht="12.7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</row>
    <row r="69" ht="12.7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</row>
    <row r="70" ht="12.7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</row>
    <row r="71" ht="12.7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</row>
    <row r="72" ht="12.7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</row>
    <row r="73" ht="12.7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</row>
    <row r="74" ht="12.7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</row>
    <row r="75" ht="12.7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</row>
    <row r="76" ht="12.7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</row>
    <row r="77" ht="12.7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</row>
    <row r="78" ht="12.7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</row>
    <row r="79" ht="12.7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</row>
    <row r="80" ht="12.7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</row>
    <row r="81" ht="12.7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</row>
    <row r="82" ht="12.7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</row>
    <row r="83" ht="12.7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</row>
    <row r="84" ht="12.7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</row>
    <row r="85" ht="12.7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</row>
    <row r="86" ht="12.7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</row>
    <row r="87" ht="12.7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</row>
    <row r="88" ht="12.7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</row>
    <row r="89" ht="12.7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</row>
    <row r="90" ht="12.7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</row>
    <row r="91" ht="12.7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</row>
    <row r="92" ht="12.7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</row>
    <row r="93" ht="12.7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</row>
    <row r="94" ht="12.7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</row>
    <row r="95" ht="12.7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</row>
    <row r="96" ht="12.7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</row>
    <row r="97" ht="12.7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</row>
    <row r="98" ht="12.7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</row>
    <row r="99" ht="12.7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</row>
    <row r="100" ht="12.7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</row>
    <row r="101" ht="12.7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</row>
    <row r="102" ht="12.7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</row>
    <row r="103" ht="12.7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</row>
    <row r="104" ht="12.7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</row>
    <row r="105" ht="12.7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</row>
    <row r="106" ht="12.7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</row>
    <row r="107" ht="12.7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</row>
    <row r="108" ht="12.7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</row>
    <row r="109" ht="12.7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</row>
    <row r="110" ht="12.7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</row>
    <row r="111" ht="12.7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</row>
    <row r="112" ht="12.7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</row>
    <row r="113" ht="12.7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</row>
    <row r="114" ht="12.7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</row>
    <row r="115" ht="12.7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</row>
    <row r="116" ht="12.7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</row>
    <row r="117" ht="12.7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</row>
    <row r="118" ht="12.7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</row>
    <row r="119" ht="12.7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</row>
    <row r="120" ht="12.7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</row>
    <row r="121" ht="12.7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</row>
    <row r="122" ht="12.7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</row>
    <row r="123" ht="12.7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</row>
    <row r="124" ht="12.7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</row>
    <row r="125" ht="12.7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</row>
    <row r="126" ht="12.7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</row>
    <row r="127" ht="12.7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</row>
    <row r="128" ht="12.7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</row>
    <row r="129" ht="12.7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</row>
    <row r="130" ht="12.7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</row>
    <row r="131" ht="12.7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</row>
    <row r="132" ht="12.7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</row>
    <row r="133" ht="12.7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</row>
    <row r="134" ht="12.7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</row>
    <row r="135" ht="12.7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</row>
    <row r="136" ht="12.7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</row>
    <row r="137" ht="12.7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</row>
    <row r="138" ht="12.7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</row>
    <row r="139" ht="12.7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</row>
    <row r="140" ht="12.7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</row>
    <row r="141" ht="12.7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</row>
    <row r="142" ht="12.7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</row>
    <row r="143" ht="12.7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</row>
    <row r="144" ht="12.7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</row>
    <row r="145" ht="12.7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</row>
    <row r="146" ht="12.7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</row>
    <row r="147" ht="12.7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</row>
    <row r="148" ht="12.7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</row>
    <row r="149" ht="12.7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</row>
    <row r="150" ht="12.7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</row>
    <row r="151" ht="12.7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</row>
    <row r="152" ht="12.7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</row>
    <row r="153" ht="12.7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</row>
    <row r="154" ht="12.7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</row>
    <row r="155" ht="12.7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</row>
    <row r="156" ht="12.7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</row>
    <row r="157" ht="12.7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</row>
    <row r="158" ht="12.7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</row>
    <row r="159" ht="12.7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</row>
    <row r="160" ht="12.7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</row>
    <row r="161" ht="12.7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</row>
    <row r="162" ht="12.7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</row>
    <row r="163" ht="12.7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</row>
    <row r="164" ht="12.7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</row>
    <row r="165" ht="12.7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</row>
    <row r="166" ht="12.7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</row>
    <row r="167" ht="12.7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</row>
    <row r="168" ht="12.7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</row>
    <row r="169" ht="12.7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</row>
    <row r="170" ht="12.7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</row>
    <row r="171" ht="12.7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</row>
    <row r="172" ht="12.7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</row>
    <row r="173" ht="12.7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</row>
    <row r="174" ht="12.7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</row>
    <row r="175" ht="12.7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</row>
    <row r="176" ht="12.7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</row>
    <row r="177" ht="12.7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</row>
    <row r="178" ht="12.7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</row>
    <row r="179" ht="12.7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</row>
    <row r="180" ht="12.7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</row>
    <row r="181" ht="12.7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</row>
    <row r="182" ht="12.7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</row>
    <row r="183" ht="12.7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</row>
    <row r="184" ht="12.7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</row>
    <row r="185" ht="12.7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</row>
    <row r="186" ht="12.7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</row>
    <row r="187" ht="12.7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</row>
    <row r="188" ht="12.7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</row>
    <row r="189" ht="12.7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</row>
    <row r="190" ht="12.7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</row>
    <row r="191" ht="12.7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</row>
    <row r="192" ht="12.7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</row>
    <row r="193" ht="12.7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</row>
    <row r="194" ht="12.7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</row>
    <row r="195" ht="12.7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</row>
    <row r="196" ht="12.7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</row>
    <row r="197" ht="12.7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</row>
    <row r="198" ht="12.7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</row>
    <row r="199" ht="12.7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</row>
    <row r="200" ht="12.7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</row>
    <row r="201" ht="12.7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</row>
    <row r="202" ht="12.7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</row>
    <row r="203" ht="12.7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</row>
    <row r="204" ht="12.7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</row>
    <row r="205" ht="12.7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</row>
    <row r="206" ht="12.7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</row>
    <row r="207" ht="12.7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</row>
    <row r="208" ht="12.7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</row>
    <row r="209" ht="12.7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</row>
    <row r="210" ht="12.7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</row>
    <row r="211" ht="12.7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</row>
    <row r="212" ht="12.7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</row>
    <row r="213" ht="12.7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</row>
    <row r="214" ht="12.7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</row>
    <row r="215" ht="12.7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</row>
    <row r="216" ht="12.7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</row>
    <row r="217" ht="12.7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</row>
    <row r="218" ht="12.7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</row>
    <row r="219" ht="12.7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</row>
    <row r="220" ht="12.7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L1:R1"/>
    <mergeCell ref="AE1:AS1"/>
    <mergeCell ref="AW1:AY1"/>
    <mergeCell ref="S1:AD1"/>
  </mergeCell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25"/>
    <col customWidth="1" min="3" max="11" width="9.25"/>
    <col customWidth="1" min="12" max="16" width="10.13"/>
    <col customWidth="1" min="17" max="20" width="9.25"/>
    <col customWidth="1" min="21" max="24" width="11.13"/>
    <col customWidth="1" min="25" max="30" width="9.25"/>
    <col customWidth="1" min="31" max="31" width="12.75"/>
    <col customWidth="1" min="32" max="32" width="15.25"/>
    <col customWidth="1" min="33" max="38" width="9.25"/>
    <col customWidth="1" min="39" max="41" width="12.13"/>
    <col customWidth="1" min="42" max="45" width="21.38"/>
    <col customWidth="1" min="46" max="46" width="10.63"/>
    <col customWidth="1" min="47" max="49" width="9.25"/>
    <col customWidth="1" min="50" max="51" width="12.25"/>
    <col customWidth="1" min="52" max="52" width="9.25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31" t="s">
        <v>0</v>
      </c>
      <c r="M1" s="32"/>
      <c r="N1" s="32"/>
      <c r="O1" s="32"/>
      <c r="P1" s="32"/>
      <c r="Q1" s="1"/>
      <c r="R1" s="1"/>
      <c r="S1" s="1"/>
      <c r="T1" s="1"/>
      <c r="U1" s="33" t="s">
        <v>1</v>
      </c>
      <c r="V1" s="32"/>
      <c r="W1" s="32"/>
      <c r="X1" s="32"/>
      <c r="Y1" s="34"/>
      <c r="Z1" s="34"/>
      <c r="AA1" s="34"/>
      <c r="AB1" s="34"/>
      <c r="AC1" s="34"/>
      <c r="AD1" s="34"/>
      <c r="AE1" s="34"/>
      <c r="AF1" s="34"/>
      <c r="AG1" s="34"/>
      <c r="AH1" s="35" t="s">
        <v>2</v>
      </c>
      <c r="AI1" s="32"/>
      <c r="AJ1" s="32"/>
      <c r="AK1" s="32"/>
      <c r="AL1" s="32"/>
      <c r="AM1" s="32"/>
      <c r="AN1" s="7"/>
      <c r="AO1" s="7"/>
      <c r="AP1" s="36" t="s">
        <v>3</v>
      </c>
      <c r="AQ1" s="32"/>
      <c r="AR1" s="32"/>
      <c r="AS1" s="32"/>
      <c r="AT1" s="8"/>
      <c r="AU1" s="8"/>
      <c r="AV1" s="8"/>
      <c r="AW1" s="8"/>
      <c r="AX1" s="8"/>
      <c r="AY1" s="8"/>
      <c r="AZ1" s="8"/>
    </row>
    <row r="2" ht="99.75" customHeight="1">
      <c r="A2" s="37" t="s">
        <v>5</v>
      </c>
      <c r="B2" s="37" t="s">
        <v>64</v>
      </c>
      <c r="C2" s="37" t="s">
        <v>8</v>
      </c>
      <c r="D2" s="37" t="s">
        <v>65</v>
      </c>
      <c r="E2" s="37" t="s">
        <v>10</v>
      </c>
      <c r="F2" s="37" t="s">
        <v>11</v>
      </c>
      <c r="G2" s="37" t="s">
        <v>12</v>
      </c>
      <c r="H2" s="37" t="s">
        <v>13</v>
      </c>
      <c r="I2" s="37" t="s">
        <v>14</v>
      </c>
      <c r="J2" s="38" t="s">
        <v>15</v>
      </c>
      <c r="K2" s="38" t="s">
        <v>66</v>
      </c>
      <c r="L2" s="39" t="s">
        <v>17</v>
      </c>
      <c r="M2" s="40" t="s">
        <v>18</v>
      </c>
      <c r="N2" s="40" t="s">
        <v>19</v>
      </c>
      <c r="O2" s="40" t="s">
        <v>20</v>
      </c>
      <c r="P2" s="40" t="s">
        <v>21</v>
      </c>
      <c r="Q2" s="41" t="s">
        <v>67</v>
      </c>
      <c r="R2" s="42" t="s">
        <v>68</v>
      </c>
      <c r="S2" s="41" t="s">
        <v>69</v>
      </c>
      <c r="T2" s="42" t="s">
        <v>70</v>
      </c>
      <c r="U2" s="43" t="s">
        <v>71</v>
      </c>
      <c r="V2" s="43" t="s">
        <v>72</v>
      </c>
      <c r="W2" s="43" t="s">
        <v>73</v>
      </c>
      <c r="X2" s="43" t="s">
        <v>74</v>
      </c>
      <c r="Y2" s="42" t="s">
        <v>34</v>
      </c>
      <c r="Z2" s="42" t="s">
        <v>35</v>
      </c>
      <c r="AA2" s="42" t="s">
        <v>36</v>
      </c>
      <c r="AB2" s="44" t="s">
        <v>37</v>
      </c>
      <c r="AC2" s="42" t="s">
        <v>38</v>
      </c>
      <c r="AD2" s="42" t="s">
        <v>39</v>
      </c>
      <c r="AE2" s="42" t="s">
        <v>40</v>
      </c>
      <c r="AF2" s="42" t="s">
        <v>41</v>
      </c>
      <c r="AG2" s="42" t="s">
        <v>42</v>
      </c>
      <c r="AH2" s="45" t="s">
        <v>43</v>
      </c>
      <c r="AI2" s="45" t="s">
        <v>44</v>
      </c>
      <c r="AJ2" s="45" t="s">
        <v>45</v>
      </c>
      <c r="AK2" s="45" t="s">
        <v>46</v>
      </c>
      <c r="AL2" s="45" t="s">
        <v>47</v>
      </c>
      <c r="AM2" s="46" t="s">
        <v>48</v>
      </c>
      <c r="AN2" s="47" t="s">
        <v>75</v>
      </c>
      <c r="AO2" s="38" t="s">
        <v>51</v>
      </c>
      <c r="AP2" s="48" t="s">
        <v>52</v>
      </c>
      <c r="AQ2" s="48" t="s">
        <v>53</v>
      </c>
      <c r="AR2" s="49" t="s">
        <v>54</v>
      </c>
      <c r="AS2" s="49" t="s">
        <v>76</v>
      </c>
      <c r="AT2" s="18"/>
      <c r="AU2" s="19"/>
      <c r="AV2" s="19"/>
      <c r="AW2" s="19"/>
      <c r="AX2" s="19"/>
      <c r="AY2" s="19"/>
      <c r="AZ2" s="19"/>
    </row>
    <row r="3" ht="12.75" customHeight="1">
      <c r="A3" s="28" t="s">
        <v>77</v>
      </c>
      <c r="B3" s="28" t="s">
        <v>77</v>
      </c>
      <c r="C3" s="28" t="s">
        <v>77</v>
      </c>
      <c r="D3" s="28" t="s">
        <v>77</v>
      </c>
      <c r="E3" s="28" t="s">
        <v>77</v>
      </c>
      <c r="F3" s="28" t="s">
        <v>77</v>
      </c>
      <c r="G3" s="28" t="s">
        <v>77</v>
      </c>
      <c r="H3" s="28" t="s">
        <v>77</v>
      </c>
      <c r="I3" s="28" t="s">
        <v>77</v>
      </c>
      <c r="J3" s="28" t="s">
        <v>77</v>
      </c>
      <c r="K3" s="28" t="s">
        <v>77</v>
      </c>
      <c r="L3" s="50" t="s">
        <v>78</v>
      </c>
      <c r="M3" s="50" t="s">
        <v>78</v>
      </c>
      <c r="N3" s="50" t="s">
        <v>78</v>
      </c>
      <c r="O3" s="50" t="s">
        <v>78</v>
      </c>
      <c r="P3" s="50" t="s">
        <v>78</v>
      </c>
      <c r="Q3" s="28" t="s">
        <v>77</v>
      </c>
      <c r="R3" s="28" t="s">
        <v>77</v>
      </c>
      <c r="S3" s="28" t="s">
        <v>77</v>
      </c>
      <c r="T3" s="28" t="s">
        <v>77</v>
      </c>
      <c r="U3" s="51" t="s">
        <v>78</v>
      </c>
      <c r="V3" s="51" t="s">
        <v>78</v>
      </c>
      <c r="W3" s="51" t="s">
        <v>78</v>
      </c>
      <c r="X3" s="51" t="s">
        <v>78</v>
      </c>
      <c r="Y3" s="28" t="s">
        <v>77</v>
      </c>
      <c r="Z3" s="28" t="s">
        <v>77</v>
      </c>
      <c r="AA3" s="28" t="s">
        <v>79</v>
      </c>
      <c r="AB3" s="28" t="s">
        <v>79</v>
      </c>
      <c r="AC3" s="28" t="s">
        <v>79</v>
      </c>
      <c r="AD3" s="28" t="s">
        <v>77</v>
      </c>
      <c r="AE3" s="28" t="s">
        <v>77</v>
      </c>
      <c r="AF3" s="28" t="s">
        <v>79</v>
      </c>
      <c r="AG3" s="28" t="s">
        <v>79</v>
      </c>
      <c r="AH3" s="52" t="s">
        <v>78</v>
      </c>
      <c r="AI3" s="52" t="s">
        <v>78</v>
      </c>
      <c r="AJ3" s="52" t="s">
        <v>78</v>
      </c>
      <c r="AK3" s="52" t="s">
        <v>78</v>
      </c>
      <c r="AL3" s="52" t="s">
        <v>78</v>
      </c>
      <c r="AM3" s="52" t="s">
        <v>78</v>
      </c>
      <c r="AN3" s="28" t="s">
        <v>77</v>
      </c>
      <c r="AO3" s="28" t="s">
        <v>77</v>
      </c>
      <c r="AP3" s="53" t="s">
        <v>78</v>
      </c>
      <c r="AQ3" s="53" t="s">
        <v>78</v>
      </c>
      <c r="AR3" s="53" t="s">
        <v>78</v>
      </c>
      <c r="AS3" s="53" t="s">
        <v>78</v>
      </c>
      <c r="AT3" s="28"/>
      <c r="AU3" s="28"/>
      <c r="AV3" s="28"/>
      <c r="AW3" s="28"/>
      <c r="AX3" s="28"/>
      <c r="AY3" s="28"/>
      <c r="AZ3" s="28"/>
    </row>
    <row r="4" ht="12.75" customHeight="1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30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</row>
    <row r="5" ht="12.75" customHeight="1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</row>
    <row r="6" ht="12.75" customHeight="1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</row>
    <row r="7" ht="12.75" customHeight="1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</row>
    <row r="8" ht="12.75" customHeight="1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</row>
    <row r="9" ht="12.75" customHeight="1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</row>
    <row r="10" ht="12.75" customHeight="1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</row>
    <row r="11" ht="12.75" customHeight="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</row>
    <row r="12" ht="12.75" customHeight="1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</row>
    <row r="13" ht="12.75" customHeight="1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</row>
    <row r="14" ht="12.75" customHeight="1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</row>
    <row r="15" ht="12.75" customHeight="1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</row>
    <row r="16" ht="12.75" customHeight="1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</row>
    <row r="17" ht="12.75" customHeight="1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</row>
    <row r="18" ht="12.75" customHeigh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</row>
    <row r="19" ht="12.75" customHeigh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</row>
    <row r="20" ht="12.75" customHeigh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</row>
    <row r="21" ht="12.75" customHeigh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</row>
    <row r="22" ht="12.75" customHeigh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</row>
    <row r="23" ht="12.75" customHeigh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</row>
    <row r="24" ht="12.75" customHeigh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</row>
    <row r="25" ht="12.75" customHeigh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</row>
    <row r="26" ht="12.75" customHeigh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</row>
    <row r="27" ht="12.75" customHeigh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</row>
    <row r="28" ht="12.75" customHeight="1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</row>
    <row r="29" ht="12.75" customHeight="1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</row>
    <row r="30" ht="12.75" customHeight="1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</row>
    <row r="31" ht="12.75" customHeight="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</row>
    <row r="32" ht="12.75" customHeight="1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</row>
    <row r="33" ht="12.75" customHeight="1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</row>
    <row r="34" ht="12.75" customHeight="1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</row>
    <row r="35" ht="12.75" customHeight="1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</row>
    <row r="36" ht="12.75" customHeight="1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</row>
    <row r="37" ht="12.75" customHeight="1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</row>
    <row r="38" ht="12.75" customHeight="1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</row>
    <row r="39" ht="12.75" customHeight="1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</row>
    <row r="40" ht="12.75" customHeight="1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</row>
    <row r="41" ht="12.75" customHeight="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</row>
    <row r="42" ht="12.75" customHeight="1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</row>
    <row r="43" ht="12.75" customHeight="1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</row>
    <row r="44" ht="12.75" customHeight="1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</row>
    <row r="45" ht="12.75" customHeight="1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</row>
    <row r="46" ht="12.75" customHeight="1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</row>
    <row r="47" ht="12.75" customHeight="1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</row>
    <row r="48" ht="12.75" customHeight="1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</row>
    <row r="49" ht="12.75" customHeight="1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</row>
    <row r="50" ht="12.75" customHeight="1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</row>
    <row r="51" ht="12.75" customHeight="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</row>
    <row r="52" ht="12.75" customHeight="1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</row>
    <row r="53" ht="12.75" customHeight="1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</row>
    <row r="54" ht="12.75" customHeight="1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</row>
    <row r="55" ht="12.75" customHeight="1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</row>
    <row r="56" ht="12.75" customHeight="1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</row>
    <row r="57" ht="12.75" customHeight="1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</row>
    <row r="58" ht="12.75" customHeight="1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</row>
    <row r="59" ht="12.75" customHeight="1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</row>
    <row r="60" ht="12.7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</row>
    <row r="61" ht="12.7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</row>
    <row r="62" ht="12.7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</row>
    <row r="63" ht="12.7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</row>
    <row r="64" ht="12.7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</row>
    <row r="65" ht="12.7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</row>
    <row r="66" ht="12.7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</row>
    <row r="67" ht="12.7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</row>
    <row r="68" ht="12.7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</row>
    <row r="69" ht="12.7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</row>
    <row r="70" ht="12.7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</row>
    <row r="71" ht="12.7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</row>
    <row r="72" ht="12.7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</row>
    <row r="73" ht="12.7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</row>
    <row r="74" ht="12.7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</row>
    <row r="75" ht="12.7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</row>
    <row r="76" ht="12.7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</row>
    <row r="77" ht="12.7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</row>
    <row r="78" ht="12.7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</row>
    <row r="79" ht="12.7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</row>
    <row r="80" ht="12.7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</row>
    <row r="81" ht="12.7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</row>
    <row r="82" ht="12.7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</row>
    <row r="83" ht="12.7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</row>
    <row r="84" ht="12.7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</row>
    <row r="85" ht="12.7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</row>
    <row r="86" ht="12.7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</row>
    <row r="87" ht="12.7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</row>
    <row r="88" ht="12.7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</row>
    <row r="89" ht="12.7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</row>
    <row r="90" ht="12.7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</row>
    <row r="91" ht="12.7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</row>
    <row r="92" ht="12.7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</row>
    <row r="93" ht="12.7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</row>
    <row r="94" ht="12.7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</row>
    <row r="95" ht="12.7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</row>
    <row r="96" ht="12.7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</row>
    <row r="97" ht="12.7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</row>
    <row r="98" ht="12.7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</row>
    <row r="99" ht="12.7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</row>
    <row r="100" ht="12.7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</row>
    <row r="101" ht="12.7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</row>
    <row r="102" ht="12.7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</row>
    <row r="103" ht="12.7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</row>
    <row r="104" ht="12.7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</row>
    <row r="105" ht="12.7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</row>
    <row r="106" ht="12.7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</row>
    <row r="107" ht="12.7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</row>
    <row r="108" ht="12.7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</row>
    <row r="109" ht="12.7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</row>
    <row r="110" ht="12.7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</row>
    <row r="111" ht="12.7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</row>
    <row r="112" ht="12.7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</row>
    <row r="113" ht="12.7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</row>
    <row r="114" ht="12.7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</row>
    <row r="115" ht="12.7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</row>
    <row r="116" ht="12.7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</row>
    <row r="117" ht="12.7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</row>
    <row r="118" ht="12.7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</row>
    <row r="119" ht="12.7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</row>
    <row r="120" ht="12.7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</row>
    <row r="121" ht="12.7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</row>
    <row r="122" ht="12.7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</row>
    <row r="123" ht="12.7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</row>
    <row r="124" ht="12.7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</row>
    <row r="125" ht="12.7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</row>
    <row r="126" ht="12.7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</row>
    <row r="127" ht="12.7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</row>
    <row r="128" ht="12.7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</row>
    <row r="129" ht="12.7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</row>
    <row r="130" ht="12.7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</row>
    <row r="131" ht="12.7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</row>
    <row r="132" ht="12.7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</row>
    <row r="133" ht="12.7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</row>
    <row r="134" ht="12.7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</row>
    <row r="135" ht="12.7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</row>
    <row r="136" ht="12.7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</row>
    <row r="137" ht="12.7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</row>
    <row r="138" ht="12.7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</row>
    <row r="139" ht="12.7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</row>
    <row r="140" ht="12.7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</row>
    <row r="141" ht="12.7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</row>
    <row r="142" ht="12.7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</row>
    <row r="143" ht="12.7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</row>
    <row r="144" ht="12.7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</row>
    <row r="145" ht="12.7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</row>
    <row r="146" ht="12.7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</row>
    <row r="147" ht="12.7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</row>
    <row r="148" ht="12.7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</row>
    <row r="149" ht="12.7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</row>
    <row r="150" ht="12.7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</row>
    <row r="151" ht="12.7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</row>
    <row r="152" ht="12.7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</row>
    <row r="153" ht="12.7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</row>
    <row r="154" ht="12.7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</row>
    <row r="155" ht="12.7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</row>
    <row r="156" ht="12.7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</row>
    <row r="157" ht="12.7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</row>
    <row r="158" ht="12.7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</row>
    <row r="159" ht="12.7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</row>
    <row r="160" ht="12.7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</row>
    <row r="161" ht="12.7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</row>
    <row r="162" ht="12.7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</row>
    <row r="163" ht="12.7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</row>
    <row r="164" ht="12.7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</row>
    <row r="165" ht="12.7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</row>
    <row r="166" ht="12.7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</row>
    <row r="167" ht="12.7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</row>
    <row r="168" ht="12.7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</row>
    <row r="169" ht="12.7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</row>
    <row r="170" ht="12.7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</row>
    <row r="171" ht="12.7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</row>
    <row r="172" ht="12.7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</row>
    <row r="173" ht="12.7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</row>
    <row r="174" ht="12.7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</row>
    <row r="175" ht="12.7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</row>
    <row r="176" ht="12.7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</row>
    <row r="177" ht="12.7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</row>
    <row r="178" ht="12.7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</row>
    <row r="179" ht="12.7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</row>
    <row r="180" ht="12.7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</row>
    <row r="181" ht="12.7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</row>
    <row r="182" ht="12.7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</row>
    <row r="183" ht="12.7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</row>
    <row r="184" ht="12.7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</row>
    <row r="185" ht="12.7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</row>
    <row r="186" ht="12.7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</row>
    <row r="187" ht="12.7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</row>
    <row r="188" ht="12.7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</row>
    <row r="189" ht="12.7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</row>
    <row r="190" ht="12.7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</row>
    <row r="191" ht="12.7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</row>
    <row r="192" ht="12.7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</row>
    <row r="193" ht="12.7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</row>
    <row r="194" ht="12.7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</row>
    <row r="195" ht="12.7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</row>
    <row r="196" ht="12.7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</row>
    <row r="197" ht="12.7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</row>
    <row r="198" ht="12.7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</row>
    <row r="199" ht="12.7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</row>
    <row r="200" ht="12.7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</row>
    <row r="201" ht="12.7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</row>
    <row r="202" ht="12.7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</row>
    <row r="203" ht="12.7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</row>
    <row r="204" ht="12.7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</row>
    <row r="205" ht="12.7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</row>
    <row r="206" ht="12.7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</row>
    <row r="207" ht="12.7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</row>
    <row r="208" ht="12.7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</row>
    <row r="209" ht="12.7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</row>
    <row r="210" ht="12.7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</row>
    <row r="211" ht="12.7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</row>
    <row r="212" ht="12.7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</row>
    <row r="213" ht="12.7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</row>
    <row r="214" ht="12.7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</row>
    <row r="215" ht="12.7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</row>
    <row r="216" ht="12.7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</row>
    <row r="217" ht="12.7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</row>
    <row r="218" ht="12.7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</row>
    <row r="219" ht="12.7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</row>
    <row r="220" ht="12.7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L1:P1"/>
    <mergeCell ref="U1:X1"/>
    <mergeCell ref="AH1:AM1"/>
    <mergeCell ref="AP1:AS1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9.13"/>
    <col customWidth="1" min="4" max="4" width="30.75"/>
    <col customWidth="1" min="5" max="9" width="9.13"/>
    <col customWidth="1" min="10" max="10" width="10.38"/>
    <col customWidth="1" min="11" max="44" width="9.13"/>
    <col customWidth="1" min="45" max="45" width="13.13"/>
    <col customWidth="1" min="46" max="62" width="9.13"/>
    <col customWidth="1" min="63" max="63" width="12.63"/>
    <col customWidth="1" min="64" max="67" width="9.13"/>
  </cols>
  <sheetData>
    <row r="1" ht="151.5" customHeight="1">
      <c r="A1" s="54"/>
      <c r="B1" s="54"/>
      <c r="C1" s="54"/>
      <c r="D1" s="55" t="s">
        <v>80</v>
      </c>
      <c r="E1" s="54"/>
      <c r="F1" s="54"/>
      <c r="G1" s="54"/>
      <c r="H1" s="56" t="s">
        <v>81</v>
      </c>
      <c r="I1" s="57"/>
      <c r="J1" s="56" t="s">
        <v>82</v>
      </c>
      <c r="K1" s="55" t="s">
        <v>83</v>
      </c>
      <c r="L1" s="55" t="s">
        <v>84</v>
      </c>
      <c r="M1" s="55" t="s">
        <v>85</v>
      </c>
      <c r="N1" s="19" t="s">
        <v>86</v>
      </c>
      <c r="O1" s="57"/>
      <c r="P1" s="19" t="s">
        <v>87</v>
      </c>
      <c r="Q1" s="57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6" t="s">
        <v>88</v>
      </c>
      <c r="AL1" s="34" t="s">
        <v>89</v>
      </c>
      <c r="AM1" s="34" t="s">
        <v>90</v>
      </c>
      <c r="AN1" s="34" t="s">
        <v>91</v>
      </c>
      <c r="AO1" s="34" t="s">
        <v>92</v>
      </c>
      <c r="AP1" s="54"/>
      <c r="AQ1" s="54"/>
      <c r="AR1" s="58" t="s">
        <v>93</v>
      </c>
      <c r="AS1" s="59" t="s">
        <v>94</v>
      </c>
      <c r="AT1" s="59" t="s">
        <v>95</v>
      </c>
      <c r="AU1" s="59" t="s">
        <v>96</v>
      </c>
      <c r="AV1" s="59" t="s">
        <v>97</v>
      </c>
      <c r="AW1" s="59" t="s">
        <v>98</v>
      </c>
      <c r="AX1" s="60"/>
      <c r="AY1" s="61" t="s">
        <v>99</v>
      </c>
      <c r="AZ1" s="61" t="s">
        <v>100</v>
      </c>
      <c r="BA1" s="54"/>
      <c r="BB1" s="54"/>
      <c r="BC1" s="54"/>
      <c r="BD1" s="18" t="s">
        <v>101</v>
      </c>
      <c r="BE1" s="18" t="s">
        <v>102</v>
      </c>
      <c r="BF1" s="62"/>
      <c r="BG1" s="63"/>
      <c r="BH1" s="62"/>
      <c r="BI1" s="63"/>
      <c r="BJ1" s="54"/>
      <c r="BK1" s="54"/>
      <c r="BL1" s="64" t="s">
        <v>103</v>
      </c>
      <c r="BM1" s="65" t="s">
        <v>104</v>
      </c>
      <c r="BN1" s="64" t="s">
        <v>105</v>
      </c>
      <c r="BO1" s="66" t="s">
        <v>106</v>
      </c>
    </row>
    <row r="2" ht="12.75" customHeight="1">
      <c r="A2" s="29"/>
      <c r="B2" s="67"/>
      <c r="C2" s="68"/>
      <c r="D2" s="29"/>
      <c r="E2" s="69"/>
      <c r="F2" s="69"/>
      <c r="G2" s="69"/>
      <c r="H2" s="69"/>
      <c r="I2" s="69"/>
      <c r="J2" s="69"/>
      <c r="K2" s="69"/>
      <c r="L2" s="69"/>
      <c r="M2" s="29"/>
      <c r="N2" s="70"/>
      <c r="O2" s="71"/>
      <c r="P2" s="70"/>
      <c r="Q2" s="71"/>
      <c r="R2" s="72"/>
      <c r="S2" s="72"/>
      <c r="T2" s="72"/>
      <c r="U2" s="72"/>
      <c r="V2" s="72"/>
      <c r="W2" s="72"/>
      <c r="X2" s="73"/>
      <c r="Y2" s="73"/>
      <c r="Z2" s="74"/>
      <c r="AA2" s="74"/>
      <c r="AB2" s="75"/>
      <c r="AC2" s="74"/>
      <c r="AD2" s="74"/>
      <c r="AE2" s="74"/>
      <c r="AF2" s="73"/>
      <c r="AG2" s="73"/>
      <c r="AH2" s="74"/>
      <c r="AI2" s="74"/>
      <c r="AJ2" s="74"/>
      <c r="AK2" s="76"/>
      <c r="AL2" s="77" t="str">
        <f>dateDiff(S2,R2)</f>
        <v>#NAME?</v>
      </c>
      <c r="AM2" s="77" t="str">
        <f>dateDiff(T2,R2)</f>
        <v>#NAME?</v>
      </c>
      <c r="AN2" s="77" t="str">
        <f>dateDiff(U2,R2)</f>
        <v>#NAME?</v>
      </c>
      <c r="AO2" s="77" t="str">
        <f>dateDiff(V2,R2)</f>
        <v>#NAME?</v>
      </c>
      <c r="AP2" s="77"/>
      <c r="AQ2" s="77"/>
      <c r="AR2" s="29"/>
      <c r="AS2" s="78" t="str">
        <f>IF(AND(AM2&gt;0,AN2&gt;0),AN2-AM2,0)</f>
        <v>#NAME?</v>
      </c>
      <c r="AT2" s="78">
        <f>IF(A2="ONG",AN2,IF(OR(A2="COM",A2="FIN"),AO2,0))</f>
        <v>0</v>
      </c>
      <c r="AU2" s="78">
        <f>IF(OR(A2="ONG", A2 = "COM",A2="FIN"),AL2,0)</f>
        <v>0</v>
      </c>
      <c r="AV2" s="78">
        <f>IF(AND(OR(A2="ONG", A2 = "COM",A2="FIN"),OR(I2="CPG",I2="TAS",I2="TRA",I2="INS")),AL2,0)</f>
        <v>0</v>
      </c>
      <c r="AW2" s="78">
        <f>IF(AND(A2="ONG",OR(I2="CPG",I2="TAS",I2="TRA")),AN2,IF(AND(OR(A2="COM",A2="FIN"),OR(I2="CPG",I2="TAS",I2="TRA")),AO2,0))</f>
        <v>0</v>
      </c>
      <c r="AX2" s="77"/>
      <c r="AY2" s="79"/>
      <c r="AZ2" s="29"/>
      <c r="BA2" s="29"/>
      <c r="BB2" s="67"/>
      <c r="BC2" s="79"/>
      <c r="BD2" s="79"/>
      <c r="BE2" s="79"/>
      <c r="BF2" s="71"/>
      <c r="BG2" s="71"/>
      <c r="BH2" s="71"/>
      <c r="BI2" s="71"/>
      <c r="BJ2" s="71"/>
      <c r="BK2" s="71"/>
      <c r="BL2" s="80" t="str">
        <f>IF(C2&lt;&gt;"ONG","",IF(W2&lt;&gt;"",W2-V2,(DATE(2021,8,1)-V2)))</f>
        <v/>
      </c>
      <c r="BM2" s="81" t="str">
        <f>IF(C2&lt;&gt;"ONG","",(BL2/30)*((P2+R2-Q2-S2)/12))</f>
        <v/>
      </c>
      <c r="BN2" s="76" t="str">
        <f>IF(C2&lt;&gt;"ONG","",((DATE(2021,12,1)-T2))/30)</f>
        <v/>
      </c>
      <c r="BO2" s="29" t="str">
        <f>IF(C2&lt;&gt;"ONG","Exclude",IF(K2="INS","Exclude",IF(K2="DEM","Exclude",IF(K2="PRP","Exclude",IF(BQ2="Banking","Exclude",IF(BQ2="Recovery/recycling","Exclude",IF(BQ2="Refrigerant management plan","Exclude","")))))))</f>
        <v>Exclude</v>
      </c>
    </row>
    <row r="3" ht="12.75" customHeight="1">
      <c r="A3" s="82"/>
      <c r="B3" s="67"/>
      <c r="C3" s="68"/>
      <c r="D3" s="29"/>
      <c r="E3" s="69"/>
      <c r="F3" s="69"/>
      <c r="G3" s="69"/>
      <c r="H3" s="69"/>
      <c r="I3" s="69"/>
      <c r="J3" s="69"/>
      <c r="K3" s="69"/>
      <c r="L3" s="69"/>
      <c r="M3" s="29"/>
      <c r="N3" s="70"/>
      <c r="O3" s="71"/>
      <c r="P3" s="70"/>
      <c r="Q3" s="71"/>
      <c r="R3" s="72"/>
      <c r="S3" s="72"/>
      <c r="T3" s="72"/>
      <c r="U3" s="72"/>
      <c r="V3" s="72"/>
      <c r="W3" s="72"/>
      <c r="X3" s="73"/>
      <c r="Y3" s="73"/>
      <c r="Z3" s="74"/>
      <c r="AA3" s="74"/>
      <c r="AB3" s="75"/>
      <c r="AC3" s="74"/>
      <c r="AD3" s="74"/>
      <c r="AE3" s="74"/>
      <c r="AF3" s="73"/>
      <c r="AG3" s="73"/>
      <c r="AH3" s="74"/>
      <c r="AI3" s="74"/>
      <c r="AJ3" s="74"/>
      <c r="AK3" s="76"/>
      <c r="AL3" s="77"/>
      <c r="AM3" s="77"/>
      <c r="AN3" s="77"/>
      <c r="AO3" s="77"/>
      <c r="AP3" s="77"/>
      <c r="AQ3" s="77"/>
      <c r="AR3" s="29"/>
      <c r="AS3" s="78"/>
      <c r="AT3" s="78"/>
      <c r="AU3" s="78"/>
      <c r="AV3" s="78"/>
      <c r="AW3" s="78"/>
      <c r="AX3" s="77"/>
      <c r="AY3" s="79"/>
      <c r="AZ3" s="29"/>
      <c r="BA3" s="29"/>
      <c r="BB3" s="67"/>
      <c r="BC3" s="79"/>
      <c r="BD3" s="79"/>
      <c r="BE3" s="79"/>
      <c r="BF3" s="71"/>
      <c r="BG3" s="71"/>
      <c r="BH3" s="71"/>
      <c r="BI3" s="71"/>
      <c r="BJ3" s="71"/>
      <c r="BK3" s="71"/>
      <c r="BL3" s="80"/>
      <c r="BM3" s="81"/>
      <c r="BN3" s="76"/>
      <c r="BO3" s="29"/>
    </row>
    <row r="4" ht="12.75" customHeight="1">
      <c r="A4" s="82"/>
      <c r="B4" s="29"/>
      <c r="C4" s="29"/>
      <c r="D4" s="29"/>
      <c r="E4" s="69"/>
      <c r="F4" s="69"/>
      <c r="G4" s="69"/>
      <c r="H4" s="69"/>
      <c r="I4" s="69"/>
      <c r="J4" s="69"/>
      <c r="K4" s="69"/>
      <c r="L4" s="69"/>
      <c r="M4" s="29"/>
      <c r="N4" s="29"/>
      <c r="O4" s="29"/>
      <c r="P4" s="29"/>
      <c r="Q4" s="29"/>
      <c r="R4" s="29"/>
      <c r="S4" s="29"/>
      <c r="T4" s="29"/>
      <c r="U4" s="72"/>
      <c r="V4" s="72"/>
      <c r="W4" s="72"/>
      <c r="X4" s="72"/>
      <c r="Y4" s="72"/>
      <c r="Z4" s="29"/>
      <c r="AA4" s="29"/>
      <c r="AB4" s="29"/>
      <c r="AC4" s="29"/>
      <c r="AD4" s="75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72"/>
      <c r="BN4" s="72"/>
      <c r="BO4" s="29"/>
    </row>
    <row r="5" ht="12.75" customHeight="1">
      <c r="A5" s="29"/>
      <c r="B5" s="29"/>
      <c r="C5" s="29"/>
      <c r="D5" s="29"/>
      <c r="E5" s="69"/>
      <c r="F5" s="69"/>
      <c r="G5" s="69"/>
      <c r="H5" s="69"/>
      <c r="I5" s="69"/>
      <c r="J5" s="69"/>
      <c r="K5" s="69"/>
      <c r="L5" s="69"/>
      <c r="M5" s="29"/>
      <c r="N5" s="29"/>
      <c r="O5" s="29"/>
      <c r="P5" s="29"/>
      <c r="Q5" s="29"/>
      <c r="R5" s="29"/>
      <c r="S5" s="29"/>
      <c r="T5" s="29"/>
      <c r="U5" s="72"/>
      <c r="V5" s="72"/>
      <c r="W5" s="72"/>
      <c r="X5" s="72"/>
      <c r="Y5" s="72"/>
      <c r="Z5" s="29"/>
      <c r="AA5" s="29"/>
      <c r="AB5" s="29"/>
      <c r="AC5" s="29"/>
      <c r="AD5" s="75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72"/>
      <c r="BN5" s="72"/>
      <c r="BO5" s="29"/>
    </row>
    <row r="6" ht="12.75" customHeight="1">
      <c r="A6" s="29"/>
      <c r="B6" s="29"/>
      <c r="C6" s="29"/>
      <c r="D6" s="29"/>
      <c r="E6" s="69"/>
      <c r="F6" s="69"/>
      <c r="G6" s="69"/>
      <c r="H6" s="69"/>
      <c r="I6" s="69"/>
      <c r="J6" s="69"/>
      <c r="K6" s="69"/>
      <c r="L6" s="69"/>
      <c r="M6" s="29"/>
      <c r="N6" s="29"/>
      <c r="O6" s="29"/>
      <c r="P6" s="29"/>
      <c r="Q6" s="29"/>
      <c r="R6" s="29"/>
      <c r="S6" s="29"/>
      <c r="T6" s="29"/>
      <c r="U6" s="72"/>
      <c r="V6" s="72"/>
      <c r="W6" s="72"/>
      <c r="X6" s="72"/>
      <c r="Y6" s="72"/>
      <c r="Z6" s="29"/>
      <c r="AA6" s="29"/>
      <c r="AB6" s="29"/>
      <c r="AC6" s="29"/>
      <c r="AD6" s="75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72"/>
      <c r="BN6" s="72"/>
      <c r="BO6" s="29"/>
    </row>
    <row r="7" ht="12.75" customHeight="1">
      <c r="A7" s="37" t="s">
        <v>5</v>
      </c>
      <c r="B7" s="37" t="s">
        <v>64</v>
      </c>
      <c r="C7" s="83" t="s">
        <v>8</v>
      </c>
      <c r="D7" s="37" t="s">
        <v>65</v>
      </c>
      <c r="E7" s="83" t="s">
        <v>10</v>
      </c>
      <c r="F7" s="83" t="s">
        <v>11</v>
      </c>
      <c r="G7" s="83" t="s">
        <v>12</v>
      </c>
      <c r="H7" s="83" t="s">
        <v>13</v>
      </c>
      <c r="I7" s="83" t="s">
        <v>14</v>
      </c>
      <c r="J7" s="84" t="s">
        <v>15</v>
      </c>
      <c r="K7" s="84" t="s">
        <v>66</v>
      </c>
      <c r="L7" s="83" t="s">
        <v>17</v>
      </c>
      <c r="M7" s="84" t="s">
        <v>18</v>
      </c>
      <c r="N7" s="84" t="s">
        <v>19</v>
      </c>
      <c r="O7" s="84" t="s">
        <v>20</v>
      </c>
      <c r="P7" s="84" t="s">
        <v>21</v>
      </c>
      <c r="Q7" s="41" t="s">
        <v>67</v>
      </c>
      <c r="R7" s="42" t="s">
        <v>68</v>
      </c>
      <c r="S7" s="41" t="s">
        <v>69</v>
      </c>
      <c r="T7" s="42" t="s">
        <v>70</v>
      </c>
      <c r="U7" s="43" t="s">
        <v>71</v>
      </c>
      <c r="V7" s="43" t="s">
        <v>72</v>
      </c>
      <c r="W7" s="43" t="s">
        <v>73</v>
      </c>
      <c r="X7" s="43" t="s">
        <v>74</v>
      </c>
      <c r="Y7" s="62" t="s">
        <v>34</v>
      </c>
      <c r="Z7" s="62" t="s">
        <v>35</v>
      </c>
      <c r="AA7" s="62" t="s">
        <v>36</v>
      </c>
      <c r="AB7" s="85" t="s">
        <v>37</v>
      </c>
      <c r="AC7" s="62" t="s">
        <v>38</v>
      </c>
      <c r="AD7" s="62" t="s">
        <v>39</v>
      </c>
      <c r="AE7" s="62" t="s">
        <v>40</v>
      </c>
      <c r="AF7" s="42" t="s">
        <v>41</v>
      </c>
      <c r="AG7" s="62" t="s">
        <v>42</v>
      </c>
      <c r="AH7" s="62" t="s">
        <v>43</v>
      </c>
      <c r="AI7" s="62" t="s">
        <v>44</v>
      </c>
      <c r="AJ7" s="62" t="s">
        <v>45</v>
      </c>
      <c r="AK7" s="62" t="s">
        <v>46</v>
      </c>
      <c r="AL7" s="62" t="s">
        <v>47</v>
      </c>
      <c r="AM7" s="61" t="s">
        <v>48</v>
      </c>
      <c r="AN7" s="34" t="s">
        <v>107</v>
      </c>
      <c r="AO7" s="84" t="s">
        <v>51</v>
      </c>
      <c r="AP7" s="83" t="s">
        <v>108</v>
      </c>
      <c r="AQ7" s="83" t="s">
        <v>109</v>
      </c>
      <c r="AR7" s="63" t="s">
        <v>54</v>
      </c>
      <c r="AS7" s="19" t="s">
        <v>76</v>
      </c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72"/>
      <c r="BN7" s="72"/>
      <c r="BO7" s="29"/>
    </row>
    <row r="8" ht="12.75" customHeight="1">
      <c r="A8" s="29"/>
      <c r="B8" s="29"/>
      <c r="C8" s="29"/>
      <c r="D8" s="29"/>
      <c r="E8" s="69"/>
      <c r="F8" s="69"/>
      <c r="G8" s="69"/>
      <c r="H8" s="69"/>
      <c r="I8" s="69"/>
      <c r="J8" s="69"/>
      <c r="K8" s="69"/>
      <c r="L8" s="69"/>
      <c r="M8" s="29"/>
      <c r="N8" s="29"/>
      <c r="O8" s="29"/>
      <c r="P8" s="29"/>
      <c r="Q8" s="29"/>
      <c r="R8" s="29"/>
      <c r="S8" s="29"/>
      <c r="T8" s="29"/>
      <c r="U8" s="72"/>
      <c r="V8" s="72"/>
      <c r="W8" s="72"/>
      <c r="X8" s="72"/>
      <c r="Y8" s="72"/>
      <c r="Z8" s="29"/>
      <c r="AA8" s="29"/>
      <c r="AB8" s="29"/>
      <c r="AC8" s="29"/>
      <c r="AD8" s="75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72"/>
      <c r="BN8" s="72"/>
      <c r="BO8" s="29"/>
    </row>
    <row r="9" ht="12.75" customHeight="1">
      <c r="A9" s="29"/>
      <c r="B9" s="29"/>
      <c r="C9" s="29"/>
      <c r="D9" s="29"/>
      <c r="E9" s="69"/>
      <c r="F9" s="69"/>
      <c r="G9" s="69"/>
      <c r="H9" s="69"/>
      <c r="I9" s="69"/>
      <c r="J9" s="69"/>
      <c r="K9" s="69"/>
      <c r="L9" s="69"/>
      <c r="M9" s="29"/>
      <c r="N9" s="29"/>
      <c r="O9" s="29"/>
      <c r="P9" s="29"/>
      <c r="Q9" s="29"/>
      <c r="R9" s="29"/>
      <c r="S9" s="29"/>
      <c r="T9" s="29"/>
      <c r="U9" s="72"/>
      <c r="V9" s="72"/>
      <c r="W9" s="72"/>
      <c r="X9" s="72"/>
      <c r="Y9" s="72"/>
      <c r="Z9" s="29"/>
      <c r="AA9" s="29"/>
      <c r="AB9" s="29"/>
      <c r="AC9" s="29"/>
      <c r="AD9" s="75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72"/>
      <c r="BN9" s="72"/>
      <c r="BO9" s="29"/>
    </row>
    <row r="10" ht="99.75" customHeight="1">
      <c r="A10" s="37" t="s">
        <v>5</v>
      </c>
      <c r="B10" s="37" t="s">
        <v>64</v>
      </c>
      <c r="C10" s="37" t="s">
        <v>8</v>
      </c>
      <c r="D10" s="37" t="s">
        <v>65</v>
      </c>
      <c r="E10" s="37" t="s">
        <v>10</v>
      </c>
      <c r="F10" s="37" t="s">
        <v>11</v>
      </c>
      <c r="G10" s="37" t="s">
        <v>12</v>
      </c>
      <c r="H10" s="37" t="s">
        <v>13</v>
      </c>
      <c r="I10" s="37" t="s">
        <v>14</v>
      </c>
      <c r="J10" s="38" t="s">
        <v>15</v>
      </c>
      <c r="K10" s="38" t="s">
        <v>66</v>
      </c>
      <c r="L10" s="39" t="s">
        <v>17</v>
      </c>
      <c r="M10" s="40" t="s">
        <v>18</v>
      </c>
      <c r="N10" s="40" t="s">
        <v>19</v>
      </c>
      <c r="O10" s="40" t="s">
        <v>20</v>
      </c>
      <c r="P10" s="40" t="s">
        <v>21</v>
      </c>
      <c r="Q10" s="41" t="s">
        <v>67</v>
      </c>
      <c r="R10" s="42" t="s">
        <v>68</v>
      </c>
      <c r="S10" s="41" t="s">
        <v>69</v>
      </c>
      <c r="T10" s="42" t="s">
        <v>70</v>
      </c>
      <c r="U10" s="43" t="s">
        <v>71</v>
      </c>
      <c r="V10" s="43" t="s">
        <v>72</v>
      </c>
      <c r="W10" s="43" t="s">
        <v>73</v>
      </c>
      <c r="X10" s="43" t="s">
        <v>74</v>
      </c>
      <c r="Y10" s="42" t="s">
        <v>34</v>
      </c>
      <c r="Z10" s="42" t="s">
        <v>35</v>
      </c>
      <c r="AA10" s="42" t="s">
        <v>36</v>
      </c>
      <c r="AB10" s="44" t="s">
        <v>37</v>
      </c>
      <c r="AC10" s="42" t="s">
        <v>38</v>
      </c>
      <c r="AD10" s="42" t="s">
        <v>39</v>
      </c>
      <c r="AE10" s="42" t="s">
        <v>40</v>
      </c>
      <c r="AF10" s="42" t="s">
        <v>41</v>
      </c>
      <c r="AG10" s="42" t="s">
        <v>42</v>
      </c>
      <c r="AH10" s="45" t="s">
        <v>43</v>
      </c>
      <c r="AI10" s="45" t="s">
        <v>44</v>
      </c>
      <c r="AJ10" s="45" t="s">
        <v>45</v>
      </c>
      <c r="AK10" s="45" t="s">
        <v>46</v>
      </c>
      <c r="AL10" s="45" t="s">
        <v>47</v>
      </c>
      <c r="AM10" s="46" t="s">
        <v>48</v>
      </c>
      <c r="AN10" s="47" t="s">
        <v>75</v>
      </c>
      <c r="AO10" s="38" t="s">
        <v>51</v>
      </c>
      <c r="AP10" s="48" t="s">
        <v>52</v>
      </c>
      <c r="AQ10" s="48" t="s">
        <v>53</v>
      </c>
      <c r="AR10" s="49" t="s">
        <v>54</v>
      </c>
      <c r="AS10" s="49" t="s">
        <v>76</v>
      </c>
      <c r="AT10" s="18"/>
      <c r="AU10" s="34" t="s">
        <v>89</v>
      </c>
      <c r="AV10" s="34" t="s">
        <v>90</v>
      </c>
      <c r="AW10" s="34" t="s">
        <v>91</v>
      </c>
      <c r="AX10" s="34" t="s">
        <v>92</v>
      </c>
      <c r="AY10" s="19"/>
      <c r="AZ10" s="59" t="s">
        <v>94</v>
      </c>
      <c r="BA10" s="59" t="s">
        <v>95</v>
      </c>
      <c r="BB10" s="59" t="s">
        <v>96</v>
      </c>
      <c r="BC10" s="59" t="s">
        <v>97</v>
      </c>
      <c r="BD10" s="59" t="s">
        <v>98</v>
      </c>
      <c r="BE10" s="54"/>
      <c r="BF10" s="54"/>
      <c r="BG10" s="54"/>
      <c r="BH10" s="54"/>
      <c r="BI10" s="54"/>
      <c r="BJ10" s="54"/>
      <c r="BK10" s="54"/>
      <c r="BL10" s="54"/>
      <c r="BM10" s="54"/>
      <c r="BN10" s="54"/>
      <c r="BO10" s="54"/>
    </row>
    <row r="11" ht="12.75" customHeight="1">
      <c r="A11" s="29"/>
      <c r="B11" s="29"/>
      <c r="C11" s="29"/>
      <c r="D11" s="29"/>
      <c r="E11" s="69"/>
      <c r="F11" s="69"/>
      <c r="G11" s="69"/>
      <c r="H11" s="69"/>
      <c r="I11" s="69"/>
      <c r="J11" s="86"/>
      <c r="K11" s="86"/>
      <c r="L11" s="86"/>
      <c r="M11" s="86"/>
      <c r="N11" s="87"/>
      <c r="O11" s="87"/>
      <c r="P11" s="87"/>
      <c r="Q11" s="29"/>
      <c r="R11" s="29"/>
      <c r="S11" s="29"/>
      <c r="T11" s="29"/>
      <c r="U11" s="72"/>
      <c r="V11" s="72"/>
      <c r="W11" s="72"/>
      <c r="X11" s="72"/>
      <c r="Y11" s="72"/>
      <c r="Z11" s="29"/>
      <c r="AA11" s="29"/>
      <c r="AB11" s="29"/>
      <c r="AC11" s="29"/>
      <c r="AD11" s="75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>
        <f>DATEDIF(J11,M11,"m")</f>
        <v>0</v>
      </c>
      <c r="AV11" s="29">
        <f>DATEDIF(J11,K11,"m")</f>
        <v>0</v>
      </c>
      <c r="AW11" s="29">
        <f>DATEDIF(J11,N11,"m")</f>
        <v>0</v>
      </c>
      <c r="AX11" s="29">
        <f>DATEDIF(J11,P11,"m")</f>
        <v>0</v>
      </c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72"/>
      <c r="BN11" s="72"/>
      <c r="BO11" s="29"/>
    </row>
    <row r="12" ht="12.75" customHeight="1">
      <c r="A12" s="29"/>
      <c r="B12" s="29"/>
      <c r="C12" s="29"/>
      <c r="D12" s="29"/>
      <c r="E12" s="69"/>
      <c r="F12" s="69"/>
      <c r="G12" s="69"/>
      <c r="H12" s="69"/>
      <c r="I12" s="69"/>
      <c r="J12" s="69"/>
      <c r="K12" s="69"/>
      <c r="L12" s="69"/>
      <c r="M12" s="29"/>
      <c r="N12" s="29"/>
      <c r="O12" s="29"/>
      <c r="P12" s="29"/>
      <c r="Q12" s="29"/>
      <c r="R12" s="29"/>
      <c r="S12" s="29"/>
      <c r="T12" s="29"/>
      <c r="U12" s="72"/>
      <c r="V12" s="72"/>
      <c r="W12" s="72"/>
      <c r="X12" s="72"/>
      <c r="Y12" s="72"/>
      <c r="Z12" s="29"/>
      <c r="AA12" s="29"/>
      <c r="AB12" s="29"/>
      <c r="AC12" s="29"/>
      <c r="AD12" s="75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72"/>
      <c r="BN12" s="72"/>
      <c r="BO12" s="29"/>
    </row>
    <row r="13" ht="12.75" customHeight="1">
      <c r="A13" s="29"/>
      <c r="B13" s="29"/>
      <c r="C13" s="29"/>
      <c r="D13" s="29"/>
      <c r="E13" s="69"/>
      <c r="F13" s="69"/>
      <c r="G13" s="69"/>
      <c r="H13" s="69"/>
      <c r="I13" s="69"/>
      <c r="J13" s="69"/>
      <c r="K13" s="69"/>
      <c r="L13" s="69"/>
      <c r="M13" s="29"/>
      <c r="N13" s="29"/>
      <c r="O13" s="29"/>
      <c r="P13" s="29"/>
      <c r="Q13" s="29"/>
      <c r="R13" s="29"/>
      <c r="S13" s="29"/>
      <c r="T13" s="29"/>
      <c r="U13" s="72"/>
      <c r="V13" s="72"/>
      <c r="W13" s="72"/>
      <c r="X13" s="72"/>
      <c r="Y13" s="72"/>
      <c r="Z13" s="29"/>
      <c r="AA13" s="29"/>
      <c r="AB13" s="29"/>
      <c r="AC13" s="29"/>
      <c r="AD13" s="75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72"/>
      <c r="BN13" s="72"/>
      <c r="BO13" s="29"/>
    </row>
    <row r="14" ht="12.75" customHeight="1">
      <c r="A14" s="29"/>
      <c r="B14" s="29"/>
      <c r="C14" s="29"/>
      <c r="D14" s="29"/>
      <c r="E14" s="69"/>
      <c r="F14" s="69"/>
      <c r="G14" s="69"/>
      <c r="H14" s="69"/>
      <c r="I14" s="69"/>
      <c r="J14" s="69"/>
      <c r="K14" s="69"/>
      <c r="L14" s="69"/>
      <c r="M14" s="29"/>
      <c r="N14" s="29"/>
      <c r="O14" s="29"/>
      <c r="P14" s="29"/>
      <c r="Q14" s="29"/>
      <c r="R14" s="29"/>
      <c r="S14" s="29"/>
      <c r="T14" s="29"/>
      <c r="U14" s="72"/>
      <c r="V14" s="72"/>
      <c r="W14" s="72"/>
      <c r="X14" s="72"/>
      <c r="Y14" s="72"/>
      <c r="Z14" s="29"/>
      <c r="AA14" s="29"/>
      <c r="AB14" s="29"/>
      <c r="AC14" s="29"/>
      <c r="AD14" s="75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72"/>
      <c r="BN14" s="72"/>
      <c r="BO14" s="29"/>
    </row>
    <row r="15" ht="12.75" customHeight="1">
      <c r="A15" s="29"/>
      <c r="B15" s="29"/>
      <c r="C15" s="29"/>
      <c r="D15" s="29"/>
      <c r="E15" s="69"/>
      <c r="F15" s="69"/>
      <c r="G15" s="69"/>
      <c r="H15" s="69"/>
      <c r="I15" s="69"/>
      <c r="J15" s="69"/>
      <c r="K15" s="69"/>
      <c r="L15" s="69"/>
      <c r="M15" s="29"/>
      <c r="N15" s="29"/>
      <c r="O15" s="29"/>
      <c r="P15" s="29"/>
      <c r="Q15" s="29"/>
      <c r="R15" s="29"/>
      <c r="S15" s="29"/>
      <c r="T15" s="29"/>
      <c r="U15" s="72"/>
      <c r="V15" s="72"/>
      <c r="W15" s="72"/>
      <c r="X15" s="72"/>
      <c r="Y15" s="72"/>
      <c r="Z15" s="29"/>
      <c r="AA15" s="29"/>
      <c r="AB15" s="29"/>
      <c r="AC15" s="29"/>
      <c r="AD15" s="75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72"/>
      <c r="BN15" s="72"/>
      <c r="BO15" s="29"/>
    </row>
    <row r="16" ht="12.75" customHeight="1">
      <c r="A16" s="29"/>
      <c r="B16" s="29"/>
      <c r="C16" s="29"/>
      <c r="D16" s="29"/>
      <c r="E16" s="69"/>
      <c r="F16" s="69"/>
      <c r="G16" s="69"/>
      <c r="H16" s="69"/>
      <c r="I16" s="69"/>
      <c r="J16" s="69"/>
      <c r="K16" s="69"/>
      <c r="L16" s="69"/>
      <c r="M16" s="29"/>
      <c r="N16" s="29"/>
      <c r="O16" s="29"/>
      <c r="P16" s="29"/>
      <c r="Q16" s="29"/>
      <c r="R16" s="29"/>
      <c r="S16" s="29"/>
      <c r="T16" s="29"/>
      <c r="U16" s="72"/>
      <c r="V16" s="72"/>
      <c r="W16" s="72"/>
      <c r="X16" s="72"/>
      <c r="Y16" s="72"/>
      <c r="Z16" s="29"/>
      <c r="AA16" s="29"/>
      <c r="AB16" s="29"/>
      <c r="AC16" s="29"/>
      <c r="AD16" s="75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72"/>
      <c r="BN16" s="72"/>
      <c r="BO16" s="29"/>
    </row>
    <row r="17" ht="12.75" customHeight="1">
      <c r="A17" s="29"/>
      <c r="B17" s="29"/>
      <c r="C17" s="29"/>
      <c r="D17" s="29"/>
      <c r="E17" s="69"/>
      <c r="F17" s="69"/>
      <c r="G17" s="69"/>
      <c r="H17" s="69"/>
      <c r="I17" s="69"/>
      <c r="J17" s="69"/>
      <c r="K17" s="69"/>
      <c r="L17" s="69"/>
      <c r="M17" s="29"/>
      <c r="N17" s="29"/>
      <c r="O17" s="29"/>
      <c r="P17" s="29"/>
      <c r="Q17" s="29"/>
      <c r="R17" s="29"/>
      <c r="S17" s="29"/>
      <c r="T17" s="29"/>
      <c r="U17" s="72"/>
      <c r="V17" s="72"/>
      <c r="W17" s="72"/>
      <c r="X17" s="72"/>
      <c r="Y17" s="72"/>
      <c r="Z17" s="29"/>
      <c r="AA17" s="29"/>
      <c r="AB17" s="29"/>
      <c r="AC17" s="29"/>
      <c r="AD17" s="75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72"/>
      <c r="BN17" s="72"/>
      <c r="BO17" s="29"/>
    </row>
    <row r="18" ht="12.75" customHeight="1">
      <c r="A18" s="29"/>
      <c r="B18" s="29"/>
      <c r="C18" s="29"/>
      <c r="D18" s="29"/>
      <c r="E18" s="69"/>
      <c r="F18" s="69"/>
      <c r="G18" s="69"/>
      <c r="H18" s="69"/>
      <c r="I18" s="69"/>
      <c r="J18" s="69"/>
      <c r="K18" s="69"/>
      <c r="L18" s="69"/>
      <c r="M18" s="29"/>
      <c r="N18" s="29"/>
      <c r="O18" s="29"/>
      <c r="P18" s="29"/>
      <c r="Q18" s="29"/>
      <c r="R18" s="29"/>
      <c r="S18" s="29"/>
      <c r="T18" s="29"/>
      <c r="U18" s="72"/>
      <c r="V18" s="72"/>
      <c r="W18" s="72"/>
      <c r="X18" s="72"/>
      <c r="Y18" s="72"/>
      <c r="Z18" s="29"/>
      <c r="AA18" s="29"/>
      <c r="AB18" s="29"/>
      <c r="AC18" s="29"/>
      <c r="AD18" s="75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72"/>
      <c r="BN18" s="72"/>
      <c r="BO18" s="29"/>
    </row>
    <row r="19" ht="12.75" customHeight="1">
      <c r="A19" s="29"/>
      <c r="B19" s="29"/>
      <c r="C19" s="29"/>
      <c r="D19" s="29"/>
      <c r="E19" s="69"/>
      <c r="F19" s="69"/>
      <c r="G19" s="69"/>
      <c r="H19" s="69"/>
      <c r="I19" s="69"/>
      <c r="J19" s="69"/>
      <c r="K19" s="69"/>
      <c r="L19" s="69"/>
      <c r="M19" s="29"/>
      <c r="N19" s="29"/>
      <c r="O19" s="29"/>
      <c r="P19" s="29"/>
      <c r="Q19" s="29"/>
      <c r="R19" s="29"/>
      <c r="S19" s="29"/>
      <c r="T19" s="29"/>
      <c r="U19" s="72"/>
      <c r="V19" s="72"/>
      <c r="W19" s="72"/>
      <c r="X19" s="72"/>
      <c r="Y19" s="72"/>
      <c r="Z19" s="29"/>
      <c r="AA19" s="29"/>
      <c r="AB19" s="29"/>
      <c r="AC19" s="29"/>
      <c r="AD19" s="75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72"/>
      <c r="BN19" s="72"/>
      <c r="BO19" s="29"/>
    </row>
    <row r="20" ht="12.75" customHeight="1">
      <c r="A20" s="29"/>
      <c r="B20" s="29"/>
      <c r="C20" s="29"/>
      <c r="D20" s="29"/>
      <c r="E20" s="69"/>
      <c r="F20" s="69"/>
      <c r="G20" s="69"/>
      <c r="H20" s="69"/>
      <c r="I20" s="69"/>
      <c r="J20" s="69"/>
      <c r="K20" s="69"/>
      <c r="L20" s="69"/>
      <c r="M20" s="29"/>
      <c r="N20" s="29"/>
      <c r="O20" s="29"/>
      <c r="P20" s="29"/>
      <c r="Q20" s="29"/>
      <c r="R20" s="29"/>
      <c r="S20" s="29"/>
      <c r="T20" s="29"/>
      <c r="U20" s="72"/>
      <c r="V20" s="72"/>
      <c r="W20" s="72"/>
      <c r="X20" s="72"/>
      <c r="Y20" s="72"/>
      <c r="Z20" s="29"/>
      <c r="AA20" s="29"/>
      <c r="AB20" s="29"/>
      <c r="AC20" s="29"/>
      <c r="AD20" s="75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72"/>
      <c r="BN20" s="72"/>
      <c r="BO20" s="29"/>
    </row>
    <row r="21" ht="12.75" customHeight="1">
      <c r="A21" s="29"/>
      <c r="B21" s="29"/>
      <c r="C21" s="29"/>
      <c r="D21" s="29"/>
      <c r="E21" s="69"/>
      <c r="F21" s="69"/>
      <c r="G21" s="69"/>
      <c r="H21" s="69"/>
      <c r="I21" s="69"/>
      <c r="J21" s="69"/>
      <c r="K21" s="69"/>
      <c r="L21" s="69"/>
      <c r="M21" s="29"/>
      <c r="N21" s="29"/>
      <c r="O21" s="29"/>
      <c r="P21" s="29"/>
      <c r="Q21" s="29"/>
      <c r="R21" s="29"/>
      <c r="S21" s="29"/>
      <c r="T21" s="29"/>
      <c r="U21" s="72"/>
      <c r="V21" s="72"/>
      <c r="W21" s="72"/>
      <c r="X21" s="72"/>
      <c r="Y21" s="72"/>
      <c r="Z21" s="29"/>
      <c r="AA21" s="29"/>
      <c r="AB21" s="29"/>
      <c r="AC21" s="29"/>
      <c r="AD21" s="75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72"/>
      <c r="BN21" s="72"/>
      <c r="BO21" s="29"/>
    </row>
    <row r="22" ht="12.75" customHeight="1">
      <c r="A22" s="29"/>
      <c r="B22" s="29"/>
      <c r="C22" s="29"/>
      <c r="D22" s="29"/>
      <c r="E22" s="69"/>
      <c r="F22" s="69"/>
      <c r="G22" s="69"/>
      <c r="H22" s="69"/>
      <c r="I22" s="69"/>
      <c r="J22" s="69"/>
      <c r="K22" s="69"/>
      <c r="L22" s="69"/>
      <c r="M22" s="29"/>
      <c r="N22" s="29"/>
      <c r="O22" s="29"/>
      <c r="P22" s="29"/>
      <c r="Q22" s="29"/>
      <c r="R22" s="29"/>
      <c r="S22" s="29"/>
      <c r="T22" s="29"/>
      <c r="U22" s="72"/>
      <c r="V22" s="72"/>
      <c r="W22" s="72"/>
      <c r="X22" s="72"/>
      <c r="Y22" s="72"/>
      <c r="Z22" s="29"/>
      <c r="AA22" s="29"/>
      <c r="AB22" s="29"/>
      <c r="AC22" s="29"/>
      <c r="AD22" s="75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72"/>
      <c r="BN22" s="72"/>
      <c r="BO22" s="29"/>
    </row>
    <row r="23" ht="12.75" customHeight="1">
      <c r="A23" s="29"/>
      <c r="B23" s="29"/>
      <c r="C23" s="29"/>
      <c r="D23" s="29"/>
      <c r="E23" s="69"/>
      <c r="F23" s="69"/>
      <c r="G23" s="69"/>
      <c r="H23" s="69"/>
      <c r="I23" s="69"/>
      <c r="J23" s="69"/>
      <c r="K23" s="69"/>
      <c r="L23" s="69"/>
      <c r="M23" s="29"/>
      <c r="N23" s="29"/>
      <c r="O23" s="29"/>
      <c r="P23" s="29"/>
      <c r="Q23" s="29"/>
      <c r="R23" s="29"/>
      <c r="S23" s="29"/>
      <c r="T23" s="29"/>
      <c r="U23" s="72"/>
      <c r="V23" s="72"/>
      <c r="W23" s="72"/>
      <c r="X23" s="72"/>
      <c r="Y23" s="72"/>
      <c r="Z23" s="29"/>
      <c r="AA23" s="29"/>
      <c r="AB23" s="29"/>
      <c r="AC23" s="29"/>
      <c r="AD23" s="75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72"/>
      <c r="BN23" s="72"/>
      <c r="BO23" s="29"/>
    </row>
    <row r="24" ht="12.75" customHeight="1">
      <c r="A24" s="29"/>
      <c r="B24" s="29"/>
      <c r="C24" s="29"/>
      <c r="D24" s="29"/>
      <c r="E24" s="69"/>
      <c r="F24" s="69"/>
      <c r="G24" s="69"/>
      <c r="H24" s="69"/>
      <c r="I24" s="69"/>
      <c r="J24" s="69"/>
      <c r="K24" s="69"/>
      <c r="L24" s="69"/>
      <c r="M24" s="29"/>
      <c r="N24" s="29"/>
      <c r="O24" s="29"/>
      <c r="P24" s="29"/>
      <c r="Q24" s="29"/>
      <c r="R24" s="29"/>
      <c r="S24" s="29"/>
      <c r="T24" s="29"/>
      <c r="U24" s="72"/>
      <c r="V24" s="72"/>
      <c r="W24" s="72"/>
      <c r="X24" s="72"/>
      <c r="Y24" s="72"/>
      <c r="Z24" s="29"/>
      <c r="AA24" s="29"/>
      <c r="AB24" s="29"/>
      <c r="AC24" s="29"/>
      <c r="AD24" s="75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72"/>
      <c r="BN24" s="72"/>
      <c r="BO24" s="29"/>
    </row>
    <row r="25" ht="12.75" customHeight="1">
      <c r="A25" s="29"/>
      <c r="B25" s="29"/>
      <c r="C25" s="29"/>
      <c r="D25" s="29"/>
      <c r="E25" s="69"/>
      <c r="F25" s="69"/>
      <c r="G25" s="69"/>
      <c r="H25" s="69"/>
      <c r="I25" s="69"/>
      <c r="J25" s="69"/>
      <c r="K25" s="69"/>
      <c r="L25" s="69"/>
      <c r="M25" s="29"/>
      <c r="N25" s="29"/>
      <c r="O25" s="29"/>
      <c r="P25" s="29"/>
      <c r="Q25" s="29"/>
      <c r="R25" s="29"/>
      <c r="S25" s="29"/>
      <c r="T25" s="29"/>
      <c r="U25" s="72"/>
      <c r="V25" s="72"/>
      <c r="W25" s="72"/>
      <c r="X25" s="72"/>
      <c r="Y25" s="72"/>
      <c r="Z25" s="29"/>
      <c r="AA25" s="29"/>
      <c r="AB25" s="29"/>
      <c r="AC25" s="29"/>
      <c r="AD25" s="75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72"/>
      <c r="BN25" s="72"/>
      <c r="BO25" s="29"/>
    </row>
    <row r="26" ht="12.75" customHeight="1">
      <c r="A26" s="29"/>
      <c r="B26" s="29"/>
      <c r="C26" s="29"/>
      <c r="D26" s="29"/>
      <c r="E26" s="69"/>
      <c r="F26" s="69"/>
      <c r="G26" s="69"/>
      <c r="H26" s="69"/>
      <c r="I26" s="69"/>
      <c r="J26" s="69"/>
      <c r="K26" s="69"/>
      <c r="L26" s="69"/>
      <c r="M26" s="29"/>
      <c r="N26" s="29"/>
      <c r="O26" s="29"/>
      <c r="P26" s="29"/>
      <c r="Q26" s="29"/>
      <c r="R26" s="29"/>
      <c r="S26" s="29"/>
      <c r="T26" s="29"/>
      <c r="U26" s="72"/>
      <c r="V26" s="72"/>
      <c r="W26" s="72"/>
      <c r="X26" s="72"/>
      <c r="Y26" s="72"/>
      <c r="Z26" s="29"/>
      <c r="AA26" s="29"/>
      <c r="AB26" s="29"/>
      <c r="AC26" s="29"/>
      <c r="AD26" s="75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72"/>
      <c r="BN26" s="72"/>
      <c r="BO26" s="29"/>
    </row>
    <row r="27" ht="12.75" customHeight="1">
      <c r="A27" s="29"/>
      <c r="B27" s="29"/>
      <c r="C27" s="29"/>
      <c r="D27" s="29"/>
      <c r="E27" s="69"/>
      <c r="F27" s="69"/>
      <c r="G27" s="69"/>
      <c r="H27" s="69"/>
      <c r="I27" s="69"/>
      <c r="J27" s="69"/>
      <c r="K27" s="69"/>
      <c r="L27" s="69"/>
      <c r="M27" s="29"/>
      <c r="N27" s="29"/>
      <c r="O27" s="29"/>
      <c r="P27" s="29"/>
      <c r="Q27" s="29"/>
      <c r="R27" s="29"/>
      <c r="S27" s="29"/>
      <c r="T27" s="29"/>
      <c r="U27" s="72"/>
      <c r="V27" s="72"/>
      <c r="W27" s="72"/>
      <c r="X27" s="72"/>
      <c r="Y27" s="72"/>
      <c r="Z27" s="29"/>
      <c r="AA27" s="29"/>
      <c r="AB27" s="29"/>
      <c r="AC27" s="29"/>
      <c r="AD27" s="75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29"/>
      <c r="BD27" s="29"/>
      <c r="BE27" s="29"/>
      <c r="BF27" s="29"/>
      <c r="BG27" s="29"/>
      <c r="BH27" s="29"/>
      <c r="BI27" s="29"/>
      <c r="BJ27" s="29"/>
      <c r="BK27" s="29"/>
      <c r="BL27" s="29"/>
      <c r="BM27" s="72"/>
      <c r="BN27" s="72"/>
      <c r="BO27" s="29"/>
    </row>
    <row r="28" ht="12.75" customHeight="1">
      <c r="A28" s="29"/>
      <c r="B28" s="29"/>
      <c r="C28" s="29"/>
      <c r="D28" s="29"/>
      <c r="E28" s="69"/>
      <c r="F28" s="69"/>
      <c r="G28" s="69"/>
      <c r="H28" s="69"/>
      <c r="I28" s="69"/>
      <c r="J28" s="69"/>
      <c r="K28" s="69"/>
      <c r="L28" s="69"/>
      <c r="M28" s="29"/>
      <c r="N28" s="29"/>
      <c r="O28" s="29"/>
      <c r="P28" s="29"/>
      <c r="Q28" s="29"/>
      <c r="R28" s="29"/>
      <c r="S28" s="29"/>
      <c r="T28" s="29"/>
      <c r="U28" s="72"/>
      <c r="V28" s="72"/>
      <c r="W28" s="72"/>
      <c r="X28" s="72"/>
      <c r="Y28" s="72"/>
      <c r="Z28" s="29"/>
      <c r="AA28" s="29"/>
      <c r="AB28" s="29"/>
      <c r="AC28" s="29"/>
      <c r="AD28" s="75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72"/>
      <c r="BN28" s="72"/>
      <c r="BO28" s="29"/>
    </row>
    <row r="29" ht="12.75" customHeight="1">
      <c r="A29" s="29"/>
      <c r="B29" s="29"/>
      <c r="C29" s="29"/>
      <c r="D29" s="29"/>
      <c r="E29" s="69"/>
      <c r="F29" s="69"/>
      <c r="G29" s="69"/>
      <c r="H29" s="69"/>
      <c r="I29" s="69"/>
      <c r="J29" s="69"/>
      <c r="K29" s="69"/>
      <c r="L29" s="69"/>
      <c r="M29" s="29"/>
      <c r="N29" s="29"/>
      <c r="O29" s="29"/>
      <c r="P29" s="29"/>
      <c r="Q29" s="29"/>
      <c r="R29" s="29"/>
      <c r="S29" s="29"/>
      <c r="T29" s="29"/>
      <c r="U29" s="72"/>
      <c r="V29" s="72"/>
      <c r="W29" s="72"/>
      <c r="X29" s="72"/>
      <c r="Y29" s="72"/>
      <c r="Z29" s="29"/>
      <c r="AA29" s="29"/>
      <c r="AB29" s="29"/>
      <c r="AC29" s="29"/>
      <c r="AD29" s="75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  <c r="BF29" s="29"/>
      <c r="BG29" s="29"/>
      <c r="BH29" s="29"/>
      <c r="BI29" s="29"/>
      <c r="BJ29" s="29"/>
      <c r="BK29" s="29"/>
      <c r="BL29" s="29"/>
      <c r="BM29" s="72"/>
      <c r="BN29" s="72"/>
      <c r="BO29" s="29"/>
    </row>
    <row r="30" ht="12.75" customHeight="1">
      <c r="A30" s="29"/>
      <c r="B30" s="29"/>
      <c r="C30" s="29"/>
      <c r="D30" s="29"/>
      <c r="E30" s="69"/>
      <c r="F30" s="69"/>
      <c r="G30" s="69"/>
      <c r="H30" s="69"/>
      <c r="I30" s="69"/>
      <c r="J30" s="69"/>
      <c r="K30" s="69"/>
      <c r="L30" s="69"/>
      <c r="M30" s="29"/>
      <c r="N30" s="29"/>
      <c r="O30" s="29"/>
      <c r="P30" s="29"/>
      <c r="Q30" s="29"/>
      <c r="R30" s="29"/>
      <c r="S30" s="29"/>
      <c r="T30" s="29"/>
      <c r="U30" s="72"/>
      <c r="V30" s="72"/>
      <c r="W30" s="72"/>
      <c r="X30" s="72"/>
      <c r="Y30" s="72"/>
      <c r="Z30" s="29"/>
      <c r="AA30" s="29"/>
      <c r="AB30" s="29"/>
      <c r="AC30" s="29"/>
      <c r="AD30" s="75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72"/>
      <c r="BN30" s="72"/>
      <c r="BO30" s="29"/>
    </row>
    <row r="31" ht="12.75" customHeight="1">
      <c r="A31" s="29"/>
      <c r="B31" s="29"/>
      <c r="C31" s="29"/>
      <c r="D31" s="29"/>
      <c r="E31" s="69"/>
      <c r="F31" s="69"/>
      <c r="G31" s="69"/>
      <c r="H31" s="69"/>
      <c r="I31" s="69"/>
      <c r="J31" s="69"/>
      <c r="K31" s="69"/>
      <c r="L31" s="69"/>
      <c r="M31" s="29"/>
      <c r="N31" s="29"/>
      <c r="O31" s="29"/>
      <c r="P31" s="29"/>
      <c r="Q31" s="29"/>
      <c r="R31" s="29"/>
      <c r="S31" s="29"/>
      <c r="T31" s="29"/>
      <c r="U31" s="72"/>
      <c r="V31" s="72"/>
      <c r="W31" s="72"/>
      <c r="X31" s="72"/>
      <c r="Y31" s="72"/>
      <c r="Z31" s="29"/>
      <c r="AA31" s="29"/>
      <c r="AB31" s="29"/>
      <c r="AC31" s="29"/>
      <c r="AD31" s="75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72"/>
      <c r="BN31" s="72"/>
      <c r="BO31" s="29"/>
    </row>
    <row r="32" ht="12.75" customHeight="1">
      <c r="A32" s="29"/>
      <c r="B32" s="29"/>
      <c r="C32" s="29"/>
      <c r="D32" s="29"/>
      <c r="E32" s="69"/>
      <c r="F32" s="69"/>
      <c r="G32" s="69"/>
      <c r="H32" s="69"/>
      <c r="I32" s="69"/>
      <c r="J32" s="69"/>
      <c r="K32" s="69"/>
      <c r="L32" s="69"/>
      <c r="M32" s="29"/>
      <c r="N32" s="29"/>
      <c r="O32" s="29"/>
      <c r="P32" s="29"/>
      <c r="Q32" s="29"/>
      <c r="R32" s="29"/>
      <c r="S32" s="29"/>
      <c r="T32" s="29"/>
      <c r="U32" s="72"/>
      <c r="V32" s="72"/>
      <c r="W32" s="72"/>
      <c r="X32" s="72"/>
      <c r="Y32" s="72"/>
      <c r="Z32" s="29"/>
      <c r="AA32" s="29"/>
      <c r="AB32" s="29"/>
      <c r="AC32" s="29"/>
      <c r="AD32" s="75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72"/>
      <c r="BN32" s="72"/>
      <c r="BO32" s="29"/>
    </row>
    <row r="33" ht="12.75" customHeight="1">
      <c r="A33" s="29"/>
      <c r="B33" s="29"/>
      <c r="C33" s="29"/>
      <c r="D33" s="29"/>
      <c r="E33" s="69"/>
      <c r="F33" s="69"/>
      <c r="G33" s="69"/>
      <c r="H33" s="69"/>
      <c r="I33" s="69"/>
      <c r="J33" s="69"/>
      <c r="K33" s="69"/>
      <c r="L33" s="69"/>
      <c r="M33" s="29"/>
      <c r="N33" s="29"/>
      <c r="O33" s="29"/>
      <c r="P33" s="29"/>
      <c r="Q33" s="29"/>
      <c r="R33" s="29"/>
      <c r="S33" s="29"/>
      <c r="T33" s="29"/>
      <c r="U33" s="72"/>
      <c r="V33" s="72"/>
      <c r="W33" s="72"/>
      <c r="X33" s="72"/>
      <c r="Y33" s="72"/>
      <c r="Z33" s="29"/>
      <c r="AA33" s="29"/>
      <c r="AB33" s="29"/>
      <c r="AC33" s="29"/>
      <c r="AD33" s="75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72"/>
      <c r="BN33" s="72"/>
      <c r="BO33" s="29"/>
    </row>
    <row r="34" ht="12.75" customHeight="1">
      <c r="A34" s="29"/>
      <c r="B34" s="29"/>
      <c r="C34" s="29"/>
      <c r="D34" s="29"/>
      <c r="E34" s="69"/>
      <c r="F34" s="69"/>
      <c r="G34" s="69"/>
      <c r="H34" s="69"/>
      <c r="I34" s="69"/>
      <c r="J34" s="69"/>
      <c r="K34" s="69"/>
      <c r="L34" s="69"/>
      <c r="M34" s="29"/>
      <c r="N34" s="29"/>
      <c r="O34" s="29"/>
      <c r="P34" s="29"/>
      <c r="Q34" s="29"/>
      <c r="R34" s="29"/>
      <c r="S34" s="29"/>
      <c r="T34" s="29"/>
      <c r="U34" s="72"/>
      <c r="V34" s="72"/>
      <c r="W34" s="72"/>
      <c r="X34" s="72"/>
      <c r="Y34" s="72"/>
      <c r="Z34" s="29"/>
      <c r="AA34" s="29"/>
      <c r="AB34" s="29"/>
      <c r="AC34" s="29"/>
      <c r="AD34" s="75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  <c r="BE34" s="29"/>
      <c r="BF34" s="29"/>
      <c r="BG34" s="29"/>
      <c r="BH34" s="29"/>
      <c r="BI34" s="29"/>
      <c r="BJ34" s="29"/>
      <c r="BK34" s="29"/>
      <c r="BL34" s="29"/>
      <c r="BM34" s="72"/>
      <c r="BN34" s="72"/>
      <c r="BO34" s="29"/>
    </row>
    <row r="35" ht="12.75" customHeight="1">
      <c r="A35" s="29"/>
      <c r="B35" s="29"/>
      <c r="C35" s="29"/>
      <c r="D35" s="29"/>
      <c r="E35" s="69"/>
      <c r="F35" s="69"/>
      <c r="G35" s="69"/>
      <c r="H35" s="69"/>
      <c r="I35" s="69"/>
      <c r="J35" s="69"/>
      <c r="K35" s="69"/>
      <c r="L35" s="69"/>
      <c r="M35" s="29"/>
      <c r="N35" s="29"/>
      <c r="O35" s="29"/>
      <c r="P35" s="29"/>
      <c r="Q35" s="29"/>
      <c r="R35" s="29"/>
      <c r="S35" s="29"/>
      <c r="T35" s="29"/>
      <c r="U35" s="72"/>
      <c r="V35" s="72"/>
      <c r="W35" s="72"/>
      <c r="X35" s="72"/>
      <c r="Y35" s="72"/>
      <c r="Z35" s="29"/>
      <c r="AA35" s="29"/>
      <c r="AB35" s="29"/>
      <c r="AC35" s="29"/>
      <c r="AD35" s="75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72"/>
      <c r="BN35" s="72"/>
      <c r="BO35" s="29"/>
    </row>
    <row r="36" ht="12.75" customHeight="1">
      <c r="A36" s="29"/>
      <c r="B36" s="29"/>
      <c r="C36" s="29"/>
      <c r="D36" s="29"/>
      <c r="E36" s="69"/>
      <c r="F36" s="69"/>
      <c r="G36" s="69"/>
      <c r="H36" s="69"/>
      <c r="I36" s="69"/>
      <c r="J36" s="69"/>
      <c r="K36" s="69"/>
      <c r="L36" s="69"/>
      <c r="M36" s="29"/>
      <c r="N36" s="29"/>
      <c r="O36" s="29"/>
      <c r="P36" s="29"/>
      <c r="Q36" s="29"/>
      <c r="R36" s="29"/>
      <c r="S36" s="29"/>
      <c r="T36" s="29"/>
      <c r="U36" s="72"/>
      <c r="V36" s="72"/>
      <c r="W36" s="72"/>
      <c r="X36" s="72"/>
      <c r="Y36" s="72"/>
      <c r="Z36" s="29"/>
      <c r="AA36" s="29"/>
      <c r="AB36" s="29"/>
      <c r="AC36" s="29"/>
      <c r="AD36" s="75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72"/>
      <c r="BN36" s="72"/>
      <c r="BO36" s="29"/>
    </row>
    <row r="37" ht="12.75" customHeight="1">
      <c r="A37" s="29"/>
      <c r="B37" s="29"/>
      <c r="C37" s="29"/>
      <c r="D37" s="29"/>
      <c r="E37" s="69"/>
      <c r="F37" s="69"/>
      <c r="G37" s="69"/>
      <c r="H37" s="69"/>
      <c r="I37" s="69"/>
      <c r="J37" s="69"/>
      <c r="K37" s="69"/>
      <c r="L37" s="69"/>
      <c r="M37" s="29"/>
      <c r="N37" s="29"/>
      <c r="O37" s="29"/>
      <c r="P37" s="29"/>
      <c r="Q37" s="29"/>
      <c r="R37" s="29"/>
      <c r="S37" s="29"/>
      <c r="T37" s="29"/>
      <c r="U37" s="72"/>
      <c r="V37" s="72"/>
      <c r="W37" s="72"/>
      <c r="X37" s="72"/>
      <c r="Y37" s="72"/>
      <c r="Z37" s="29"/>
      <c r="AA37" s="29"/>
      <c r="AB37" s="29"/>
      <c r="AC37" s="29"/>
      <c r="AD37" s="75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72"/>
      <c r="BN37" s="72"/>
      <c r="BO37" s="29"/>
    </row>
    <row r="38" ht="12.75" customHeight="1">
      <c r="A38" s="29"/>
      <c r="B38" s="29"/>
      <c r="C38" s="29"/>
      <c r="D38" s="29"/>
      <c r="E38" s="69"/>
      <c r="F38" s="69"/>
      <c r="G38" s="69"/>
      <c r="H38" s="69"/>
      <c r="I38" s="69"/>
      <c r="J38" s="69"/>
      <c r="K38" s="69"/>
      <c r="L38" s="69"/>
      <c r="M38" s="29"/>
      <c r="N38" s="29"/>
      <c r="O38" s="29"/>
      <c r="P38" s="29"/>
      <c r="Q38" s="29"/>
      <c r="R38" s="29"/>
      <c r="S38" s="29"/>
      <c r="T38" s="29"/>
      <c r="U38" s="72"/>
      <c r="V38" s="72"/>
      <c r="W38" s="72"/>
      <c r="X38" s="72"/>
      <c r="Y38" s="72"/>
      <c r="Z38" s="29"/>
      <c r="AA38" s="29"/>
      <c r="AB38" s="29"/>
      <c r="AC38" s="29"/>
      <c r="AD38" s="75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72"/>
      <c r="BN38" s="72"/>
      <c r="BO38" s="29"/>
    </row>
    <row r="39" ht="12.75" customHeight="1">
      <c r="A39" s="29"/>
      <c r="B39" s="29"/>
      <c r="C39" s="29"/>
      <c r="D39" s="29"/>
      <c r="E39" s="69"/>
      <c r="F39" s="69"/>
      <c r="G39" s="69"/>
      <c r="H39" s="69"/>
      <c r="I39" s="69"/>
      <c r="J39" s="69"/>
      <c r="K39" s="69"/>
      <c r="L39" s="69"/>
      <c r="M39" s="29"/>
      <c r="N39" s="29"/>
      <c r="O39" s="29"/>
      <c r="P39" s="29"/>
      <c r="Q39" s="29"/>
      <c r="R39" s="29"/>
      <c r="S39" s="29"/>
      <c r="T39" s="29"/>
      <c r="U39" s="72"/>
      <c r="V39" s="72"/>
      <c r="W39" s="72"/>
      <c r="X39" s="72"/>
      <c r="Y39" s="72"/>
      <c r="Z39" s="29"/>
      <c r="AA39" s="29"/>
      <c r="AB39" s="29"/>
      <c r="AC39" s="29"/>
      <c r="AD39" s="75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  <c r="BE39" s="29"/>
      <c r="BF39" s="29"/>
      <c r="BG39" s="29"/>
      <c r="BH39" s="29"/>
      <c r="BI39" s="29"/>
      <c r="BJ39" s="29"/>
      <c r="BK39" s="29"/>
      <c r="BL39" s="29"/>
      <c r="BM39" s="72"/>
      <c r="BN39" s="72"/>
      <c r="BO39" s="29"/>
    </row>
    <row r="40" ht="12.75" customHeight="1">
      <c r="A40" s="29"/>
      <c r="B40" s="29"/>
      <c r="C40" s="29"/>
      <c r="D40" s="29"/>
      <c r="E40" s="69"/>
      <c r="F40" s="69"/>
      <c r="G40" s="69"/>
      <c r="H40" s="69"/>
      <c r="I40" s="69"/>
      <c r="J40" s="69"/>
      <c r="K40" s="69"/>
      <c r="L40" s="69"/>
      <c r="M40" s="29"/>
      <c r="N40" s="29"/>
      <c r="O40" s="29"/>
      <c r="P40" s="29"/>
      <c r="Q40" s="29"/>
      <c r="R40" s="29"/>
      <c r="S40" s="29"/>
      <c r="T40" s="29"/>
      <c r="U40" s="72"/>
      <c r="V40" s="72"/>
      <c r="W40" s="72"/>
      <c r="X40" s="72"/>
      <c r="Y40" s="72"/>
      <c r="Z40" s="29"/>
      <c r="AA40" s="29"/>
      <c r="AB40" s="29"/>
      <c r="AC40" s="29"/>
      <c r="AD40" s="75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  <c r="BC40" s="29"/>
      <c r="BD40" s="29"/>
      <c r="BE40" s="29"/>
      <c r="BF40" s="29"/>
      <c r="BG40" s="29"/>
      <c r="BH40" s="29"/>
      <c r="BI40" s="29"/>
      <c r="BJ40" s="29"/>
      <c r="BK40" s="29"/>
      <c r="BL40" s="29"/>
      <c r="BM40" s="72"/>
      <c r="BN40" s="72"/>
      <c r="BO40" s="29"/>
    </row>
    <row r="41" ht="12.75" customHeight="1">
      <c r="A41" s="29"/>
      <c r="B41" s="29"/>
      <c r="C41" s="29"/>
      <c r="D41" s="29"/>
      <c r="E41" s="69"/>
      <c r="F41" s="69"/>
      <c r="G41" s="69"/>
      <c r="H41" s="69"/>
      <c r="I41" s="69"/>
      <c r="J41" s="69"/>
      <c r="K41" s="69"/>
      <c r="L41" s="69"/>
      <c r="M41" s="29"/>
      <c r="N41" s="29"/>
      <c r="O41" s="29"/>
      <c r="P41" s="29"/>
      <c r="Q41" s="29"/>
      <c r="R41" s="29"/>
      <c r="S41" s="29"/>
      <c r="T41" s="29"/>
      <c r="U41" s="72"/>
      <c r="V41" s="72"/>
      <c r="W41" s="72"/>
      <c r="X41" s="72"/>
      <c r="Y41" s="72"/>
      <c r="Z41" s="29"/>
      <c r="AA41" s="29"/>
      <c r="AB41" s="29"/>
      <c r="AC41" s="29"/>
      <c r="AD41" s="75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  <c r="BE41" s="29"/>
      <c r="BF41" s="29"/>
      <c r="BG41" s="29"/>
      <c r="BH41" s="29"/>
      <c r="BI41" s="29"/>
      <c r="BJ41" s="29"/>
      <c r="BK41" s="29"/>
      <c r="BL41" s="29"/>
      <c r="BM41" s="72"/>
      <c r="BN41" s="72"/>
      <c r="BO41" s="29"/>
    </row>
    <row r="42" ht="12.75" customHeight="1">
      <c r="A42" s="29"/>
      <c r="B42" s="29"/>
      <c r="C42" s="29"/>
      <c r="D42" s="29"/>
      <c r="E42" s="69"/>
      <c r="F42" s="69"/>
      <c r="G42" s="69"/>
      <c r="H42" s="69"/>
      <c r="I42" s="69"/>
      <c r="J42" s="69"/>
      <c r="K42" s="69"/>
      <c r="L42" s="69"/>
      <c r="M42" s="29"/>
      <c r="N42" s="29"/>
      <c r="O42" s="29"/>
      <c r="P42" s="29"/>
      <c r="Q42" s="29"/>
      <c r="R42" s="29"/>
      <c r="S42" s="29"/>
      <c r="T42" s="29"/>
      <c r="U42" s="72"/>
      <c r="V42" s="72"/>
      <c r="W42" s="72"/>
      <c r="X42" s="72"/>
      <c r="Y42" s="72"/>
      <c r="Z42" s="29"/>
      <c r="AA42" s="29"/>
      <c r="AB42" s="29"/>
      <c r="AC42" s="29"/>
      <c r="AD42" s="75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  <c r="BE42" s="29"/>
      <c r="BF42" s="29"/>
      <c r="BG42" s="29"/>
      <c r="BH42" s="29"/>
      <c r="BI42" s="29"/>
      <c r="BJ42" s="29"/>
      <c r="BK42" s="29"/>
      <c r="BL42" s="29"/>
      <c r="BM42" s="72"/>
      <c r="BN42" s="72"/>
      <c r="BO42" s="29"/>
    </row>
    <row r="43" ht="12.75" customHeight="1">
      <c r="A43" s="29"/>
      <c r="B43" s="29"/>
      <c r="C43" s="29"/>
      <c r="D43" s="29"/>
      <c r="E43" s="69"/>
      <c r="F43" s="69"/>
      <c r="G43" s="69"/>
      <c r="H43" s="69"/>
      <c r="I43" s="69"/>
      <c r="J43" s="69"/>
      <c r="K43" s="69"/>
      <c r="L43" s="69"/>
      <c r="M43" s="29"/>
      <c r="N43" s="29"/>
      <c r="O43" s="29"/>
      <c r="P43" s="29"/>
      <c r="Q43" s="29"/>
      <c r="R43" s="29"/>
      <c r="S43" s="29"/>
      <c r="T43" s="29"/>
      <c r="U43" s="72"/>
      <c r="V43" s="72"/>
      <c r="W43" s="72"/>
      <c r="X43" s="72"/>
      <c r="Y43" s="72"/>
      <c r="Z43" s="29"/>
      <c r="AA43" s="29"/>
      <c r="AB43" s="29"/>
      <c r="AC43" s="29"/>
      <c r="AD43" s="75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  <c r="BE43" s="29"/>
      <c r="BF43" s="29"/>
      <c r="BG43" s="29"/>
      <c r="BH43" s="29"/>
      <c r="BI43" s="29"/>
      <c r="BJ43" s="29"/>
      <c r="BK43" s="29"/>
      <c r="BL43" s="29"/>
      <c r="BM43" s="72"/>
      <c r="BN43" s="72"/>
      <c r="BO43" s="29"/>
    </row>
    <row r="44" ht="12.75" customHeight="1">
      <c r="A44" s="29"/>
      <c r="B44" s="29"/>
      <c r="C44" s="29"/>
      <c r="D44" s="29"/>
      <c r="E44" s="69"/>
      <c r="F44" s="69"/>
      <c r="G44" s="69"/>
      <c r="H44" s="69"/>
      <c r="I44" s="69"/>
      <c r="J44" s="69"/>
      <c r="K44" s="69"/>
      <c r="L44" s="69"/>
      <c r="M44" s="29"/>
      <c r="N44" s="29"/>
      <c r="O44" s="29"/>
      <c r="P44" s="29"/>
      <c r="Q44" s="29"/>
      <c r="R44" s="29"/>
      <c r="S44" s="29"/>
      <c r="T44" s="29"/>
      <c r="U44" s="72"/>
      <c r="V44" s="72"/>
      <c r="W44" s="72"/>
      <c r="X44" s="72"/>
      <c r="Y44" s="72"/>
      <c r="Z44" s="29"/>
      <c r="AA44" s="29"/>
      <c r="AB44" s="29"/>
      <c r="AC44" s="29"/>
      <c r="AD44" s="75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72"/>
      <c r="BN44" s="72"/>
      <c r="BO44" s="29"/>
    </row>
    <row r="45" ht="12.75" customHeight="1">
      <c r="A45" s="29"/>
      <c r="B45" s="29"/>
      <c r="C45" s="29"/>
      <c r="D45" s="29"/>
      <c r="E45" s="69"/>
      <c r="F45" s="69"/>
      <c r="G45" s="69"/>
      <c r="H45" s="69"/>
      <c r="I45" s="69"/>
      <c r="J45" s="69"/>
      <c r="K45" s="69"/>
      <c r="L45" s="69"/>
      <c r="M45" s="29"/>
      <c r="N45" s="29"/>
      <c r="O45" s="29"/>
      <c r="P45" s="29"/>
      <c r="Q45" s="29"/>
      <c r="R45" s="29"/>
      <c r="S45" s="29"/>
      <c r="T45" s="29"/>
      <c r="U45" s="72"/>
      <c r="V45" s="72"/>
      <c r="W45" s="72"/>
      <c r="X45" s="72"/>
      <c r="Y45" s="72"/>
      <c r="Z45" s="29"/>
      <c r="AA45" s="29"/>
      <c r="AB45" s="29"/>
      <c r="AC45" s="29"/>
      <c r="AD45" s="75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  <c r="BE45" s="29"/>
      <c r="BF45" s="29"/>
      <c r="BG45" s="29"/>
      <c r="BH45" s="29"/>
      <c r="BI45" s="29"/>
      <c r="BJ45" s="29"/>
      <c r="BK45" s="29"/>
      <c r="BL45" s="29"/>
      <c r="BM45" s="72"/>
      <c r="BN45" s="72"/>
      <c r="BO45" s="29"/>
    </row>
    <row r="46" ht="12.75" customHeight="1">
      <c r="A46" s="29"/>
      <c r="B46" s="29"/>
      <c r="C46" s="29"/>
      <c r="D46" s="29"/>
      <c r="E46" s="69"/>
      <c r="F46" s="69"/>
      <c r="G46" s="69"/>
      <c r="H46" s="69"/>
      <c r="I46" s="69"/>
      <c r="J46" s="69"/>
      <c r="K46" s="69"/>
      <c r="L46" s="69"/>
      <c r="M46" s="29"/>
      <c r="N46" s="29"/>
      <c r="O46" s="29"/>
      <c r="P46" s="29"/>
      <c r="Q46" s="29"/>
      <c r="R46" s="29"/>
      <c r="S46" s="29"/>
      <c r="T46" s="29"/>
      <c r="U46" s="72"/>
      <c r="V46" s="72"/>
      <c r="W46" s="72"/>
      <c r="X46" s="72"/>
      <c r="Y46" s="72"/>
      <c r="Z46" s="29"/>
      <c r="AA46" s="29"/>
      <c r="AB46" s="29"/>
      <c r="AC46" s="29"/>
      <c r="AD46" s="75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  <c r="BE46" s="29"/>
      <c r="BF46" s="29"/>
      <c r="BG46" s="29"/>
      <c r="BH46" s="29"/>
      <c r="BI46" s="29"/>
      <c r="BJ46" s="29"/>
      <c r="BK46" s="29"/>
      <c r="BL46" s="29"/>
      <c r="BM46" s="72"/>
      <c r="BN46" s="72"/>
      <c r="BO46" s="29"/>
    </row>
    <row r="47" ht="12.75" customHeight="1">
      <c r="A47" s="29"/>
      <c r="B47" s="29"/>
      <c r="C47" s="29"/>
      <c r="D47" s="29"/>
      <c r="E47" s="69"/>
      <c r="F47" s="69"/>
      <c r="G47" s="69"/>
      <c r="H47" s="69"/>
      <c r="I47" s="69"/>
      <c r="J47" s="69"/>
      <c r="K47" s="69"/>
      <c r="L47" s="69"/>
      <c r="M47" s="29"/>
      <c r="N47" s="29"/>
      <c r="O47" s="29"/>
      <c r="P47" s="29"/>
      <c r="Q47" s="29"/>
      <c r="R47" s="29"/>
      <c r="S47" s="29"/>
      <c r="T47" s="29"/>
      <c r="U47" s="72"/>
      <c r="V47" s="72"/>
      <c r="W47" s="72"/>
      <c r="X47" s="72"/>
      <c r="Y47" s="72"/>
      <c r="Z47" s="29"/>
      <c r="AA47" s="29"/>
      <c r="AB47" s="29"/>
      <c r="AC47" s="29"/>
      <c r="AD47" s="75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  <c r="BE47" s="29"/>
      <c r="BF47" s="29"/>
      <c r="BG47" s="29"/>
      <c r="BH47" s="29"/>
      <c r="BI47" s="29"/>
      <c r="BJ47" s="29"/>
      <c r="BK47" s="29"/>
      <c r="BL47" s="29"/>
      <c r="BM47" s="72"/>
      <c r="BN47" s="72"/>
      <c r="BO47" s="29"/>
    </row>
    <row r="48" ht="12.75" customHeight="1">
      <c r="A48" s="29"/>
      <c r="B48" s="29"/>
      <c r="C48" s="29"/>
      <c r="D48" s="29"/>
      <c r="E48" s="69"/>
      <c r="F48" s="69"/>
      <c r="G48" s="69"/>
      <c r="H48" s="69"/>
      <c r="I48" s="69"/>
      <c r="J48" s="69"/>
      <c r="K48" s="69"/>
      <c r="L48" s="69"/>
      <c r="M48" s="29"/>
      <c r="N48" s="29"/>
      <c r="O48" s="29"/>
      <c r="P48" s="29"/>
      <c r="Q48" s="29"/>
      <c r="R48" s="29"/>
      <c r="S48" s="29"/>
      <c r="T48" s="29"/>
      <c r="U48" s="72"/>
      <c r="V48" s="72"/>
      <c r="W48" s="72"/>
      <c r="X48" s="72"/>
      <c r="Y48" s="72"/>
      <c r="Z48" s="29"/>
      <c r="AA48" s="29"/>
      <c r="AB48" s="29"/>
      <c r="AC48" s="29"/>
      <c r="AD48" s="75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72"/>
      <c r="BN48" s="72"/>
      <c r="BO48" s="29"/>
    </row>
    <row r="49" ht="12.75" customHeight="1">
      <c r="A49" s="29"/>
      <c r="B49" s="29"/>
      <c r="C49" s="29"/>
      <c r="D49" s="29"/>
      <c r="E49" s="69"/>
      <c r="F49" s="69"/>
      <c r="G49" s="69"/>
      <c r="H49" s="69"/>
      <c r="I49" s="69"/>
      <c r="J49" s="69"/>
      <c r="K49" s="69"/>
      <c r="L49" s="69"/>
      <c r="M49" s="29"/>
      <c r="N49" s="29"/>
      <c r="O49" s="29"/>
      <c r="P49" s="29"/>
      <c r="Q49" s="29"/>
      <c r="R49" s="29"/>
      <c r="S49" s="29"/>
      <c r="T49" s="29"/>
      <c r="U49" s="72"/>
      <c r="V49" s="72"/>
      <c r="W49" s="72"/>
      <c r="X49" s="72"/>
      <c r="Y49" s="72"/>
      <c r="Z49" s="29"/>
      <c r="AA49" s="29"/>
      <c r="AB49" s="29"/>
      <c r="AC49" s="29"/>
      <c r="AD49" s="75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72"/>
      <c r="BN49" s="72"/>
      <c r="BO49" s="29"/>
    </row>
    <row r="50" ht="12.75" customHeight="1">
      <c r="A50" s="29"/>
      <c r="B50" s="29"/>
      <c r="C50" s="29"/>
      <c r="D50" s="29"/>
      <c r="E50" s="69"/>
      <c r="F50" s="69"/>
      <c r="G50" s="69"/>
      <c r="H50" s="69"/>
      <c r="I50" s="69"/>
      <c r="J50" s="69"/>
      <c r="K50" s="69"/>
      <c r="L50" s="69"/>
      <c r="M50" s="29"/>
      <c r="N50" s="29"/>
      <c r="O50" s="29"/>
      <c r="P50" s="29"/>
      <c r="Q50" s="29"/>
      <c r="R50" s="29"/>
      <c r="S50" s="29"/>
      <c r="T50" s="29"/>
      <c r="U50" s="72"/>
      <c r="V50" s="72"/>
      <c r="W50" s="72"/>
      <c r="X50" s="72"/>
      <c r="Y50" s="72"/>
      <c r="Z50" s="29"/>
      <c r="AA50" s="29"/>
      <c r="AB50" s="29"/>
      <c r="AC50" s="29"/>
      <c r="AD50" s="75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72"/>
      <c r="BN50" s="72"/>
      <c r="BO50" s="29"/>
    </row>
    <row r="51" ht="12.75" customHeight="1">
      <c r="A51" s="29"/>
      <c r="B51" s="29"/>
      <c r="C51" s="29"/>
      <c r="D51" s="29"/>
      <c r="E51" s="69"/>
      <c r="F51" s="69"/>
      <c r="G51" s="69"/>
      <c r="H51" s="69"/>
      <c r="I51" s="69"/>
      <c r="J51" s="69"/>
      <c r="K51" s="69"/>
      <c r="L51" s="69"/>
      <c r="M51" s="29"/>
      <c r="N51" s="29"/>
      <c r="O51" s="29"/>
      <c r="P51" s="29"/>
      <c r="Q51" s="29"/>
      <c r="R51" s="29"/>
      <c r="S51" s="29"/>
      <c r="T51" s="29"/>
      <c r="U51" s="72"/>
      <c r="V51" s="72"/>
      <c r="W51" s="72"/>
      <c r="X51" s="72"/>
      <c r="Y51" s="72"/>
      <c r="Z51" s="29"/>
      <c r="AA51" s="29"/>
      <c r="AB51" s="29"/>
      <c r="AC51" s="29"/>
      <c r="AD51" s="75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72"/>
      <c r="BN51" s="72"/>
      <c r="BO51" s="29"/>
    </row>
    <row r="52" ht="12.75" customHeight="1">
      <c r="A52" s="29"/>
      <c r="B52" s="29"/>
      <c r="C52" s="29"/>
      <c r="D52" s="29"/>
      <c r="E52" s="69"/>
      <c r="F52" s="69"/>
      <c r="G52" s="69"/>
      <c r="H52" s="69"/>
      <c r="I52" s="69"/>
      <c r="J52" s="69"/>
      <c r="K52" s="69"/>
      <c r="L52" s="69"/>
      <c r="M52" s="29"/>
      <c r="N52" s="29"/>
      <c r="O52" s="29"/>
      <c r="P52" s="29"/>
      <c r="Q52" s="29"/>
      <c r="R52" s="29"/>
      <c r="S52" s="29"/>
      <c r="T52" s="29"/>
      <c r="U52" s="72"/>
      <c r="V52" s="72"/>
      <c r="W52" s="72"/>
      <c r="X52" s="72"/>
      <c r="Y52" s="72"/>
      <c r="Z52" s="29"/>
      <c r="AA52" s="29"/>
      <c r="AB52" s="29"/>
      <c r="AC52" s="29"/>
      <c r="AD52" s="75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72"/>
      <c r="BN52" s="72"/>
      <c r="BO52" s="29"/>
    </row>
    <row r="53" ht="12.75" customHeight="1">
      <c r="A53" s="29"/>
      <c r="B53" s="29"/>
      <c r="C53" s="29"/>
      <c r="D53" s="29"/>
      <c r="E53" s="69"/>
      <c r="F53" s="69"/>
      <c r="G53" s="69"/>
      <c r="H53" s="69"/>
      <c r="I53" s="69"/>
      <c r="J53" s="69"/>
      <c r="K53" s="69"/>
      <c r="L53" s="69"/>
      <c r="M53" s="29"/>
      <c r="N53" s="29"/>
      <c r="O53" s="29"/>
      <c r="P53" s="29"/>
      <c r="Q53" s="29"/>
      <c r="R53" s="29"/>
      <c r="S53" s="29"/>
      <c r="T53" s="29"/>
      <c r="U53" s="72"/>
      <c r="V53" s="72"/>
      <c r="W53" s="72"/>
      <c r="X53" s="72"/>
      <c r="Y53" s="72"/>
      <c r="Z53" s="29"/>
      <c r="AA53" s="29"/>
      <c r="AB53" s="29"/>
      <c r="AC53" s="29"/>
      <c r="AD53" s="75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72"/>
      <c r="BN53" s="72"/>
      <c r="BO53" s="29"/>
    </row>
    <row r="54" ht="12.75" customHeight="1">
      <c r="A54" s="29"/>
      <c r="B54" s="29"/>
      <c r="C54" s="29"/>
      <c r="D54" s="29"/>
      <c r="E54" s="69"/>
      <c r="F54" s="69"/>
      <c r="G54" s="69"/>
      <c r="H54" s="69"/>
      <c r="I54" s="69"/>
      <c r="J54" s="69"/>
      <c r="K54" s="69"/>
      <c r="L54" s="69"/>
      <c r="M54" s="29"/>
      <c r="N54" s="29"/>
      <c r="O54" s="29"/>
      <c r="P54" s="29"/>
      <c r="Q54" s="29"/>
      <c r="R54" s="29"/>
      <c r="S54" s="29"/>
      <c r="T54" s="29"/>
      <c r="U54" s="72"/>
      <c r="V54" s="72"/>
      <c r="W54" s="72"/>
      <c r="X54" s="72"/>
      <c r="Y54" s="72"/>
      <c r="Z54" s="29"/>
      <c r="AA54" s="29"/>
      <c r="AB54" s="29"/>
      <c r="AC54" s="29"/>
      <c r="AD54" s="75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72"/>
      <c r="BN54" s="72"/>
      <c r="BO54" s="29"/>
    </row>
    <row r="55" ht="12.75" customHeight="1">
      <c r="A55" s="29"/>
      <c r="B55" s="29"/>
      <c r="C55" s="29"/>
      <c r="D55" s="29"/>
      <c r="E55" s="69"/>
      <c r="F55" s="69"/>
      <c r="G55" s="69"/>
      <c r="H55" s="69"/>
      <c r="I55" s="69"/>
      <c r="J55" s="69"/>
      <c r="K55" s="69"/>
      <c r="L55" s="69"/>
      <c r="M55" s="29"/>
      <c r="N55" s="29"/>
      <c r="O55" s="29"/>
      <c r="P55" s="29"/>
      <c r="Q55" s="29"/>
      <c r="R55" s="29"/>
      <c r="S55" s="29"/>
      <c r="T55" s="29"/>
      <c r="U55" s="72"/>
      <c r="V55" s="72"/>
      <c r="W55" s="72"/>
      <c r="X55" s="72"/>
      <c r="Y55" s="72"/>
      <c r="Z55" s="29"/>
      <c r="AA55" s="29"/>
      <c r="AB55" s="29"/>
      <c r="AC55" s="29"/>
      <c r="AD55" s="75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72"/>
      <c r="BN55" s="72"/>
      <c r="BO55" s="29"/>
    </row>
    <row r="56" ht="12.75" customHeight="1">
      <c r="A56" s="29"/>
      <c r="B56" s="29"/>
      <c r="C56" s="29"/>
      <c r="D56" s="29"/>
      <c r="E56" s="69"/>
      <c r="F56" s="69"/>
      <c r="G56" s="69"/>
      <c r="H56" s="69"/>
      <c r="I56" s="69"/>
      <c r="J56" s="69"/>
      <c r="K56" s="69"/>
      <c r="L56" s="69"/>
      <c r="M56" s="29"/>
      <c r="N56" s="29"/>
      <c r="O56" s="29"/>
      <c r="P56" s="29"/>
      <c r="Q56" s="29"/>
      <c r="R56" s="29"/>
      <c r="S56" s="29"/>
      <c r="T56" s="29"/>
      <c r="U56" s="72"/>
      <c r="V56" s="72"/>
      <c r="W56" s="72"/>
      <c r="X56" s="72"/>
      <c r="Y56" s="72"/>
      <c r="Z56" s="29"/>
      <c r="AA56" s="29"/>
      <c r="AB56" s="29"/>
      <c r="AC56" s="29"/>
      <c r="AD56" s="75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72"/>
      <c r="BN56" s="72"/>
      <c r="BO56" s="29"/>
    </row>
    <row r="57" ht="12.75" customHeight="1">
      <c r="A57" s="29"/>
      <c r="B57" s="29"/>
      <c r="C57" s="29"/>
      <c r="D57" s="29"/>
      <c r="E57" s="69"/>
      <c r="F57" s="69"/>
      <c r="G57" s="69"/>
      <c r="H57" s="69"/>
      <c r="I57" s="69"/>
      <c r="J57" s="69"/>
      <c r="K57" s="69"/>
      <c r="L57" s="69"/>
      <c r="M57" s="29"/>
      <c r="N57" s="29"/>
      <c r="O57" s="29"/>
      <c r="P57" s="29"/>
      <c r="Q57" s="29"/>
      <c r="R57" s="29"/>
      <c r="S57" s="29"/>
      <c r="T57" s="29"/>
      <c r="U57" s="72"/>
      <c r="V57" s="72"/>
      <c r="W57" s="72"/>
      <c r="X57" s="72"/>
      <c r="Y57" s="72"/>
      <c r="Z57" s="29"/>
      <c r="AA57" s="29"/>
      <c r="AB57" s="29"/>
      <c r="AC57" s="29"/>
      <c r="AD57" s="75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72"/>
      <c r="BN57" s="72"/>
      <c r="BO57" s="29"/>
    </row>
    <row r="58" ht="12.75" customHeight="1">
      <c r="A58" s="29"/>
      <c r="B58" s="29"/>
      <c r="C58" s="29"/>
      <c r="D58" s="29"/>
      <c r="E58" s="69"/>
      <c r="F58" s="69"/>
      <c r="G58" s="69"/>
      <c r="H58" s="69"/>
      <c r="I58" s="69"/>
      <c r="J58" s="69"/>
      <c r="K58" s="69"/>
      <c r="L58" s="69"/>
      <c r="M58" s="29"/>
      <c r="N58" s="29"/>
      <c r="O58" s="29"/>
      <c r="P58" s="29"/>
      <c r="Q58" s="29"/>
      <c r="R58" s="29"/>
      <c r="S58" s="29"/>
      <c r="T58" s="29"/>
      <c r="U58" s="72"/>
      <c r="V58" s="72"/>
      <c r="W58" s="72"/>
      <c r="X58" s="72"/>
      <c r="Y58" s="72"/>
      <c r="Z58" s="29"/>
      <c r="AA58" s="29"/>
      <c r="AB58" s="29"/>
      <c r="AC58" s="29"/>
      <c r="AD58" s="75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72"/>
      <c r="BN58" s="72"/>
      <c r="BO58" s="29"/>
    </row>
    <row r="59" ht="12.75" customHeight="1">
      <c r="A59" s="29"/>
      <c r="B59" s="29"/>
      <c r="C59" s="29"/>
      <c r="D59" s="29"/>
      <c r="E59" s="69"/>
      <c r="F59" s="69"/>
      <c r="G59" s="69"/>
      <c r="H59" s="69"/>
      <c r="I59" s="69"/>
      <c r="J59" s="69"/>
      <c r="K59" s="69"/>
      <c r="L59" s="69"/>
      <c r="M59" s="29"/>
      <c r="N59" s="29"/>
      <c r="O59" s="29"/>
      <c r="P59" s="29"/>
      <c r="Q59" s="29"/>
      <c r="R59" s="29"/>
      <c r="S59" s="29"/>
      <c r="T59" s="29"/>
      <c r="U59" s="72"/>
      <c r="V59" s="72"/>
      <c r="W59" s="72"/>
      <c r="X59" s="72"/>
      <c r="Y59" s="72"/>
      <c r="Z59" s="29"/>
      <c r="AA59" s="29"/>
      <c r="AB59" s="29"/>
      <c r="AC59" s="29"/>
      <c r="AD59" s="75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72"/>
      <c r="BN59" s="72"/>
      <c r="BO59" s="29"/>
    </row>
    <row r="60" ht="12.75" customHeight="1">
      <c r="A60" s="29"/>
      <c r="B60" s="29"/>
      <c r="C60" s="29"/>
      <c r="D60" s="29"/>
      <c r="E60" s="69"/>
      <c r="F60" s="69"/>
      <c r="G60" s="69"/>
      <c r="H60" s="69"/>
      <c r="I60" s="69"/>
      <c r="J60" s="69"/>
      <c r="K60" s="69"/>
      <c r="L60" s="69"/>
      <c r="M60" s="29"/>
      <c r="N60" s="29"/>
      <c r="O60" s="29"/>
      <c r="P60" s="29"/>
      <c r="Q60" s="29"/>
      <c r="R60" s="29"/>
      <c r="S60" s="29"/>
      <c r="T60" s="29"/>
      <c r="U60" s="72"/>
      <c r="V60" s="72"/>
      <c r="W60" s="72"/>
      <c r="X60" s="72"/>
      <c r="Y60" s="72"/>
      <c r="Z60" s="29"/>
      <c r="AA60" s="29"/>
      <c r="AB60" s="29"/>
      <c r="AC60" s="29"/>
      <c r="AD60" s="75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72"/>
      <c r="BN60" s="72"/>
      <c r="BO60" s="29"/>
    </row>
    <row r="61" ht="12.75" customHeight="1">
      <c r="A61" s="29"/>
      <c r="B61" s="29"/>
      <c r="C61" s="29"/>
      <c r="D61" s="29"/>
      <c r="E61" s="69"/>
      <c r="F61" s="69"/>
      <c r="G61" s="69"/>
      <c r="H61" s="69"/>
      <c r="I61" s="69"/>
      <c r="J61" s="69"/>
      <c r="K61" s="69"/>
      <c r="L61" s="69"/>
      <c r="M61" s="29"/>
      <c r="N61" s="29"/>
      <c r="O61" s="29"/>
      <c r="P61" s="29"/>
      <c r="Q61" s="29"/>
      <c r="R61" s="29"/>
      <c r="S61" s="29"/>
      <c r="T61" s="29"/>
      <c r="U61" s="72"/>
      <c r="V61" s="72"/>
      <c r="W61" s="72"/>
      <c r="X61" s="72"/>
      <c r="Y61" s="72"/>
      <c r="Z61" s="29"/>
      <c r="AA61" s="29"/>
      <c r="AB61" s="29"/>
      <c r="AC61" s="29"/>
      <c r="AD61" s="75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72"/>
      <c r="BN61" s="72"/>
      <c r="BO61" s="29"/>
    </row>
    <row r="62" ht="12.75" customHeight="1">
      <c r="A62" s="29"/>
      <c r="B62" s="29"/>
      <c r="C62" s="29"/>
      <c r="D62" s="29"/>
      <c r="E62" s="69"/>
      <c r="F62" s="69"/>
      <c r="G62" s="69"/>
      <c r="H62" s="69"/>
      <c r="I62" s="69"/>
      <c r="J62" s="69"/>
      <c r="K62" s="69"/>
      <c r="L62" s="69"/>
      <c r="M62" s="29"/>
      <c r="N62" s="29"/>
      <c r="O62" s="29"/>
      <c r="P62" s="29"/>
      <c r="Q62" s="29"/>
      <c r="R62" s="29"/>
      <c r="S62" s="29"/>
      <c r="T62" s="29"/>
      <c r="U62" s="72"/>
      <c r="V62" s="72"/>
      <c r="W62" s="72"/>
      <c r="X62" s="72"/>
      <c r="Y62" s="72"/>
      <c r="Z62" s="29"/>
      <c r="AA62" s="29"/>
      <c r="AB62" s="29"/>
      <c r="AC62" s="29"/>
      <c r="AD62" s="75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72"/>
      <c r="BN62" s="72"/>
      <c r="BO62" s="29"/>
    </row>
    <row r="63" ht="12.75" customHeight="1">
      <c r="A63" s="29"/>
      <c r="B63" s="29"/>
      <c r="C63" s="29"/>
      <c r="D63" s="29"/>
      <c r="E63" s="69"/>
      <c r="F63" s="69"/>
      <c r="G63" s="69"/>
      <c r="H63" s="69"/>
      <c r="I63" s="69"/>
      <c r="J63" s="69"/>
      <c r="K63" s="69"/>
      <c r="L63" s="69"/>
      <c r="M63" s="29"/>
      <c r="N63" s="29"/>
      <c r="O63" s="29"/>
      <c r="P63" s="29"/>
      <c r="Q63" s="29"/>
      <c r="R63" s="29"/>
      <c r="S63" s="29"/>
      <c r="T63" s="29"/>
      <c r="U63" s="72"/>
      <c r="V63" s="72"/>
      <c r="W63" s="72"/>
      <c r="X63" s="72"/>
      <c r="Y63" s="72"/>
      <c r="Z63" s="29"/>
      <c r="AA63" s="29"/>
      <c r="AB63" s="29"/>
      <c r="AC63" s="29"/>
      <c r="AD63" s="75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72"/>
      <c r="BN63" s="72"/>
      <c r="BO63" s="29"/>
    </row>
    <row r="64" ht="12.75" customHeight="1">
      <c r="A64" s="29"/>
      <c r="B64" s="29"/>
      <c r="C64" s="29"/>
      <c r="D64" s="29"/>
      <c r="E64" s="69"/>
      <c r="F64" s="69"/>
      <c r="G64" s="69"/>
      <c r="H64" s="69"/>
      <c r="I64" s="69"/>
      <c r="J64" s="69"/>
      <c r="K64" s="69"/>
      <c r="L64" s="69"/>
      <c r="M64" s="29"/>
      <c r="N64" s="29"/>
      <c r="O64" s="29"/>
      <c r="P64" s="29"/>
      <c r="Q64" s="29"/>
      <c r="R64" s="29"/>
      <c r="S64" s="29"/>
      <c r="T64" s="29"/>
      <c r="U64" s="72"/>
      <c r="V64" s="72"/>
      <c r="W64" s="72"/>
      <c r="X64" s="72"/>
      <c r="Y64" s="72"/>
      <c r="Z64" s="29"/>
      <c r="AA64" s="29"/>
      <c r="AB64" s="29"/>
      <c r="AC64" s="29"/>
      <c r="AD64" s="75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72"/>
      <c r="BN64" s="72"/>
      <c r="BO64" s="29"/>
    </row>
    <row r="65" ht="12.75" customHeight="1">
      <c r="A65" s="29"/>
      <c r="B65" s="29"/>
      <c r="C65" s="29"/>
      <c r="D65" s="29"/>
      <c r="E65" s="69"/>
      <c r="F65" s="69"/>
      <c r="G65" s="69"/>
      <c r="H65" s="69"/>
      <c r="I65" s="69"/>
      <c r="J65" s="69"/>
      <c r="K65" s="69"/>
      <c r="L65" s="69"/>
      <c r="M65" s="29"/>
      <c r="N65" s="29"/>
      <c r="O65" s="29"/>
      <c r="P65" s="29"/>
      <c r="Q65" s="29"/>
      <c r="R65" s="29"/>
      <c r="S65" s="29"/>
      <c r="T65" s="29"/>
      <c r="U65" s="72"/>
      <c r="V65" s="72"/>
      <c r="W65" s="72"/>
      <c r="X65" s="72"/>
      <c r="Y65" s="72"/>
      <c r="Z65" s="29"/>
      <c r="AA65" s="29"/>
      <c r="AB65" s="29"/>
      <c r="AC65" s="29"/>
      <c r="AD65" s="75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72"/>
      <c r="BN65" s="72"/>
      <c r="BO65" s="29"/>
    </row>
    <row r="66" ht="12.75" customHeight="1">
      <c r="A66" s="29"/>
      <c r="B66" s="29"/>
      <c r="C66" s="29"/>
      <c r="D66" s="29"/>
      <c r="E66" s="69"/>
      <c r="F66" s="69"/>
      <c r="G66" s="69"/>
      <c r="H66" s="69"/>
      <c r="I66" s="69"/>
      <c r="J66" s="69"/>
      <c r="K66" s="69"/>
      <c r="L66" s="69"/>
      <c r="M66" s="29"/>
      <c r="N66" s="29"/>
      <c r="O66" s="29"/>
      <c r="P66" s="29"/>
      <c r="Q66" s="29"/>
      <c r="R66" s="29"/>
      <c r="S66" s="29"/>
      <c r="T66" s="29"/>
      <c r="U66" s="72"/>
      <c r="V66" s="72"/>
      <c r="W66" s="72"/>
      <c r="X66" s="72"/>
      <c r="Y66" s="72"/>
      <c r="Z66" s="29"/>
      <c r="AA66" s="29"/>
      <c r="AB66" s="29"/>
      <c r="AC66" s="29"/>
      <c r="AD66" s="75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72"/>
      <c r="BN66" s="72"/>
      <c r="BO66" s="29"/>
    </row>
    <row r="67" ht="12.75" customHeight="1">
      <c r="A67" s="29"/>
      <c r="B67" s="29"/>
      <c r="C67" s="29"/>
      <c r="D67" s="29"/>
      <c r="E67" s="69"/>
      <c r="F67" s="69"/>
      <c r="G67" s="69"/>
      <c r="H67" s="69"/>
      <c r="I67" s="69"/>
      <c r="J67" s="69"/>
      <c r="K67" s="69"/>
      <c r="L67" s="69"/>
      <c r="M67" s="29"/>
      <c r="N67" s="29"/>
      <c r="O67" s="29"/>
      <c r="P67" s="29"/>
      <c r="Q67" s="29"/>
      <c r="R67" s="29"/>
      <c r="S67" s="29"/>
      <c r="T67" s="29"/>
      <c r="U67" s="72"/>
      <c r="V67" s="72"/>
      <c r="W67" s="72"/>
      <c r="X67" s="72"/>
      <c r="Y67" s="72"/>
      <c r="Z67" s="29"/>
      <c r="AA67" s="29"/>
      <c r="AB67" s="29"/>
      <c r="AC67" s="29"/>
      <c r="AD67" s="75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72"/>
      <c r="BN67" s="72"/>
      <c r="BO67" s="29"/>
    </row>
    <row r="68" ht="12.75" customHeight="1">
      <c r="A68" s="29"/>
      <c r="B68" s="29"/>
      <c r="C68" s="29"/>
      <c r="D68" s="29"/>
      <c r="E68" s="69"/>
      <c r="F68" s="69"/>
      <c r="G68" s="69"/>
      <c r="H68" s="69"/>
      <c r="I68" s="69"/>
      <c r="J68" s="69"/>
      <c r="K68" s="69"/>
      <c r="L68" s="69"/>
      <c r="M68" s="29"/>
      <c r="N68" s="29"/>
      <c r="O68" s="29"/>
      <c r="P68" s="29"/>
      <c r="Q68" s="29"/>
      <c r="R68" s="29"/>
      <c r="S68" s="29"/>
      <c r="T68" s="29"/>
      <c r="U68" s="72"/>
      <c r="V68" s="72"/>
      <c r="W68" s="72"/>
      <c r="X68" s="72"/>
      <c r="Y68" s="72"/>
      <c r="Z68" s="29"/>
      <c r="AA68" s="29"/>
      <c r="AB68" s="29"/>
      <c r="AC68" s="29"/>
      <c r="AD68" s="75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72"/>
      <c r="BN68" s="72"/>
      <c r="BO68" s="29"/>
    </row>
    <row r="69" ht="12.75" customHeight="1">
      <c r="A69" s="29"/>
      <c r="B69" s="29"/>
      <c r="C69" s="29"/>
      <c r="D69" s="29"/>
      <c r="E69" s="69"/>
      <c r="F69" s="69"/>
      <c r="G69" s="69"/>
      <c r="H69" s="69"/>
      <c r="I69" s="69"/>
      <c r="J69" s="69"/>
      <c r="K69" s="69"/>
      <c r="L69" s="69"/>
      <c r="M69" s="29"/>
      <c r="N69" s="29"/>
      <c r="O69" s="29"/>
      <c r="P69" s="29"/>
      <c r="Q69" s="29"/>
      <c r="R69" s="29"/>
      <c r="S69" s="29"/>
      <c r="T69" s="29"/>
      <c r="U69" s="72"/>
      <c r="V69" s="72"/>
      <c r="W69" s="72"/>
      <c r="X69" s="72"/>
      <c r="Y69" s="72"/>
      <c r="Z69" s="29"/>
      <c r="AA69" s="29"/>
      <c r="AB69" s="29"/>
      <c r="AC69" s="29"/>
      <c r="AD69" s="75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72"/>
      <c r="BN69" s="72"/>
      <c r="BO69" s="29"/>
    </row>
    <row r="70" ht="12.75" customHeight="1">
      <c r="A70" s="29"/>
      <c r="B70" s="29"/>
      <c r="C70" s="29"/>
      <c r="D70" s="29"/>
      <c r="E70" s="69"/>
      <c r="F70" s="69"/>
      <c r="G70" s="69"/>
      <c r="H70" s="69"/>
      <c r="I70" s="69"/>
      <c r="J70" s="69"/>
      <c r="K70" s="69"/>
      <c r="L70" s="69"/>
      <c r="M70" s="29"/>
      <c r="N70" s="29"/>
      <c r="O70" s="29"/>
      <c r="P70" s="29"/>
      <c r="Q70" s="29"/>
      <c r="R70" s="29"/>
      <c r="S70" s="29"/>
      <c r="T70" s="29"/>
      <c r="U70" s="72"/>
      <c r="V70" s="72"/>
      <c r="W70" s="72"/>
      <c r="X70" s="72"/>
      <c r="Y70" s="72"/>
      <c r="Z70" s="29"/>
      <c r="AA70" s="29"/>
      <c r="AB70" s="29"/>
      <c r="AC70" s="29"/>
      <c r="AD70" s="75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72"/>
      <c r="BN70" s="72"/>
      <c r="BO70" s="29"/>
    </row>
    <row r="71" ht="12.75" customHeight="1">
      <c r="A71" s="29"/>
      <c r="B71" s="29"/>
      <c r="C71" s="29"/>
      <c r="D71" s="29"/>
      <c r="E71" s="69"/>
      <c r="F71" s="69"/>
      <c r="G71" s="69"/>
      <c r="H71" s="69"/>
      <c r="I71" s="69"/>
      <c r="J71" s="69"/>
      <c r="K71" s="69"/>
      <c r="L71" s="69"/>
      <c r="M71" s="29"/>
      <c r="N71" s="29"/>
      <c r="O71" s="29"/>
      <c r="P71" s="29"/>
      <c r="Q71" s="29"/>
      <c r="R71" s="29"/>
      <c r="S71" s="29"/>
      <c r="T71" s="29"/>
      <c r="U71" s="72"/>
      <c r="V71" s="72"/>
      <c r="W71" s="72"/>
      <c r="X71" s="72"/>
      <c r="Y71" s="72"/>
      <c r="Z71" s="29"/>
      <c r="AA71" s="29"/>
      <c r="AB71" s="29"/>
      <c r="AC71" s="29"/>
      <c r="AD71" s="75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72"/>
      <c r="BN71" s="72"/>
      <c r="BO71" s="29"/>
    </row>
    <row r="72" ht="12.75" customHeight="1">
      <c r="A72" s="29"/>
      <c r="B72" s="29"/>
      <c r="C72" s="29"/>
      <c r="D72" s="29"/>
      <c r="E72" s="69"/>
      <c r="F72" s="69"/>
      <c r="G72" s="69"/>
      <c r="H72" s="69"/>
      <c r="I72" s="69"/>
      <c r="J72" s="69"/>
      <c r="K72" s="69"/>
      <c r="L72" s="69"/>
      <c r="M72" s="29"/>
      <c r="N72" s="29"/>
      <c r="O72" s="29"/>
      <c r="P72" s="29"/>
      <c r="Q72" s="29"/>
      <c r="R72" s="29"/>
      <c r="S72" s="29"/>
      <c r="T72" s="29"/>
      <c r="U72" s="72"/>
      <c r="V72" s="72"/>
      <c r="W72" s="72"/>
      <c r="X72" s="72"/>
      <c r="Y72" s="72"/>
      <c r="Z72" s="29"/>
      <c r="AA72" s="29"/>
      <c r="AB72" s="29"/>
      <c r="AC72" s="29"/>
      <c r="AD72" s="75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72"/>
      <c r="BN72" s="72"/>
      <c r="BO72" s="29"/>
    </row>
    <row r="73" ht="12.75" customHeight="1">
      <c r="A73" s="29"/>
      <c r="B73" s="29"/>
      <c r="C73" s="29"/>
      <c r="D73" s="29"/>
      <c r="E73" s="69"/>
      <c r="F73" s="69"/>
      <c r="G73" s="69"/>
      <c r="H73" s="69"/>
      <c r="I73" s="69"/>
      <c r="J73" s="69"/>
      <c r="K73" s="69"/>
      <c r="L73" s="69"/>
      <c r="M73" s="29"/>
      <c r="N73" s="29"/>
      <c r="O73" s="29"/>
      <c r="P73" s="29"/>
      <c r="Q73" s="29"/>
      <c r="R73" s="29"/>
      <c r="S73" s="29"/>
      <c r="T73" s="29"/>
      <c r="U73" s="72"/>
      <c r="V73" s="72"/>
      <c r="W73" s="72"/>
      <c r="X73" s="72"/>
      <c r="Y73" s="72"/>
      <c r="Z73" s="29"/>
      <c r="AA73" s="29"/>
      <c r="AB73" s="29"/>
      <c r="AC73" s="29"/>
      <c r="AD73" s="75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72"/>
      <c r="BN73" s="72"/>
      <c r="BO73" s="29"/>
    </row>
    <row r="74" ht="12.75" customHeight="1">
      <c r="A74" s="29"/>
      <c r="B74" s="29"/>
      <c r="C74" s="29"/>
      <c r="D74" s="29"/>
      <c r="E74" s="69"/>
      <c r="F74" s="69"/>
      <c r="G74" s="69"/>
      <c r="H74" s="69"/>
      <c r="I74" s="69"/>
      <c r="J74" s="69"/>
      <c r="K74" s="69"/>
      <c r="L74" s="69"/>
      <c r="M74" s="29"/>
      <c r="N74" s="29"/>
      <c r="O74" s="29"/>
      <c r="P74" s="29"/>
      <c r="Q74" s="29"/>
      <c r="R74" s="29"/>
      <c r="S74" s="29"/>
      <c r="T74" s="29"/>
      <c r="U74" s="72"/>
      <c r="V74" s="72"/>
      <c r="W74" s="72"/>
      <c r="X74" s="72"/>
      <c r="Y74" s="72"/>
      <c r="Z74" s="29"/>
      <c r="AA74" s="29"/>
      <c r="AB74" s="29"/>
      <c r="AC74" s="29"/>
      <c r="AD74" s="75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72"/>
      <c r="BN74" s="72"/>
      <c r="BO74" s="29"/>
    </row>
    <row r="75" ht="12.75" customHeight="1">
      <c r="A75" s="29"/>
      <c r="B75" s="29"/>
      <c r="C75" s="29"/>
      <c r="D75" s="29"/>
      <c r="E75" s="69"/>
      <c r="F75" s="69"/>
      <c r="G75" s="69"/>
      <c r="H75" s="69"/>
      <c r="I75" s="69"/>
      <c r="J75" s="69"/>
      <c r="K75" s="69"/>
      <c r="L75" s="69"/>
      <c r="M75" s="29"/>
      <c r="N75" s="29"/>
      <c r="O75" s="29"/>
      <c r="P75" s="29"/>
      <c r="Q75" s="29"/>
      <c r="R75" s="29"/>
      <c r="S75" s="29"/>
      <c r="T75" s="29"/>
      <c r="U75" s="72"/>
      <c r="V75" s="72"/>
      <c r="W75" s="72"/>
      <c r="X75" s="72"/>
      <c r="Y75" s="72"/>
      <c r="Z75" s="29"/>
      <c r="AA75" s="29"/>
      <c r="AB75" s="29"/>
      <c r="AC75" s="29"/>
      <c r="AD75" s="75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72"/>
      <c r="BN75" s="72"/>
      <c r="BO75" s="29"/>
    </row>
    <row r="76" ht="12.75" customHeight="1">
      <c r="A76" s="29"/>
      <c r="B76" s="29"/>
      <c r="C76" s="29"/>
      <c r="D76" s="29"/>
      <c r="E76" s="69"/>
      <c r="F76" s="69"/>
      <c r="G76" s="69"/>
      <c r="H76" s="69"/>
      <c r="I76" s="69"/>
      <c r="J76" s="69"/>
      <c r="K76" s="69"/>
      <c r="L76" s="69"/>
      <c r="M76" s="29"/>
      <c r="N76" s="29"/>
      <c r="O76" s="29"/>
      <c r="P76" s="29"/>
      <c r="Q76" s="29"/>
      <c r="R76" s="29"/>
      <c r="S76" s="29"/>
      <c r="T76" s="29"/>
      <c r="U76" s="72"/>
      <c r="V76" s="72"/>
      <c r="W76" s="72"/>
      <c r="X76" s="72"/>
      <c r="Y76" s="72"/>
      <c r="Z76" s="29"/>
      <c r="AA76" s="29"/>
      <c r="AB76" s="29"/>
      <c r="AC76" s="29"/>
      <c r="AD76" s="75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72"/>
      <c r="BN76" s="72"/>
      <c r="BO76" s="29"/>
    </row>
    <row r="77" ht="12.75" customHeight="1">
      <c r="A77" s="29"/>
      <c r="B77" s="29"/>
      <c r="C77" s="29"/>
      <c r="D77" s="29"/>
      <c r="E77" s="69"/>
      <c r="F77" s="69"/>
      <c r="G77" s="69"/>
      <c r="H77" s="69"/>
      <c r="I77" s="69"/>
      <c r="J77" s="69"/>
      <c r="K77" s="69"/>
      <c r="L77" s="69"/>
      <c r="M77" s="29"/>
      <c r="N77" s="29"/>
      <c r="O77" s="29"/>
      <c r="P77" s="29"/>
      <c r="Q77" s="29"/>
      <c r="R77" s="29"/>
      <c r="S77" s="29"/>
      <c r="T77" s="29"/>
      <c r="U77" s="72"/>
      <c r="V77" s="72"/>
      <c r="W77" s="72"/>
      <c r="X77" s="72"/>
      <c r="Y77" s="72"/>
      <c r="Z77" s="29"/>
      <c r="AA77" s="29"/>
      <c r="AB77" s="29"/>
      <c r="AC77" s="29"/>
      <c r="AD77" s="75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72"/>
      <c r="BN77" s="72"/>
      <c r="BO77" s="29"/>
    </row>
    <row r="78" ht="12.75" customHeight="1">
      <c r="A78" s="29"/>
      <c r="B78" s="29"/>
      <c r="C78" s="29"/>
      <c r="D78" s="29"/>
      <c r="E78" s="69"/>
      <c r="F78" s="69"/>
      <c r="G78" s="69"/>
      <c r="H78" s="69"/>
      <c r="I78" s="69"/>
      <c r="J78" s="69"/>
      <c r="K78" s="69"/>
      <c r="L78" s="69"/>
      <c r="M78" s="29"/>
      <c r="N78" s="29"/>
      <c r="O78" s="29"/>
      <c r="P78" s="29"/>
      <c r="Q78" s="29"/>
      <c r="R78" s="29"/>
      <c r="S78" s="29"/>
      <c r="T78" s="29"/>
      <c r="U78" s="72"/>
      <c r="V78" s="72"/>
      <c r="W78" s="72"/>
      <c r="X78" s="72"/>
      <c r="Y78" s="72"/>
      <c r="Z78" s="29"/>
      <c r="AA78" s="29"/>
      <c r="AB78" s="29"/>
      <c r="AC78" s="29"/>
      <c r="AD78" s="75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72"/>
      <c r="BN78" s="72"/>
      <c r="BO78" s="29"/>
    </row>
    <row r="79" ht="12.75" customHeight="1">
      <c r="A79" s="29"/>
      <c r="B79" s="29"/>
      <c r="C79" s="29"/>
      <c r="D79" s="29"/>
      <c r="E79" s="69"/>
      <c r="F79" s="69"/>
      <c r="G79" s="69"/>
      <c r="H79" s="69"/>
      <c r="I79" s="69"/>
      <c r="J79" s="69"/>
      <c r="K79" s="69"/>
      <c r="L79" s="69"/>
      <c r="M79" s="29"/>
      <c r="N79" s="29"/>
      <c r="O79" s="29"/>
      <c r="P79" s="29"/>
      <c r="Q79" s="29"/>
      <c r="R79" s="29"/>
      <c r="S79" s="29"/>
      <c r="T79" s="29"/>
      <c r="U79" s="72"/>
      <c r="V79" s="72"/>
      <c r="W79" s="72"/>
      <c r="X79" s="72"/>
      <c r="Y79" s="72"/>
      <c r="Z79" s="29"/>
      <c r="AA79" s="29"/>
      <c r="AB79" s="29"/>
      <c r="AC79" s="29"/>
      <c r="AD79" s="75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72"/>
      <c r="BN79" s="72"/>
      <c r="BO79" s="29"/>
    </row>
    <row r="80" ht="12.75" customHeight="1">
      <c r="A80" s="29"/>
      <c r="B80" s="29"/>
      <c r="C80" s="29"/>
      <c r="D80" s="29"/>
      <c r="E80" s="69"/>
      <c r="F80" s="69"/>
      <c r="G80" s="69"/>
      <c r="H80" s="69"/>
      <c r="I80" s="69"/>
      <c r="J80" s="69"/>
      <c r="K80" s="69"/>
      <c r="L80" s="69"/>
      <c r="M80" s="29"/>
      <c r="N80" s="29"/>
      <c r="O80" s="29"/>
      <c r="P80" s="29"/>
      <c r="Q80" s="29"/>
      <c r="R80" s="29"/>
      <c r="S80" s="29"/>
      <c r="T80" s="29"/>
      <c r="U80" s="72"/>
      <c r="V80" s="72"/>
      <c r="W80" s="72"/>
      <c r="X80" s="72"/>
      <c r="Y80" s="72"/>
      <c r="Z80" s="29"/>
      <c r="AA80" s="29"/>
      <c r="AB80" s="29"/>
      <c r="AC80" s="29"/>
      <c r="AD80" s="75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72"/>
      <c r="BN80" s="72"/>
      <c r="BO80" s="29"/>
    </row>
    <row r="81" ht="12.75" customHeight="1">
      <c r="A81" s="29"/>
      <c r="B81" s="29"/>
      <c r="C81" s="29"/>
      <c r="D81" s="29"/>
      <c r="E81" s="69"/>
      <c r="F81" s="69"/>
      <c r="G81" s="69"/>
      <c r="H81" s="69"/>
      <c r="I81" s="69"/>
      <c r="J81" s="69"/>
      <c r="K81" s="69"/>
      <c r="L81" s="69"/>
      <c r="M81" s="29"/>
      <c r="N81" s="29"/>
      <c r="O81" s="29"/>
      <c r="P81" s="29"/>
      <c r="Q81" s="29"/>
      <c r="R81" s="29"/>
      <c r="S81" s="29"/>
      <c r="T81" s="29"/>
      <c r="U81" s="72"/>
      <c r="V81" s="72"/>
      <c r="W81" s="72"/>
      <c r="X81" s="72"/>
      <c r="Y81" s="72"/>
      <c r="Z81" s="29"/>
      <c r="AA81" s="29"/>
      <c r="AB81" s="29"/>
      <c r="AC81" s="29"/>
      <c r="AD81" s="75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72"/>
      <c r="BN81" s="72"/>
      <c r="BO81" s="29"/>
    </row>
    <row r="82" ht="12.75" customHeight="1">
      <c r="A82" s="29"/>
      <c r="B82" s="29"/>
      <c r="C82" s="29"/>
      <c r="D82" s="29"/>
      <c r="E82" s="69"/>
      <c r="F82" s="69"/>
      <c r="G82" s="69"/>
      <c r="H82" s="69"/>
      <c r="I82" s="69"/>
      <c r="J82" s="69"/>
      <c r="K82" s="69"/>
      <c r="L82" s="69"/>
      <c r="M82" s="29"/>
      <c r="N82" s="29"/>
      <c r="O82" s="29"/>
      <c r="P82" s="29"/>
      <c r="Q82" s="29"/>
      <c r="R82" s="29"/>
      <c r="S82" s="29"/>
      <c r="T82" s="29"/>
      <c r="U82" s="72"/>
      <c r="V82" s="72"/>
      <c r="W82" s="72"/>
      <c r="X82" s="72"/>
      <c r="Y82" s="72"/>
      <c r="Z82" s="29"/>
      <c r="AA82" s="29"/>
      <c r="AB82" s="29"/>
      <c r="AC82" s="29"/>
      <c r="AD82" s="75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72"/>
      <c r="BN82" s="72"/>
      <c r="BO82" s="29"/>
    </row>
    <row r="83" ht="12.75" customHeight="1">
      <c r="A83" s="29"/>
      <c r="B83" s="29"/>
      <c r="C83" s="29"/>
      <c r="D83" s="29"/>
      <c r="E83" s="69"/>
      <c r="F83" s="69"/>
      <c r="G83" s="69"/>
      <c r="H83" s="69"/>
      <c r="I83" s="69"/>
      <c r="J83" s="69"/>
      <c r="K83" s="69"/>
      <c r="L83" s="69"/>
      <c r="M83" s="29"/>
      <c r="N83" s="29"/>
      <c r="O83" s="29"/>
      <c r="P83" s="29"/>
      <c r="Q83" s="29"/>
      <c r="R83" s="29"/>
      <c r="S83" s="29"/>
      <c r="T83" s="29"/>
      <c r="U83" s="72"/>
      <c r="V83" s="72"/>
      <c r="W83" s="72"/>
      <c r="X83" s="72"/>
      <c r="Y83" s="72"/>
      <c r="Z83" s="29"/>
      <c r="AA83" s="29"/>
      <c r="AB83" s="29"/>
      <c r="AC83" s="29"/>
      <c r="AD83" s="75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72"/>
      <c r="BN83" s="72"/>
      <c r="BO83" s="29"/>
    </row>
    <row r="84" ht="12.75" customHeight="1">
      <c r="A84" s="29"/>
      <c r="B84" s="29"/>
      <c r="C84" s="29"/>
      <c r="D84" s="29"/>
      <c r="E84" s="69"/>
      <c r="F84" s="69"/>
      <c r="G84" s="69"/>
      <c r="H84" s="69"/>
      <c r="I84" s="69"/>
      <c r="J84" s="69"/>
      <c r="K84" s="69"/>
      <c r="L84" s="69"/>
      <c r="M84" s="29"/>
      <c r="N84" s="29"/>
      <c r="O84" s="29"/>
      <c r="P84" s="29"/>
      <c r="Q84" s="29"/>
      <c r="R84" s="29"/>
      <c r="S84" s="29"/>
      <c r="T84" s="29"/>
      <c r="U84" s="72"/>
      <c r="V84" s="72"/>
      <c r="W84" s="72"/>
      <c r="X84" s="72"/>
      <c r="Y84" s="72"/>
      <c r="Z84" s="29"/>
      <c r="AA84" s="29"/>
      <c r="AB84" s="29"/>
      <c r="AC84" s="29"/>
      <c r="AD84" s="75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72"/>
      <c r="BN84" s="72"/>
      <c r="BO84" s="29"/>
    </row>
    <row r="85" ht="12.75" customHeight="1">
      <c r="A85" s="29"/>
      <c r="B85" s="29"/>
      <c r="C85" s="29"/>
      <c r="D85" s="29"/>
      <c r="E85" s="69"/>
      <c r="F85" s="69"/>
      <c r="G85" s="69"/>
      <c r="H85" s="69"/>
      <c r="I85" s="69"/>
      <c r="J85" s="69"/>
      <c r="K85" s="69"/>
      <c r="L85" s="69"/>
      <c r="M85" s="29"/>
      <c r="N85" s="29"/>
      <c r="O85" s="29"/>
      <c r="P85" s="29"/>
      <c r="Q85" s="29"/>
      <c r="R85" s="29"/>
      <c r="S85" s="29"/>
      <c r="T85" s="29"/>
      <c r="U85" s="72"/>
      <c r="V85" s="72"/>
      <c r="W85" s="72"/>
      <c r="X85" s="72"/>
      <c r="Y85" s="72"/>
      <c r="Z85" s="29"/>
      <c r="AA85" s="29"/>
      <c r="AB85" s="29"/>
      <c r="AC85" s="29"/>
      <c r="AD85" s="75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72"/>
      <c r="BN85" s="72"/>
      <c r="BO85" s="29"/>
    </row>
    <row r="86" ht="12.75" customHeight="1">
      <c r="A86" s="29"/>
      <c r="B86" s="29"/>
      <c r="C86" s="29"/>
      <c r="D86" s="29"/>
      <c r="E86" s="69"/>
      <c r="F86" s="69"/>
      <c r="G86" s="69"/>
      <c r="H86" s="69"/>
      <c r="I86" s="69"/>
      <c r="J86" s="69"/>
      <c r="K86" s="69"/>
      <c r="L86" s="69"/>
      <c r="M86" s="29"/>
      <c r="N86" s="29"/>
      <c r="O86" s="29"/>
      <c r="P86" s="29"/>
      <c r="Q86" s="29"/>
      <c r="R86" s="29"/>
      <c r="S86" s="29"/>
      <c r="T86" s="29"/>
      <c r="U86" s="72"/>
      <c r="V86" s="72"/>
      <c r="W86" s="72"/>
      <c r="X86" s="72"/>
      <c r="Y86" s="72"/>
      <c r="Z86" s="29"/>
      <c r="AA86" s="29"/>
      <c r="AB86" s="29"/>
      <c r="AC86" s="29"/>
      <c r="AD86" s="75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72"/>
      <c r="BN86" s="72"/>
      <c r="BO86" s="29"/>
    </row>
    <row r="87" ht="12.75" customHeight="1">
      <c r="A87" s="29"/>
      <c r="B87" s="29"/>
      <c r="C87" s="29"/>
      <c r="D87" s="29"/>
      <c r="E87" s="69"/>
      <c r="F87" s="69"/>
      <c r="G87" s="69"/>
      <c r="H87" s="69"/>
      <c r="I87" s="69"/>
      <c r="J87" s="69"/>
      <c r="K87" s="69"/>
      <c r="L87" s="69"/>
      <c r="M87" s="29"/>
      <c r="N87" s="29"/>
      <c r="O87" s="29"/>
      <c r="P87" s="29"/>
      <c r="Q87" s="29"/>
      <c r="R87" s="29"/>
      <c r="S87" s="29"/>
      <c r="T87" s="29"/>
      <c r="U87" s="72"/>
      <c r="V87" s="72"/>
      <c r="W87" s="72"/>
      <c r="X87" s="72"/>
      <c r="Y87" s="72"/>
      <c r="Z87" s="29"/>
      <c r="AA87" s="29"/>
      <c r="AB87" s="29"/>
      <c r="AC87" s="29"/>
      <c r="AD87" s="75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72"/>
      <c r="BN87" s="72"/>
      <c r="BO87" s="29"/>
    </row>
    <row r="88" ht="12.75" customHeight="1">
      <c r="A88" s="29"/>
      <c r="B88" s="29"/>
      <c r="C88" s="29"/>
      <c r="D88" s="29"/>
      <c r="E88" s="69"/>
      <c r="F88" s="69"/>
      <c r="G88" s="69"/>
      <c r="H88" s="69"/>
      <c r="I88" s="69"/>
      <c r="J88" s="69"/>
      <c r="K88" s="69"/>
      <c r="L88" s="69"/>
      <c r="M88" s="29"/>
      <c r="N88" s="29"/>
      <c r="O88" s="29"/>
      <c r="P88" s="29"/>
      <c r="Q88" s="29"/>
      <c r="R88" s="29"/>
      <c r="S88" s="29"/>
      <c r="T88" s="29"/>
      <c r="U88" s="72"/>
      <c r="V88" s="72"/>
      <c r="W88" s="72"/>
      <c r="X88" s="72"/>
      <c r="Y88" s="72"/>
      <c r="Z88" s="29"/>
      <c r="AA88" s="29"/>
      <c r="AB88" s="29"/>
      <c r="AC88" s="29"/>
      <c r="AD88" s="75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72"/>
      <c r="BN88" s="72"/>
      <c r="BO88" s="29"/>
    </row>
    <row r="89" ht="12.75" customHeight="1">
      <c r="A89" s="29"/>
      <c r="B89" s="29"/>
      <c r="C89" s="29"/>
      <c r="D89" s="29"/>
      <c r="E89" s="69"/>
      <c r="F89" s="69"/>
      <c r="G89" s="69"/>
      <c r="H89" s="69"/>
      <c r="I89" s="69"/>
      <c r="J89" s="69"/>
      <c r="K89" s="69"/>
      <c r="L89" s="69"/>
      <c r="M89" s="29"/>
      <c r="N89" s="29"/>
      <c r="O89" s="29"/>
      <c r="P89" s="29"/>
      <c r="Q89" s="29"/>
      <c r="R89" s="29"/>
      <c r="S89" s="29"/>
      <c r="T89" s="29"/>
      <c r="U89" s="72"/>
      <c r="V89" s="72"/>
      <c r="W89" s="72"/>
      <c r="X89" s="72"/>
      <c r="Y89" s="72"/>
      <c r="Z89" s="29"/>
      <c r="AA89" s="29"/>
      <c r="AB89" s="29"/>
      <c r="AC89" s="29"/>
      <c r="AD89" s="75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72"/>
      <c r="BN89" s="72"/>
      <c r="BO89" s="29"/>
    </row>
    <row r="90" ht="12.75" customHeight="1">
      <c r="A90" s="29"/>
      <c r="B90" s="29"/>
      <c r="C90" s="29"/>
      <c r="D90" s="29"/>
      <c r="E90" s="69"/>
      <c r="F90" s="69"/>
      <c r="G90" s="69"/>
      <c r="H90" s="69"/>
      <c r="I90" s="69"/>
      <c r="J90" s="69"/>
      <c r="K90" s="69"/>
      <c r="L90" s="69"/>
      <c r="M90" s="29"/>
      <c r="N90" s="29"/>
      <c r="O90" s="29"/>
      <c r="P90" s="29"/>
      <c r="Q90" s="29"/>
      <c r="R90" s="29"/>
      <c r="S90" s="29"/>
      <c r="T90" s="29"/>
      <c r="U90" s="72"/>
      <c r="V90" s="72"/>
      <c r="W90" s="72"/>
      <c r="X90" s="72"/>
      <c r="Y90" s="72"/>
      <c r="Z90" s="29"/>
      <c r="AA90" s="29"/>
      <c r="AB90" s="29"/>
      <c r="AC90" s="29"/>
      <c r="AD90" s="75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72"/>
      <c r="BN90" s="72"/>
      <c r="BO90" s="29"/>
    </row>
    <row r="91" ht="12.75" customHeight="1">
      <c r="A91" s="29"/>
      <c r="B91" s="29"/>
      <c r="C91" s="29"/>
      <c r="D91" s="29"/>
      <c r="E91" s="69"/>
      <c r="F91" s="69"/>
      <c r="G91" s="69"/>
      <c r="H91" s="69"/>
      <c r="I91" s="69"/>
      <c r="J91" s="69"/>
      <c r="K91" s="69"/>
      <c r="L91" s="69"/>
      <c r="M91" s="29"/>
      <c r="N91" s="29"/>
      <c r="O91" s="29"/>
      <c r="P91" s="29"/>
      <c r="Q91" s="29"/>
      <c r="R91" s="29"/>
      <c r="S91" s="29"/>
      <c r="T91" s="29"/>
      <c r="U91" s="72"/>
      <c r="V91" s="72"/>
      <c r="W91" s="72"/>
      <c r="X91" s="72"/>
      <c r="Y91" s="72"/>
      <c r="Z91" s="29"/>
      <c r="AA91" s="29"/>
      <c r="AB91" s="29"/>
      <c r="AC91" s="29"/>
      <c r="AD91" s="75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72"/>
      <c r="BN91" s="72"/>
      <c r="BO91" s="29"/>
    </row>
    <row r="92" ht="12.75" customHeight="1">
      <c r="A92" s="29"/>
      <c r="B92" s="29"/>
      <c r="C92" s="29"/>
      <c r="D92" s="29"/>
      <c r="E92" s="69"/>
      <c r="F92" s="69"/>
      <c r="G92" s="69"/>
      <c r="H92" s="69"/>
      <c r="I92" s="69"/>
      <c r="J92" s="69"/>
      <c r="K92" s="69"/>
      <c r="L92" s="69"/>
      <c r="M92" s="29"/>
      <c r="N92" s="29"/>
      <c r="O92" s="29"/>
      <c r="P92" s="29"/>
      <c r="Q92" s="29"/>
      <c r="R92" s="29"/>
      <c r="S92" s="29"/>
      <c r="T92" s="29"/>
      <c r="U92" s="72"/>
      <c r="V92" s="72"/>
      <c r="W92" s="72"/>
      <c r="X92" s="72"/>
      <c r="Y92" s="72"/>
      <c r="Z92" s="29"/>
      <c r="AA92" s="29"/>
      <c r="AB92" s="29"/>
      <c r="AC92" s="29"/>
      <c r="AD92" s="75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72"/>
      <c r="BN92" s="72"/>
      <c r="BO92" s="29"/>
    </row>
    <row r="93" ht="12.75" customHeight="1">
      <c r="A93" s="29"/>
      <c r="B93" s="29"/>
      <c r="C93" s="29"/>
      <c r="D93" s="29"/>
      <c r="E93" s="69"/>
      <c r="F93" s="69"/>
      <c r="G93" s="69"/>
      <c r="H93" s="69"/>
      <c r="I93" s="69"/>
      <c r="J93" s="69"/>
      <c r="K93" s="69"/>
      <c r="L93" s="69"/>
      <c r="M93" s="29"/>
      <c r="N93" s="29"/>
      <c r="O93" s="29"/>
      <c r="P93" s="29"/>
      <c r="Q93" s="29"/>
      <c r="R93" s="29"/>
      <c r="S93" s="29"/>
      <c r="T93" s="29"/>
      <c r="U93" s="72"/>
      <c r="V93" s="72"/>
      <c r="W93" s="72"/>
      <c r="X93" s="72"/>
      <c r="Y93" s="72"/>
      <c r="Z93" s="29"/>
      <c r="AA93" s="29"/>
      <c r="AB93" s="29"/>
      <c r="AC93" s="29"/>
      <c r="AD93" s="75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72"/>
      <c r="BN93" s="72"/>
      <c r="BO93" s="29"/>
    </row>
    <row r="94" ht="12.75" customHeight="1">
      <c r="A94" s="29"/>
      <c r="B94" s="29"/>
      <c r="C94" s="29"/>
      <c r="D94" s="29"/>
      <c r="E94" s="69"/>
      <c r="F94" s="69"/>
      <c r="G94" s="69"/>
      <c r="H94" s="69"/>
      <c r="I94" s="69"/>
      <c r="J94" s="69"/>
      <c r="K94" s="69"/>
      <c r="L94" s="69"/>
      <c r="M94" s="29"/>
      <c r="N94" s="29"/>
      <c r="O94" s="29"/>
      <c r="P94" s="29"/>
      <c r="Q94" s="29"/>
      <c r="R94" s="29"/>
      <c r="S94" s="29"/>
      <c r="T94" s="29"/>
      <c r="U94" s="72"/>
      <c r="V94" s="72"/>
      <c r="W94" s="72"/>
      <c r="X94" s="72"/>
      <c r="Y94" s="72"/>
      <c r="Z94" s="29"/>
      <c r="AA94" s="29"/>
      <c r="AB94" s="29"/>
      <c r="AC94" s="29"/>
      <c r="AD94" s="75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72"/>
      <c r="BN94" s="72"/>
      <c r="BO94" s="29"/>
    </row>
    <row r="95" ht="12.75" customHeight="1">
      <c r="A95" s="29"/>
      <c r="B95" s="29"/>
      <c r="C95" s="29"/>
      <c r="D95" s="29"/>
      <c r="E95" s="69"/>
      <c r="F95" s="69"/>
      <c r="G95" s="69"/>
      <c r="H95" s="69"/>
      <c r="I95" s="69"/>
      <c r="J95" s="69"/>
      <c r="K95" s="69"/>
      <c r="L95" s="69"/>
      <c r="M95" s="29"/>
      <c r="N95" s="29"/>
      <c r="O95" s="29"/>
      <c r="P95" s="29"/>
      <c r="Q95" s="29"/>
      <c r="R95" s="29"/>
      <c r="S95" s="29"/>
      <c r="T95" s="29"/>
      <c r="U95" s="72"/>
      <c r="V95" s="72"/>
      <c r="W95" s="72"/>
      <c r="X95" s="72"/>
      <c r="Y95" s="72"/>
      <c r="Z95" s="29"/>
      <c r="AA95" s="29"/>
      <c r="AB95" s="29"/>
      <c r="AC95" s="29"/>
      <c r="AD95" s="75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72"/>
      <c r="BN95" s="72"/>
      <c r="BO95" s="29"/>
    </row>
    <row r="96" ht="12.75" customHeight="1">
      <c r="A96" s="29"/>
      <c r="B96" s="29"/>
      <c r="C96" s="29"/>
      <c r="D96" s="29"/>
      <c r="E96" s="69"/>
      <c r="F96" s="69"/>
      <c r="G96" s="69"/>
      <c r="H96" s="69"/>
      <c r="I96" s="69"/>
      <c r="J96" s="69"/>
      <c r="K96" s="69"/>
      <c r="L96" s="69"/>
      <c r="M96" s="29"/>
      <c r="N96" s="29"/>
      <c r="O96" s="29"/>
      <c r="P96" s="29"/>
      <c r="Q96" s="29"/>
      <c r="R96" s="29"/>
      <c r="S96" s="29"/>
      <c r="T96" s="29"/>
      <c r="U96" s="72"/>
      <c r="V96" s="72"/>
      <c r="W96" s="72"/>
      <c r="X96" s="72"/>
      <c r="Y96" s="72"/>
      <c r="Z96" s="29"/>
      <c r="AA96" s="29"/>
      <c r="AB96" s="29"/>
      <c r="AC96" s="29"/>
      <c r="AD96" s="75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72"/>
      <c r="BN96" s="72"/>
      <c r="BO96" s="29"/>
    </row>
    <row r="97" ht="12.75" customHeight="1">
      <c r="A97" s="29"/>
      <c r="B97" s="29"/>
      <c r="C97" s="29"/>
      <c r="D97" s="29"/>
      <c r="E97" s="69"/>
      <c r="F97" s="69"/>
      <c r="G97" s="69"/>
      <c r="H97" s="69"/>
      <c r="I97" s="69"/>
      <c r="J97" s="69"/>
      <c r="K97" s="69"/>
      <c r="L97" s="69"/>
      <c r="M97" s="29"/>
      <c r="N97" s="29"/>
      <c r="O97" s="29"/>
      <c r="P97" s="29"/>
      <c r="Q97" s="29"/>
      <c r="R97" s="29"/>
      <c r="S97" s="29"/>
      <c r="T97" s="29"/>
      <c r="U97" s="72"/>
      <c r="V97" s="72"/>
      <c r="W97" s="72"/>
      <c r="X97" s="72"/>
      <c r="Y97" s="72"/>
      <c r="Z97" s="29"/>
      <c r="AA97" s="29"/>
      <c r="AB97" s="29"/>
      <c r="AC97" s="29"/>
      <c r="AD97" s="75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72"/>
      <c r="BN97" s="72"/>
      <c r="BO97" s="29"/>
    </row>
    <row r="98" ht="12.75" customHeight="1">
      <c r="A98" s="29"/>
      <c r="B98" s="29"/>
      <c r="C98" s="29"/>
      <c r="D98" s="29"/>
      <c r="E98" s="69"/>
      <c r="F98" s="69"/>
      <c r="G98" s="69"/>
      <c r="H98" s="69"/>
      <c r="I98" s="69"/>
      <c r="J98" s="69"/>
      <c r="K98" s="69"/>
      <c r="L98" s="69"/>
      <c r="M98" s="29"/>
      <c r="N98" s="29"/>
      <c r="O98" s="29"/>
      <c r="P98" s="29"/>
      <c r="Q98" s="29"/>
      <c r="R98" s="29"/>
      <c r="S98" s="29"/>
      <c r="T98" s="29"/>
      <c r="U98" s="72"/>
      <c r="V98" s="72"/>
      <c r="W98" s="72"/>
      <c r="X98" s="72"/>
      <c r="Y98" s="72"/>
      <c r="Z98" s="29"/>
      <c r="AA98" s="29"/>
      <c r="AB98" s="29"/>
      <c r="AC98" s="29"/>
      <c r="AD98" s="75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72"/>
      <c r="BN98" s="72"/>
      <c r="BO98" s="29"/>
    </row>
    <row r="99" ht="12.75" customHeight="1">
      <c r="A99" s="29"/>
      <c r="B99" s="29"/>
      <c r="C99" s="29"/>
      <c r="D99" s="29"/>
      <c r="E99" s="69"/>
      <c r="F99" s="69"/>
      <c r="G99" s="69"/>
      <c r="H99" s="69"/>
      <c r="I99" s="69"/>
      <c r="J99" s="69"/>
      <c r="K99" s="69"/>
      <c r="L99" s="69"/>
      <c r="M99" s="29"/>
      <c r="N99" s="29"/>
      <c r="O99" s="29"/>
      <c r="P99" s="29"/>
      <c r="Q99" s="29"/>
      <c r="R99" s="29"/>
      <c r="S99" s="29"/>
      <c r="T99" s="29"/>
      <c r="U99" s="72"/>
      <c r="V99" s="72"/>
      <c r="W99" s="72"/>
      <c r="X99" s="72"/>
      <c r="Y99" s="72"/>
      <c r="Z99" s="29"/>
      <c r="AA99" s="29"/>
      <c r="AB99" s="29"/>
      <c r="AC99" s="29"/>
      <c r="AD99" s="75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72"/>
      <c r="BN99" s="72"/>
      <c r="BO99" s="29"/>
    </row>
    <row r="100" ht="12.75" customHeight="1">
      <c r="A100" s="29"/>
      <c r="B100" s="29"/>
      <c r="C100" s="29"/>
      <c r="D100" s="29"/>
      <c r="E100" s="69"/>
      <c r="F100" s="69"/>
      <c r="G100" s="69"/>
      <c r="H100" s="69"/>
      <c r="I100" s="69"/>
      <c r="J100" s="69"/>
      <c r="K100" s="69"/>
      <c r="L100" s="69"/>
      <c r="M100" s="29"/>
      <c r="N100" s="29"/>
      <c r="O100" s="29"/>
      <c r="P100" s="29"/>
      <c r="Q100" s="29"/>
      <c r="R100" s="29"/>
      <c r="S100" s="29"/>
      <c r="T100" s="29"/>
      <c r="U100" s="72"/>
      <c r="V100" s="72"/>
      <c r="W100" s="72"/>
      <c r="X100" s="72"/>
      <c r="Y100" s="72"/>
      <c r="Z100" s="29"/>
      <c r="AA100" s="29"/>
      <c r="AB100" s="29"/>
      <c r="AC100" s="29"/>
      <c r="AD100" s="75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72"/>
      <c r="BN100" s="72"/>
      <c r="BO100" s="29"/>
    </row>
    <row r="101" ht="12.75" customHeight="1">
      <c r="A101" s="29"/>
      <c r="B101" s="29"/>
      <c r="C101" s="29"/>
      <c r="D101" s="29"/>
      <c r="E101" s="69"/>
      <c r="F101" s="69"/>
      <c r="G101" s="69"/>
      <c r="H101" s="69"/>
      <c r="I101" s="69"/>
      <c r="J101" s="69"/>
      <c r="K101" s="69"/>
      <c r="L101" s="69"/>
      <c r="M101" s="29"/>
      <c r="N101" s="29"/>
      <c r="O101" s="29"/>
      <c r="P101" s="29"/>
      <c r="Q101" s="29"/>
      <c r="R101" s="29"/>
      <c r="S101" s="29"/>
      <c r="T101" s="29"/>
      <c r="U101" s="72"/>
      <c r="V101" s="72"/>
      <c r="W101" s="72"/>
      <c r="X101" s="72"/>
      <c r="Y101" s="72"/>
      <c r="Z101" s="29"/>
      <c r="AA101" s="29"/>
      <c r="AB101" s="29"/>
      <c r="AC101" s="29"/>
      <c r="AD101" s="75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72"/>
      <c r="BN101" s="72"/>
      <c r="BO101" s="29"/>
    </row>
    <row r="102" ht="12.75" customHeight="1">
      <c r="A102" s="29"/>
      <c r="B102" s="29"/>
      <c r="C102" s="29"/>
      <c r="D102" s="29"/>
      <c r="E102" s="69"/>
      <c r="F102" s="69"/>
      <c r="G102" s="69"/>
      <c r="H102" s="69"/>
      <c r="I102" s="69"/>
      <c r="J102" s="69"/>
      <c r="K102" s="69"/>
      <c r="L102" s="69"/>
      <c r="M102" s="29"/>
      <c r="N102" s="29"/>
      <c r="O102" s="29"/>
      <c r="P102" s="29"/>
      <c r="Q102" s="29"/>
      <c r="R102" s="29"/>
      <c r="S102" s="29"/>
      <c r="T102" s="29"/>
      <c r="U102" s="72"/>
      <c r="V102" s="72"/>
      <c r="W102" s="72"/>
      <c r="X102" s="72"/>
      <c r="Y102" s="72"/>
      <c r="Z102" s="29"/>
      <c r="AA102" s="29"/>
      <c r="AB102" s="29"/>
      <c r="AC102" s="29"/>
      <c r="AD102" s="75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72"/>
      <c r="BN102" s="72"/>
      <c r="BO102" s="29"/>
    </row>
    <row r="103" ht="12.75" customHeight="1">
      <c r="A103" s="29"/>
      <c r="B103" s="29"/>
      <c r="C103" s="29"/>
      <c r="D103" s="29"/>
      <c r="E103" s="69"/>
      <c r="F103" s="69"/>
      <c r="G103" s="69"/>
      <c r="H103" s="69"/>
      <c r="I103" s="69"/>
      <c r="J103" s="69"/>
      <c r="K103" s="69"/>
      <c r="L103" s="69"/>
      <c r="M103" s="29"/>
      <c r="N103" s="29"/>
      <c r="O103" s="29"/>
      <c r="P103" s="29"/>
      <c r="Q103" s="29"/>
      <c r="R103" s="29"/>
      <c r="S103" s="29"/>
      <c r="T103" s="29"/>
      <c r="U103" s="72"/>
      <c r="V103" s="72"/>
      <c r="W103" s="72"/>
      <c r="X103" s="72"/>
      <c r="Y103" s="72"/>
      <c r="Z103" s="29"/>
      <c r="AA103" s="29"/>
      <c r="AB103" s="29"/>
      <c r="AC103" s="29"/>
      <c r="AD103" s="75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72"/>
      <c r="BN103" s="72"/>
      <c r="BO103" s="29"/>
    </row>
    <row r="104" ht="12.75" customHeight="1">
      <c r="A104" s="29"/>
      <c r="B104" s="29"/>
      <c r="C104" s="29"/>
      <c r="D104" s="29"/>
      <c r="E104" s="69"/>
      <c r="F104" s="69"/>
      <c r="G104" s="69"/>
      <c r="H104" s="69"/>
      <c r="I104" s="69"/>
      <c r="J104" s="69"/>
      <c r="K104" s="69"/>
      <c r="L104" s="69"/>
      <c r="M104" s="29"/>
      <c r="N104" s="29"/>
      <c r="O104" s="29"/>
      <c r="P104" s="29"/>
      <c r="Q104" s="29"/>
      <c r="R104" s="29"/>
      <c r="S104" s="29"/>
      <c r="T104" s="29"/>
      <c r="U104" s="72"/>
      <c r="V104" s="72"/>
      <c r="W104" s="72"/>
      <c r="X104" s="72"/>
      <c r="Y104" s="72"/>
      <c r="Z104" s="29"/>
      <c r="AA104" s="29"/>
      <c r="AB104" s="29"/>
      <c r="AC104" s="29"/>
      <c r="AD104" s="75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72"/>
      <c r="BN104" s="72"/>
      <c r="BO104" s="29"/>
    </row>
    <row r="105" ht="12.75" customHeight="1">
      <c r="A105" s="29"/>
      <c r="B105" s="29"/>
      <c r="C105" s="29"/>
      <c r="D105" s="29"/>
      <c r="E105" s="69"/>
      <c r="F105" s="69"/>
      <c r="G105" s="69"/>
      <c r="H105" s="69"/>
      <c r="I105" s="69"/>
      <c r="J105" s="69"/>
      <c r="K105" s="69"/>
      <c r="L105" s="69"/>
      <c r="M105" s="29"/>
      <c r="N105" s="29"/>
      <c r="O105" s="29"/>
      <c r="P105" s="29"/>
      <c r="Q105" s="29"/>
      <c r="R105" s="29"/>
      <c r="S105" s="29"/>
      <c r="T105" s="29"/>
      <c r="U105" s="72"/>
      <c r="V105" s="72"/>
      <c r="W105" s="72"/>
      <c r="X105" s="72"/>
      <c r="Y105" s="72"/>
      <c r="Z105" s="29"/>
      <c r="AA105" s="29"/>
      <c r="AB105" s="29"/>
      <c r="AC105" s="29"/>
      <c r="AD105" s="75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72"/>
      <c r="BN105" s="72"/>
      <c r="BO105" s="29"/>
    </row>
    <row r="106" ht="12.75" customHeight="1">
      <c r="A106" s="29"/>
      <c r="B106" s="29"/>
      <c r="C106" s="29"/>
      <c r="D106" s="29"/>
      <c r="E106" s="69"/>
      <c r="F106" s="69"/>
      <c r="G106" s="69"/>
      <c r="H106" s="69"/>
      <c r="I106" s="69"/>
      <c r="J106" s="69"/>
      <c r="K106" s="69"/>
      <c r="L106" s="69"/>
      <c r="M106" s="29"/>
      <c r="N106" s="29"/>
      <c r="O106" s="29"/>
      <c r="P106" s="29"/>
      <c r="Q106" s="29"/>
      <c r="R106" s="29"/>
      <c r="S106" s="29"/>
      <c r="T106" s="29"/>
      <c r="U106" s="72"/>
      <c r="V106" s="72"/>
      <c r="W106" s="72"/>
      <c r="X106" s="72"/>
      <c r="Y106" s="72"/>
      <c r="Z106" s="29"/>
      <c r="AA106" s="29"/>
      <c r="AB106" s="29"/>
      <c r="AC106" s="29"/>
      <c r="AD106" s="75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72"/>
      <c r="BN106" s="72"/>
      <c r="BO106" s="29"/>
    </row>
    <row r="107" ht="12.75" customHeight="1">
      <c r="A107" s="29"/>
      <c r="B107" s="29"/>
      <c r="C107" s="29"/>
      <c r="D107" s="29"/>
      <c r="E107" s="69"/>
      <c r="F107" s="69"/>
      <c r="G107" s="69"/>
      <c r="H107" s="69"/>
      <c r="I107" s="69"/>
      <c r="J107" s="69"/>
      <c r="K107" s="69"/>
      <c r="L107" s="69"/>
      <c r="M107" s="29"/>
      <c r="N107" s="29"/>
      <c r="O107" s="29"/>
      <c r="P107" s="29"/>
      <c r="Q107" s="29"/>
      <c r="R107" s="29"/>
      <c r="S107" s="29"/>
      <c r="T107" s="29"/>
      <c r="U107" s="72"/>
      <c r="V107" s="72"/>
      <c r="W107" s="72"/>
      <c r="X107" s="72"/>
      <c r="Y107" s="72"/>
      <c r="Z107" s="29"/>
      <c r="AA107" s="29"/>
      <c r="AB107" s="29"/>
      <c r="AC107" s="29"/>
      <c r="AD107" s="75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72"/>
      <c r="BN107" s="72"/>
      <c r="BO107" s="29"/>
    </row>
    <row r="108" ht="12.75" customHeight="1">
      <c r="A108" s="29"/>
      <c r="B108" s="29"/>
      <c r="C108" s="29"/>
      <c r="D108" s="29"/>
      <c r="E108" s="69"/>
      <c r="F108" s="69"/>
      <c r="G108" s="69"/>
      <c r="H108" s="69"/>
      <c r="I108" s="69"/>
      <c r="J108" s="69"/>
      <c r="K108" s="69"/>
      <c r="L108" s="69"/>
      <c r="M108" s="29"/>
      <c r="N108" s="29"/>
      <c r="O108" s="29"/>
      <c r="P108" s="29"/>
      <c r="Q108" s="29"/>
      <c r="R108" s="29"/>
      <c r="S108" s="29"/>
      <c r="T108" s="29"/>
      <c r="U108" s="72"/>
      <c r="V108" s="72"/>
      <c r="W108" s="72"/>
      <c r="X108" s="72"/>
      <c r="Y108" s="72"/>
      <c r="Z108" s="29"/>
      <c r="AA108" s="29"/>
      <c r="AB108" s="29"/>
      <c r="AC108" s="29"/>
      <c r="AD108" s="75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72"/>
      <c r="BN108" s="72"/>
      <c r="BO108" s="29"/>
    </row>
    <row r="109" ht="12.75" customHeight="1">
      <c r="A109" s="29"/>
      <c r="B109" s="29"/>
      <c r="C109" s="29"/>
      <c r="D109" s="29"/>
      <c r="E109" s="69"/>
      <c r="F109" s="69"/>
      <c r="G109" s="69"/>
      <c r="H109" s="69"/>
      <c r="I109" s="69"/>
      <c r="J109" s="69"/>
      <c r="K109" s="69"/>
      <c r="L109" s="69"/>
      <c r="M109" s="29"/>
      <c r="N109" s="29"/>
      <c r="O109" s="29"/>
      <c r="P109" s="29"/>
      <c r="Q109" s="29"/>
      <c r="R109" s="29"/>
      <c r="S109" s="29"/>
      <c r="T109" s="29"/>
      <c r="U109" s="72"/>
      <c r="V109" s="72"/>
      <c r="W109" s="72"/>
      <c r="X109" s="72"/>
      <c r="Y109" s="72"/>
      <c r="Z109" s="29"/>
      <c r="AA109" s="29"/>
      <c r="AB109" s="29"/>
      <c r="AC109" s="29"/>
      <c r="AD109" s="75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72"/>
      <c r="BN109" s="72"/>
      <c r="BO109" s="29"/>
    </row>
    <row r="110" ht="12.75" customHeight="1">
      <c r="A110" s="29"/>
      <c r="B110" s="29"/>
      <c r="C110" s="29"/>
      <c r="D110" s="29"/>
      <c r="E110" s="69"/>
      <c r="F110" s="69"/>
      <c r="G110" s="69"/>
      <c r="H110" s="69"/>
      <c r="I110" s="69"/>
      <c r="J110" s="69"/>
      <c r="K110" s="69"/>
      <c r="L110" s="69"/>
      <c r="M110" s="29"/>
      <c r="N110" s="29"/>
      <c r="O110" s="29"/>
      <c r="P110" s="29"/>
      <c r="Q110" s="29"/>
      <c r="R110" s="29"/>
      <c r="S110" s="29"/>
      <c r="T110" s="29"/>
      <c r="U110" s="72"/>
      <c r="V110" s="72"/>
      <c r="W110" s="72"/>
      <c r="X110" s="72"/>
      <c r="Y110" s="72"/>
      <c r="Z110" s="29"/>
      <c r="AA110" s="29"/>
      <c r="AB110" s="29"/>
      <c r="AC110" s="29"/>
      <c r="AD110" s="75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72"/>
      <c r="BN110" s="72"/>
      <c r="BO110" s="29"/>
    </row>
    <row r="111" ht="12.75" customHeight="1">
      <c r="A111" s="29"/>
      <c r="B111" s="29"/>
      <c r="C111" s="29"/>
      <c r="D111" s="29"/>
      <c r="E111" s="69"/>
      <c r="F111" s="69"/>
      <c r="G111" s="69"/>
      <c r="H111" s="69"/>
      <c r="I111" s="69"/>
      <c r="J111" s="69"/>
      <c r="K111" s="69"/>
      <c r="L111" s="69"/>
      <c r="M111" s="29"/>
      <c r="N111" s="29"/>
      <c r="O111" s="29"/>
      <c r="P111" s="29"/>
      <c r="Q111" s="29"/>
      <c r="R111" s="29"/>
      <c r="S111" s="29"/>
      <c r="T111" s="29"/>
      <c r="U111" s="72"/>
      <c r="V111" s="72"/>
      <c r="W111" s="72"/>
      <c r="X111" s="72"/>
      <c r="Y111" s="72"/>
      <c r="Z111" s="29"/>
      <c r="AA111" s="29"/>
      <c r="AB111" s="29"/>
      <c r="AC111" s="29"/>
      <c r="AD111" s="75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72"/>
      <c r="BN111" s="72"/>
      <c r="BO111" s="29"/>
    </row>
    <row r="112" ht="12.75" customHeight="1">
      <c r="A112" s="29"/>
      <c r="B112" s="29"/>
      <c r="C112" s="29"/>
      <c r="D112" s="29"/>
      <c r="E112" s="69"/>
      <c r="F112" s="69"/>
      <c r="G112" s="69"/>
      <c r="H112" s="69"/>
      <c r="I112" s="69"/>
      <c r="J112" s="69"/>
      <c r="K112" s="69"/>
      <c r="L112" s="69"/>
      <c r="M112" s="29"/>
      <c r="N112" s="29"/>
      <c r="O112" s="29"/>
      <c r="P112" s="29"/>
      <c r="Q112" s="29"/>
      <c r="R112" s="29"/>
      <c r="S112" s="29"/>
      <c r="T112" s="29"/>
      <c r="U112" s="72"/>
      <c r="V112" s="72"/>
      <c r="W112" s="72"/>
      <c r="X112" s="72"/>
      <c r="Y112" s="72"/>
      <c r="Z112" s="29"/>
      <c r="AA112" s="29"/>
      <c r="AB112" s="29"/>
      <c r="AC112" s="29"/>
      <c r="AD112" s="75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72"/>
      <c r="BN112" s="72"/>
      <c r="BO112" s="29"/>
    </row>
    <row r="113" ht="12.75" customHeight="1">
      <c r="A113" s="29"/>
      <c r="B113" s="29"/>
      <c r="C113" s="29"/>
      <c r="D113" s="29"/>
      <c r="E113" s="69"/>
      <c r="F113" s="69"/>
      <c r="G113" s="69"/>
      <c r="H113" s="69"/>
      <c r="I113" s="69"/>
      <c r="J113" s="69"/>
      <c r="K113" s="69"/>
      <c r="L113" s="69"/>
      <c r="M113" s="29"/>
      <c r="N113" s="29"/>
      <c r="O113" s="29"/>
      <c r="P113" s="29"/>
      <c r="Q113" s="29"/>
      <c r="R113" s="29"/>
      <c r="S113" s="29"/>
      <c r="T113" s="29"/>
      <c r="U113" s="72"/>
      <c r="V113" s="72"/>
      <c r="W113" s="72"/>
      <c r="X113" s="72"/>
      <c r="Y113" s="72"/>
      <c r="Z113" s="29"/>
      <c r="AA113" s="29"/>
      <c r="AB113" s="29"/>
      <c r="AC113" s="29"/>
      <c r="AD113" s="75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72"/>
      <c r="BN113" s="72"/>
      <c r="BO113" s="29"/>
    </row>
    <row r="114" ht="12.75" customHeight="1">
      <c r="A114" s="29"/>
      <c r="B114" s="29"/>
      <c r="C114" s="29"/>
      <c r="D114" s="29"/>
      <c r="E114" s="69"/>
      <c r="F114" s="69"/>
      <c r="G114" s="69"/>
      <c r="H114" s="69"/>
      <c r="I114" s="69"/>
      <c r="J114" s="69"/>
      <c r="K114" s="69"/>
      <c r="L114" s="69"/>
      <c r="M114" s="29"/>
      <c r="N114" s="29"/>
      <c r="O114" s="29"/>
      <c r="P114" s="29"/>
      <c r="Q114" s="29"/>
      <c r="R114" s="29"/>
      <c r="S114" s="29"/>
      <c r="T114" s="29"/>
      <c r="U114" s="72"/>
      <c r="V114" s="72"/>
      <c r="W114" s="72"/>
      <c r="X114" s="72"/>
      <c r="Y114" s="72"/>
      <c r="Z114" s="29"/>
      <c r="AA114" s="29"/>
      <c r="AB114" s="29"/>
      <c r="AC114" s="29"/>
      <c r="AD114" s="75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72"/>
      <c r="BN114" s="72"/>
      <c r="BO114" s="29"/>
    </row>
    <row r="115" ht="12.75" customHeight="1">
      <c r="A115" s="29"/>
      <c r="B115" s="29"/>
      <c r="C115" s="29"/>
      <c r="D115" s="29"/>
      <c r="E115" s="69"/>
      <c r="F115" s="69"/>
      <c r="G115" s="69"/>
      <c r="H115" s="69"/>
      <c r="I115" s="69"/>
      <c r="J115" s="69"/>
      <c r="K115" s="69"/>
      <c r="L115" s="69"/>
      <c r="M115" s="29"/>
      <c r="N115" s="29"/>
      <c r="O115" s="29"/>
      <c r="P115" s="29"/>
      <c r="Q115" s="29"/>
      <c r="R115" s="29"/>
      <c r="S115" s="29"/>
      <c r="T115" s="29"/>
      <c r="U115" s="72"/>
      <c r="V115" s="72"/>
      <c r="W115" s="72"/>
      <c r="X115" s="72"/>
      <c r="Y115" s="72"/>
      <c r="Z115" s="29"/>
      <c r="AA115" s="29"/>
      <c r="AB115" s="29"/>
      <c r="AC115" s="29"/>
      <c r="AD115" s="75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72"/>
      <c r="BN115" s="72"/>
      <c r="BO115" s="29"/>
    </row>
    <row r="116" ht="12.75" customHeight="1">
      <c r="A116" s="29"/>
      <c r="B116" s="29"/>
      <c r="C116" s="29"/>
      <c r="D116" s="29"/>
      <c r="E116" s="69"/>
      <c r="F116" s="69"/>
      <c r="G116" s="69"/>
      <c r="H116" s="69"/>
      <c r="I116" s="69"/>
      <c r="J116" s="69"/>
      <c r="K116" s="69"/>
      <c r="L116" s="69"/>
      <c r="M116" s="29"/>
      <c r="N116" s="29"/>
      <c r="O116" s="29"/>
      <c r="P116" s="29"/>
      <c r="Q116" s="29"/>
      <c r="R116" s="29"/>
      <c r="S116" s="29"/>
      <c r="T116" s="29"/>
      <c r="U116" s="72"/>
      <c r="V116" s="72"/>
      <c r="W116" s="72"/>
      <c r="X116" s="72"/>
      <c r="Y116" s="72"/>
      <c r="Z116" s="29"/>
      <c r="AA116" s="29"/>
      <c r="AB116" s="29"/>
      <c r="AC116" s="29"/>
      <c r="AD116" s="75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72"/>
      <c r="BN116" s="72"/>
      <c r="BO116" s="29"/>
    </row>
    <row r="117" ht="12.75" customHeight="1">
      <c r="A117" s="29"/>
      <c r="B117" s="29"/>
      <c r="C117" s="29"/>
      <c r="D117" s="29"/>
      <c r="E117" s="69"/>
      <c r="F117" s="69"/>
      <c r="G117" s="69"/>
      <c r="H117" s="69"/>
      <c r="I117" s="69"/>
      <c r="J117" s="69"/>
      <c r="K117" s="69"/>
      <c r="L117" s="69"/>
      <c r="M117" s="29"/>
      <c r="N117" s="29"/>
      <c r="O117" s="29"/>
      <c r="P117" s="29"/>
      <c r="Q117" s="29"/>
      <c r="R117" s="29"/>
      <c r="S117" s="29"/>
      <c r="T117" s="29"/>
      <c r="U117" s="72"/>
      <c r="V117" s="72"/>
      <c r="W117" s="72"/>
      <c r="X117" s="72"/>
      <c r="Y117" s="72"/>
      <c r="Z117" s="29"/>
      <c r="AA117" s="29"/>
      <c r="AB117" s="29"/>
      <c r="AC117" s="29"/>
      <c r="AD117" s="75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72"/>
      <c r="BN117" s="72"/>
      <c r="BO117" s="29"/>
    </row>
    <row r="118" ht="12.75" customHeight="1">
      <c r="A118" s="29"/>
      <c r="B118" s="29"/>
      <c r="C118" s="29"/>
      <c r="D118" s="29"/>
      <c r="E118" s="69"/>
      <c r="F118" s="69"/>
      <c r="G118" s="69"/>
      <c r="H118" s="69"/>
      <c r="I118" s="69"/>
      <c r="J118" s="69"/>
      <c r="K118" s="69"/>
      <c r="L118" s="69"/>
      <c r="M118" s="29"/>
      <c r="N118" s="29"/>
      <c r="O118" s="29"/>
      <c r="P118" s="29"/>
      <c r="Q118" s="29"/>
      <c r="R118" s="29"/>
      <c r="S118" s="29"/>
      <c r="T118" s="29"/>
      <c r="U118" s="72"/>
      <c r="V118" s="72"/>
      <c r="W118" s="72"/>
      <c r="X118" s="72"/>
      <c r="Y118" s="72"/>
      <c r="Z118" s="29"/>
      <c r="AA118" s="29"/>
      <c r="AB118" s="29"/>
      <c r="AC118" s="29"/>
      <c r="AD118" s="75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72"/>
      <c r="BN118" s="72"/>
      <c r="BO118" s="29"/>
    </row>
    <row r="119" ht="12.75" customHeight="1">
      <c r="A119" s="29"/>
      <c r="B119" s="29"/>
      <c r="C119" s="29"/>
      <c r="D119" s="29"/>
      <c r="E119" s="69"/>
      <c r="F119" s="69"/>
      <c r="G119" s="69"/>
      <c r="H119" s="69"/>
      <c r="I119" s="69"/>
      <c r="J119" s="69"/>
      <c r="K119" s="69"/>
      <c r="L119" s="69"/>
      <c r="M119" s="29"/>
      <c r="N119" s="29"/>
      <c r="O119" s="29"/>
      <c r="P119" s="29"/>
      <c r="Q119" s="29"/>
      <c r="R119" s="29"/>
      <c r="S119" s="29"/>
      <c r="T119" s="29"/>
      <c r="U119" s="72"/>
      <c r="V119" s="72"/>
      <c r="W119" s="72"/>
      <c r="X119" s="72"/>
      <c r="Y119" s="72"/>
      <c r="Z119" s="29"/>
      <c r="AA119" s="29"/>
      <c r="AB119" s="29"/>
      <c r="AC119" s="29"/>
      <c r="AD119" s="75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72"/>
      <c r="BN119" s="72"/>
      <c r="BO119" s="29"/>
    </row>
    <row r="120" ht="12.75" customHeight="1">
      <c r="A120" s="29"/>
      <c r="B120" s="29"/>
      <c r="C120" s="29"/>
      <c r="D120" s="29"/>
      <c r="E120" s="69"/>
      <c r="F120" s="69"/>
      <c r="G120" s="69"/>
      <c r="H120" s="69"/>
      <c r="I120" s="69"/>
      <c r="J120" s="69"/>
      <c r="K120" s="69"/>
      <c r="L120" s="69"/>
      <c r="M120" s="29"/>
      <c r="N120" s="29"/>
      <c r="O120" s="29"/>
      <c r="P120" s="29"/>
      <c r="Q120" s="29"/>
      <c r="R120" s="29"/>
      <c r="S120" s="29"/>
      <c r="T120" s="29"/>
      <c r="U120" s="72"/>
      <c r="V120" s="72"/>
      <c r="W120" s="72"/>
      <c r="X120" s="72"/>
      <c r="Y120" s="72"/>
      <c r="Z120" s="29"/>
      <c r="AA120" s="29"/>
      <c r="AB120" s="29"/>
      <c r="AC120" s="29"/>
      <c r="AD120" s="75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72"/>
      <c r="BN120" s="72"/>
      <c r="BO120" s="29"/>
    </row>
    <row r="121" ht="12.75" customHeight="1">
      <c r="A121" s="29"/>
      <c r="B121" s="29"/>
      <c r="C121" s="29"/>
      <c r="D121" s="29"/>
      <c r="E121" s="69"/>
      <c r="F121" s="69"/>
      <c r="G121" s="69"/>
      <c r="H121" s="69"/>
      <c r="I121" s="69"/>
      <c r="J121" s="69"/>
      <c r="K121" s="69"/>
      <c r="L121" s="69"/>
      <c r="M121" s="29"/>
      <c r="N121" s="29"/>
      <c r="O121" s="29"/>
      <c r="P121" s="29"/>
      <c r="Q121" s="29"/>
      <c r="R121" s="29"/>
      <c r="S121" s="29"/>
      <c r="T121" s="29"/>
      <c r="U121" s="72"/>
      <c r="V121" s="72"/>
      <c r="W121" s="72"/>
      <c r="X121" s="72"/>
      <c r="Y121" s="72"/>
      <c r="Z121" s="29"/>
      <c r="AA121" s="29"/>
      <c r="AB121" s="29"/>
      <c r="AC121" s="29"/>
      <c r="AD121" s="75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72"/>
      <c r="BN121" s="72"/>
      <c r="BO121" s="29"/>
    </row>
    <row r="122" ht="12.75" customHeight="1">
      <c r="A122" s="29"/>
      <c r="B122" s="29"/>
      <c r="C122" s="29"/>
      <c r="D122" s="29"/>
      <c r="E122" s="69"/>
      <c r="F122" s="69"/>
      <c r="G122" s="69"/>
      <c r="H122" s="69"/>
      <c r="I122" s="69"/>
      <c r="J122" s="69"/>
      <c r="K122" s="69"/>
      <c r="L122" s="69"/>
      <c r="M122" s="29"/>
      <c r="N122" s="29"/>
      <c r="O122" s="29"/>
      <c r="P122" s="29"/>
      <c r="Q122" s="29"/>
      <c r="R122" s="29"/>
      <c r="S122" s="29"/>
      <c r="T122" s="29"/>
      <c r="U122" s="72"/>
      <c r="V122" s="72"/>
      <c r="W122" s="72"/>
      <c r="X122" s="72"/>
      <c r="Y122" s="72"/>
      <c r="Z122" s="29"/>
      <c r="AA122" s="29"/>
      <c r="AB122" s="29"/>
      <c r="AC122" s="29"/>
      <c r="AD122" s="75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72"/>
      <c r="BN122" s="72"/>
      <c r="BO122" s="29"/>
    </row>
    <row r="123" ht="12.75" customHeight="1">
      <c r="A123" s="29"/>
      <c r="B123" s="29"/>
      <c r="C123" s="29"/>
      <c r="D123" s="29"/>
      <c r="E123" s="69"/>
      <c r="F123" s="69"/>
      <c r="G123" s="69"/>
      <c r="H123" s="69"/>
      <c r="I123" s="69"/>
      <c r="J123" s="69"/>
      <c r="K123" s="69"/>
      <c r="L123" s="69"/>
      <c r="M123" s="29"/>
      <c r="N123" s="29"/>
      <c r="O123" s="29"/>
      <c r="P123" s="29"/>
      <c r="Q123" s="29"/>
      <c r="R123" s="29"/>
      <c r="S123" s="29"/>
      <c r="T123" s="29"/>
      <c r="U123" s="72"/>
      <c r="V123" s="72"/>
      <c r="W123" s="72"/>
      <c r="X123" s="72"/>
      <c r="Y123" s="72"/>
      <c r="Z123" s="29"/>
      <c r="AA123" s="29"/>
      <c r="AB123" s="29"/>
      <c r="AC123" s="29"/>
      <c r="AD123" s="75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72"/>
      <c r="BN123" s="72"/>
      <c r="BO123" s="29"/>
    </row>
    <row r="124" ht="12.75" customHeight="1">
      <c r="A124" s="29"/>
      <c r="B124" s="29"/>
      <c r="C124" s="29"/>
      <c r="D124" s="29"/>
      <c r="E124" s="69"/>
      <c r="F124" s="69"/>
      <c r="G124" s="69"/>
      <c r="H124" s="69"/>
      <c r="I124" s="69"/>
      <c r="J124" s="69"/>
      <c r="K124" s="69"/>
      <c r="L124" s="69"/>
      <c r="M124" s="29"/>
      <c r="N124" s="29"/>
      <c r="O124" s="29"/>
      <c r="P124" s="29"/>
      <c r="Q124" s="29"/>
      <c r="R124" s="29"/>
      <c r="S124" s="29"/>
      <c r="T124" s="29"/>
      <c r="U124" s="72"/>
      <c r="V124" s="72"/>
      <c r="W124" s="72"/>
      <c r="X124" s="72"/>
      <c r="Y124" s="72"/>
      <c r="Z124" s="29"/>
      <c r="AA124" s="29"/>
      <c r="AB124" s="29"/>
      <c r="AC124" s="29"/>
      <c r="AD124" s="75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72"/>
      <c r="BN124" s="72"/>
      <c r="BO124" s="29"/>
    </row>
    <row r="125" ht="12.75" customHeight="1">
      <c r="A125" s="29"/>
      <c r="B125" s="29"/>
      <c r="C125" s="29"/>
      <c r="D125" s="29"/>
      <c r="E125" s="69"/>
      <c r="F125" s="69"/>
      <c r="G125" s="69"/>
      <c r="H125" s="69"/>
      <c r="I125" s="69"/>
      <c r="J125" s="69"/>
      <c r="K125" s="69"/>
      <c r="L125" s="69"/>
      <c r="M125" s="29"/>
      <c r="N125" s="29"/>
      <c r="O125" s="29"/>
      <c r="P125" s="29"/>
      <c r="Q125" s="29"/>
      <c r="R125" s="29"/>
      <c r="S125" s="29"/>
      <c r="T125" s="29"/>
      <c r="U125" s="72"/>
      <c r="V125" s="72"/>
      <c r="W125" s="72"/>
      <c r="X125" s="72"/>
      <c r="Y125" s="72"/>
      <c r="Z125" s="29"/>
      <c r="AA125" s="29"/>
      <c r="AB125" s="29"/>
      <c r="AC125" s="29"/>
      <c r="AD125" s="75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72"/>
      <c r="BN125" s="72"/>
      <c r="BO125" s="29"/>
    </row>
    <row r="126" ht="12.75" customHeight="1">
      <c r="A126" s="29"/>
      <c r="B126" s="29"/>
      <c r="C126" s="29"/>
      <c r="D126" s="29"/>
      <c r="E126" s="69"/>
      <c r="F126" s="69"/>
      <c r="G126" s="69"/>
      <c r="H126" s="69"/>
      <c r="I126" s="69"/>
      <c r="J126" s="69"/>
      <c r="K126" s="69"/>
      <c r="L126" s="69"/>
      <c r="M126" s="29"/>
      <c r="N126" s="29"/>
      <c r="O126" s="29"/>
      <c r="P126" s="29"/>
      <c r="Q126" s="29"/>
      <c r="R126" s="29"/>
      <c r="S126" s="29"/>
      <c r="T126" s="29"/>
      <c r="U126" s="72"/>
      <c r="V126" s="72"/>
      <c r="W126" s="72"/>
      <c r="X126" s="72"/>
      <c r="Y126" s="72"/>
      <c r="Z126" s="29"/>
      <c r="AA126" s="29"/>
      <c r="AB126" s="29"/>
      <c r="AC126" s="29"/>
      <c r="AD126" s="75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72"/>
      <c r="BN126" s="72"/>
      <c r="BO126" s="29"/>
    </row>
    <row r="127" ht="12.75" customHeight="1">
      <c r="A127" s="29"/>
      <c r="B127" s="29"/>
      <c r="C127" s="29"/>
      <c r="D127" s="29"/>
      <c r="E127" s="69"/>
      <c r="F127" s="69"/>
      <c r="G127" s="69"/>
      <c r="H127" s="69"/>
      <c r="I127" s="69"/>
      <c r="J127" s="69"/>
      <c r="K127" s="69"/>
      <c r="L127" s="69"/>
      <c r="M127" s="29"/>
      <c r="N127" s="29"/>
      <c r="O127" s="29"/>
      <c r="P127" s="29"/>
      <c r="Q127" s="29"/>
      <c r="R127" s="29"/>
      <c r="S127" s="29"/>
      <c r="T127" s="29"/>
      <c r="U127" s="72"/>
      <c r="V127" s="72"/>
      <c r="W127" s="72"/>
      <c r="X127" s="72"/>
      <c r="Y127" s="72"/>
      <c r="Z127" s="29"/>
      <c r="AA127" s="29"/>
      <c r="AB127" s="29"/>
      <c r="AC127" s="29"/>
      <c r="AD127" s="75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72"/>
      <c r="BN127" s="72"/>
      <c r="BO127" s="29"/>
    </row>
    <row r="128" ht="12.75" customHeight="1">
      <c r="A128" s="29"/>
      <c r="B128" s="29"/>
      <c r="C128" s="29"/>
      <c r="D128" s="29"/>
      <c r="E128" s="69"/>
      <c r="F128" s="69"/>
      <c r="G128" s="69"/>
      <c r="H128" s="69"/>
      <c r="I128" s="69"/>
      <c r="J128" s="69"/>
      <c r="K128" s="69"/>
      <c r="L128" s="69"/>
      <c r="M128" s="29"/>
      <c r="N128" s="29"/>
      <c r="O128" s="29"/>
      <c r="P128" s="29"/>
      <c r="Q128" s="29"/>
      <c r="R128" s="29"/>
      <c r="S128" s="29"/>
      <c r="T128" s="29"/>
      <c r="U128" s="72"/>
      <c r="V128" s="72"/>
      <c r="W128" s="72"/>
      <c r="X128" s="72"/>
      <c r="Y128" s="72"/>
      <c r="Z128" s="29"/>
      <c r="AA128" s="29"/>
      <c r="AB128" s="29"/>
      <c r="AC128" s="29"/>
      <c r="AD128" s="75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72"/>
      <c r="BN128" s="72"/>
      <c r="BO128" s="29"/>
    </row>
    <row r="129" ht="12.75" customHeight="1">
      <c r="A129" s="29"/>
      <c r="B129" s="29"/>
      <c r="C129" s="29"/>
      <c r="D129" s="29"/>
      <c r="E129" s="69"/>
      <c r="F129" s="69"/>
      <c r="G129" s="69"/>
      <c r="H129" s="69"/>
      <c r="I129" s="69"/>
      <c r="J129" s="69"/>
      <c r="K129" s="69"/>
      <c r="L129" s="69"/>
      <c r="M129" s="29"/>
      <c r="N129" s="29"/>
      <c r="O129" s="29"/>
      <c r="P129" s="29"/>
      <c r="Q129" s="29"/>
      <c r="R129" s="29"/>
      <c r="S129" s="29"/>
      <c r="T129" s="29"/>
      <c r="U129" s="72"/>
      <c r="V129" s="72"/>
      <c r="W129" s="72"/>
      <c r="X129" s="72"/>
      <c r="Y129" s="72"/>
      <c r="Z129" s="29"/>
      <c r="AA129" s="29"/>
      <c r="AB129" s="29"/>
      <c r="AC129" s="29"/>
      <c r="AD129" s="75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72"/>
      <c r="BN129" s="72"/>
      <c r="BO129" s="29"/>
    </row>
    <row r="130" ht="12.75" customHeight="1">
      <c r="A130" s="29"/>
      <c r="B130" s="29"/>
      <c r="C130" s="29"/>
      <c r="D130" s="29"/>
      <c r="E130" s="69"/>
      <c r="F130" s="69"/>
      <c r="G130" s="69"/>
      <c r="H130" s="69"/>
      <c r="I130" s="69"/>
      <c r="J130" s="69"/>
      <c r="K130" s="69"/>
      <c r="L130" s="69"/>
      <c r="M130" s="29"/>
      <c r="N130" s="29"/>
      <c r="O130" s="29"/>
      <c r="P130" s="29"/>
      <c r="Q130" s="29"/>
      <c r="R130" s="29"/>
      <c r="S130" s="29"/>
      <c r="T130" s="29"/>
      <c r="U130" s="72"/>
      <c r="V130" s="72"/>
      <c r="W130" s="72"/>
      <c r="X130" s="72"/>
      <c r="Y130" s="72"/>
      <c r="Z130" s="29"/>
      <c r="AA130" s="29"/>
      <c r="AB130" s="29"/>
      <c r="AC130" s="29"/>
      <c r="AD130" s="75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72"/>
      <c r="BN130" s="72"/>
      <c r="BO130" s="29"/>
    </row>
    <row r="131" ht="12.75" customHeight="1">
      <c r="A131" s="29"/>
      <c r="B131" s="29"/>
      <c r="C131" s="29"/>
      <c r="D131" s="29"/>
      <c r="E131" s="69"/>
      <c r="F131" s="69"/>
      <c r="G131" s="69"/>
      <c r="H131" s="69"/>
      <c r="I131" s="69"/>
      <c r="J131" s="69"/>
      <c r="K131" s="69"/>
      <c r="L131" s="69"/>
      <c r="M131" s="29"/>
      <c r="N131" s="29"/>
      <c r="O131" s="29"/>
      <c r="P131" s="29"/>
      <c r="Q131" s="29"/>
      <c r="R131" s="29"/>
      <c r="S131" s="29"/>
      <c r="T131" s="29"/>
      <c r="U131" s="72"/>
      <c r="V131" s="72"/>
      <c r="W131" s="72"/>
      <c r="X131" s="72"/>
      <c r="Y131" s="72"/>
      <c r="Z131" s="29"/>
      <c r="AA131" s="29"/>
      <c r="AB131" s="29"/>
      <c r="AC131" s="29"/>
      <c r="AD131" s="75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72"/>
      <c r="BN131" s="72"/>
      <c r="BO131" s="29"/>
    </row>
    <row r="132" ht="12.75" customHeight="1">
      <c r="A132" s="29"/>
      <c r="B132" s="29"/>
      <c r="C132" s="29"/>
      <c r="D132" s="29"/>
      <c r="E132" s="69"/>
      <c r="F132" s="69"/>
      <c r="G132" s="69"/>
      <c r="H132" s="69"/>
      <c r="I132" s="69"/>
      <c r="J132" s="69"/>
      <c r="K132" s="69"/>
      <c r="L132" s="69"/>
      <c r="M132" s="29"/>
      <c r="N132" s="29"/>
      <c r="O132" s="29"/>
      <c r="P132" s="29"/>
      <c r="Q132" s="29"/>
      <c r="R132" s="29"/>
      <c r="S132" s="29"/>
      <c r="T132" s="29"/>
      <c r="U132" s="72"/>
      <c r="V132" s="72"/>
      <c r="W132" s="72"/>
      <c r="X132" s="72"/>
      <c r="Y132" s="72"/>
      <c r="Z132" s="29"/>
      <c r="AA132" s="29"/>
      <c r="AB132" s="29"/>
      <c r="AC132" s="29"/>
      <c r="AD132" s="75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72"/>
      <c r="BN132" s="72"/>
      <c r="BO132" s="29"/>
    </row>
    <row r="133" ht="12.75" customHeight="1">
      <c r="A133" s="29"/>
      <c r="B133" s="29"/>
      <c r="C133" s="29"/>
      <c r="D133" s="29"/>
      <c r="E133" s="69"/>
      <c r="F133" s="69"/>
      <c r="G133" s="69"/>
      <c r="H133" s="69"/>
      <c r="I133" s="69"/>
      <c r="J133" s="69"/>
      <c r="K133" s="69"/>
      <c r="L133" s="69"/>
      <c r="M133" s="29"/>
      <c r="N133" s="29"/>
      <c r="O133" s="29"/>
      <c r="P133" s="29"/>
      <c r="Q133" s="29"/>
      <c r="R133" s="29"/>
      <c r="S133" s="29"/>
      <c r="T133" s="29"/>
      <c r="U133" s="72"/>
      <c r="V133" s="72"/>
      <c r="W133" s="72"/>
      <c r="X133" s="72"/>
      <c r="Y133" s="72"/>
      <c r="Z133" s="29"/>
      <c r="AA133" s="29"/>
      <c r="AB133" s="29"/>
      <c r="AC133" s="29"/>
      <c r="AD133" s="75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72"/>
      <c r="BN133" s="72"/>
      <c r="BO133" s="29"/>
    </row>
    <row r="134" ht="12.75" customHeight="1">
      <c r="A134" s="29"/>
      <c r="B134" s="29"/>
      <c r="C134" s="29"/>
      <c r="D134" s="29"/>
      <c r="E134" s="69"/>
      <c r="F134" s="69"/>
      <c r="G134" s="69"/>
      <c r="H134" s="69"/>
      <c r="I134" s="69"/>
      <c r="J134" s="69"/>
      <c r="K134" s="69"/>
      <c r="L134" s="69"/>
      <c r="M134" s="29"/>
      <c r="N134" s="29"/>
      <c r="O134" s="29"/>
      <c r="P134" s="29"/>
      <c r="Q134" s="29"/>
      <c r="R134" s="29"/>
      <c r="S134" s="29"/>
      <c r="T134" s="29"/>
      <c r="U134" s="72"/>
      <c r="V134" s="72"/>
      <c r="W134" s="72"/>
      <c r="X134" s="72"/>
      <c r="Y134" s="72"/>
      <c r="Z134" s="29"/>
      <c r="AA134" s="29"/>
      <c r="AB134" s="29"/>
      <c r="AC134" s="29"/>
      <c r="AD134" s="75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72"/>
      <c r="BN134" s="72"/>
      <c r="BO134" s="29"/>
    </row>
    <row r="135" ht="12.75" customHeight="1">
      <c r="A135" s="29"/>
      <c r="B135" s="29"/>
      <c r="C135" s="29"/>
      <c r="D135" s="29"/>
      <c r="E135" s="69"/>
      <c r="F135" s="69"/>
      <c r="G135" s="69"/>
      <c r="H135" s="69"/>
      <c r="I135" s="69"/>
      <c r="J135" s="69"/>
      <c r="K135" s="69"/>
      <c r="L135" s="69"/>
      <c r="M135" s="29"/>
      <c r="N135" s="29"/>
      <c r="O135" s="29"/>
      <c r="P135" s="29"/>
      <c r="Q135" s="29"/>
      <c r="R135" s="29"/>
      <c r="S135" s="29"/>
      <c r="T135" s="29"/>
      <c r="U135" s="72"/>
      <c r="V135" s="72"/>
      <c r="W135" s="72"/>
      <c r="X135" s="72"/>
      <c r="Y135" s="72"/>
      <c r="Z135" s="29"/>
      <c r="AA135" s="29"/>
      <c r="AB135" s="29"/>
      <c r="AC135" s="29"/>
      <c r="AD135" s="75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72"/>
      <c r="BN135" s="72"/>
      <c r="BO135" s="29"/>
    </row>
    <row r="136" ht="12.75" customHeight="1">
      <c r="A136" s="29"/>
      <c r="B136" s="29"/>
      <c r="C136" s="29"/>
      <c r="D136" s="29"/>
      <c r="E136" s="69"/>
      <c r="F136" s="69"/>
      <c r="G136" s="69"/>
      <c r="H136" s="69"/>
      <c r="I136" s="69"/>
      <c r="J136" s="69"/>
      <c r="K136" s="69"/>
      <c r="L136" s="69"/>
      <c r="M136" s="29"/>
      <c r="N136" s="29"/>
      <c r="O136" s="29"/>
      <c r="P136" s="29"/>
      <c r="Q136" s="29"/>
      <c r="R136" s="29"/>
      <c r="S136" s="29"/>
      <c r="T136" s="29"/>
      <c r="U136" s="72"/>
      <c r="V136" s="72"/>
      <c r="W136" s="72"/>
      <c r="X136" s="72"/>
      <c r="Y136" s="72"/>
      <c r="Z136" s="29"/>
      <c r="AA136" s="29"/>
      <c r="AB136" s="29"/>
      <c r="AC136" s="29"/>
      <c r="AD136" s="75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72"/>
      <c r="BN136" s="72"/>
      <c r="BO136" s="29"/>
    </row>
    <row r="137" ht="12.75" customHeight="1">
      <c r="A137" s="29"/>
      <c r="B137" s="29"/>
      <c r="C137" s="29"/>
      <c r="D137" s="29"/>
      <c r="E137" s="69"/>
      <c r="F137" s="69"/>
      <c r="G137" s="69"/>
      <c r="H137" s="69"/>
      <c r="I137" s="69"/>
      <c r="J137" s="69"/>
      <c r="K137" s="69"/>
      <c r="L137" s="69"/>
      <c r="M137" s="29"/>
      <c r="N137" s="29"/>
      <c r="O137" s="29"/>
      <c r="P137" s="29"/>
      <c r="Q137" s="29"/>
      <c r="R137" s="29"/>
      <c r="S137" s="29"/>
      <c r="T137" s="29"/>
      <c r="U137" s="72"/>
      <c r="V137" s="72"/>
      <c r="W137" s="72"/>
      <c r="X137" s="72"/>
      <c r="Y137" s="72"/>
      <c r="Z137" s="29"/>
      <c r="AA137" s="29"/>
      <c r="AB137" s="29"/>
      <c r="AC137" s="29"/>
      <c r="AD137" s="75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72"/>
      <c r="BN137" s="72"/>
      <c r="BO137" s="29"/>
    </row>
    <row r="138" ht="12.75" customHeight="1">
      <c r="A138" s="29"/>
      <c r="B138" s="29"/>
      <c r="C138" s="29"/>
      <c r="D138" s="29"/>
      <c r="E138" s="69"/>
      <c r="F138" s="69"/>
      <c r="G138" s="69"/>
      <c r="H138" s="69"/>
      <c r="I138" s="69"/>
      <c r="J138" s="69"/>
      <c r="K138" s="69"/>
      <c r="L138" s="69"/>
      <c r="M138" s="29"/>
      <c r="N138" s="29"/>
      <c r="O138" s="29"/>
      <c r="P138" s="29"/>
      <c r="Q138" s="29"/>
      <c r="R138" s="29"/>
      <c r="S138" s="29"/>
      <c r="T138" s="29"/>
      <c r="U138" s="72"/>
      <c r="V138" s="72"/>
      <c r="W138" s="72"/>
      <c r="X138" s="72"/>
      <c r="Y138" s="72"/>
      <c r="Z138" s="29"/>
      <c r="AA138" s="29"/>
      <c r="AB138" s="29"/>
      <c r="AC138" s="29"/>
      <c r="AD138" s="75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72"/>
      <c r="BN138" s="72"/>
      <c r="BO138" s="29"/>
    </row>
    <row r="139" ht="12.75" customHeight="1">
      <c r="A139" s="29"/>
      <c r="B139" s="29"/>
      <c r="C139" s="29"/>
      <c r="D139" s="29"/>
      <c r="E139" s="69"/>
      <c r="F139" s="69"/>
      <c r="G139" s="69"/>
      <c r="H139" s="69"/>
      <c r="I139" s="69"/>
      <c r="J139" s="69"/>
      <c r="K139" s="69"/>
      <c r="L139" s="69"/>
      <c r="M139" s="29"/>
      <c r="N139" s="29"/>
      <c r="O139" s="29"/>
      <c r="P139" s="29"/>
      <c r="Q139" s="29"/>
      <c r="R139" s="29"/>
      <c r="S139" s="29"/>
      <c r="T139" s="29"/>
      <c r="U139" s="72"/>
      <c r="V139" s="72"/>
      <c r="W139" s="72"/>
      <c r="X139" s="72"/>
      <c r="Y139" s="72"/>
      <c r="Z139" s="29"/>
      <c r="AA139" s="29"/>
      <c r="AB139" s="29"/>
      <c r="AC139" s="29"/>
      <c r="AD139" s="75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72"/>
      <c r="BN139" s="72"/>
      <c r="BO139" s="29"/>
    </row>
    <row r="140" ht="12.75" customHeight="1">
      <c r="A140" s="29"/>
      <c r="B140" s="29"/>
      <c r="C140" s="29"/>
      <c r="D140" s="29"/>
      <c r="E140" s="69"/>
      <c r="F140" s="69"/>
      <c r="G140" s="69"/>
      <c r="H140" s="69"/>
      <c r="I140" s="69"/>
      <c r="J140" s="69"/>
      <c r="K140" s="69"/>
      <c r="L140" s="69"/>
      <c r="M140" s="29"/>
      <c r="N140" s="29"/>
      <c r="O140" s="29"/>
      <c r="P140" s="29"/>
      <c r="Q140" s="29"/>
      <c r="R140" s="29"/>
      <c r="S140" s="29"/>
      <c r="T140" s="29"/>
      <c r="U140" s="72"/>
      <c r="V140" s="72"/>
      <c r="W140" s="72"/>
      <c r="X140" s="72"/>
      <c r="Y140" s="72"/>
      <c r="Z140" s="29"/>
      <c r="AA140" s="29"/>
      <c r="AB140" s="29"/>
      <c r="AC140" s="29"/>
      <c r="AD140" s="75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72"/>
      <c r="BN140" s="72"/>
      <c r="BO140" s="29"/>
    </row>
    <row r="141" ht="12.75" customHeight="1">
      <c r="A141" s="29"/>
      <c r="B141" s="29"/>
      <c r="C141" s="29"/>
      <c r="D141" s="29"/>
      <c r="E141" s="69"/>
      <c r="F141" s="69"/>
      <c r="G141" s="69"/>
      <c r="H141" s="69"/>
      <c r="I141" s="69"/>
      <c r="J141" s="69"/>
      <c r="K141" s="69"/>
      <c r="L141" s="69"/>
      <c r="M141" s="29"/>
      <c r="N141" s="29"/>
      <c r="O141" s="29"/>
      <c r="P141" s="29"/>
      <c r="Q141" s="29"/>
      <c r="R141" s="29"/>
      <c r="S141" s="29"/>
      <c r="T141" s="29"/>
      <c r="U141" s="72"/>
      <c r="V141" s="72"/>
      <c r="W141" s="72"/>
      <c r="X141" s="72"/>
      <c r="Y141" s="72"/>
      <c r="Z141" s="29"/>
      <c r="AA141" s="29"/>
      <c r="AB141" s="29"/>
      <c r="AC141" s="29"/>
      <c r="AD141" s="75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72"/>
      <c r="BN141" s="72"/>
      <c r="BO141" s="29"/>
    </row>
    <row r="142" ht="12.75" customHeight="1">
      <c r="A142" s="29"/>
      <c r="B142" s="29"/>
      <c r="C142" s="29"/>
      <c r="D142" s="29"/>
      <c r="E142" s="69"/>
      <c r="F142" s="69"/>
      <c r="G142" s="69"/>
      <c r="H142" s="69"/>
      <c r="I142" s="69"/>
      <c r="J142" s="69"/>
      <c r="K142" s="69"/>
      <c r="L142" s="69"/>
      <c r="M142" s="29"/>
      <c r="N142" s="29"/>
      <c r="O142" s="29"/>
      <c r="P142" s="29"/>
      <c r="Q142" s="29"/>
      <c r="R142" s="29"/>
      <c r="S142" s="29"/>
      <c r="T142" s="29"/>
      <c r="U142" s="72"/>
      <c r="V142" s="72"/>
      <c r="W142" s="72"/>
      <c r="X142" s="72"/>
      <c r="Y142" s="72"/>
      <c r="Z142" s="29"/>
      <c r="AA142" s="29"/>
      <c r="AB142" s="29"/>
      <c r="AC142" s="29"/>
      <c r="AD142" s="75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72"/>
      <c r="BN142" s="72"/>
      <c r="BO142" s="29"/>
    </row>
    <row r="143" ht="12.75" customHeight="1">
      <c r="A143" s="29"/>
      <c r="B143" s="29"/>
      <c r="C143" s="29"/>
      <c r="D143" s="29"/>
      <c r="E143" s="69"/>
      <c r="F143" s="69"/>
      <c r="G143" s="69"/>
      <c r="H143" s="69"/>
      <c r="I143" s="69"/>
      <c r="J143" s="69"/>
      <c r="K143" s="69"/>
      <c r="L143" s="69"/>
      <c r="M143" s="29"/>
      <c r="N143" s="29"/>
      <c r="O143" s="29"/>
      <c r="P143" s="29"/>
      <c r="Q143" s="29"/>
      <c r="R143" s="29"/>
      <c r="S143" s="29"/>
      <c r="T143" s="29"/>
      <c r="U143" s="72"/>
      <c r="V143" s="72"/>
      <c r="W143" s="72"/>
      <c r="X143" s="72"/>
      <c r="Y143" s="72"/>
      <c r="Z143" s="29"/>
      <c r="AA143" s="29"/>
      <c r="AB143" s="29"/>
      <c r="AC143" s="29"/>
      <c r="AD143" s="75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72"/>
      <c r="BN143" s="72"/>
      <c r="BO143" s="29"/>
    </row>
    <row r="144" ht="12.75" customHeight="1">
      <c r="A144" s="29"/>
      <c r="B144" s="29"/>
      <c r="C144" s="29"/>
      <c r="D144" s="29"/>
      <c r="E144" s="69"/>
      <c r="F144" s="69"/>
      <c r="G144" s="69"/>
      <c r="H144" s="69"/>
      <c r="I144" s="69"/>
      <c r="J144" s="69"/>
      <c r="K144" s="69"/>
      <c r="L144" s="69"/>
      <c r="M144" s="29"/>
      <c r="N144" s="29"/>
      <c r="O144" s="29"/>
      <c r="P144" s="29"/>
      <c r="Q144" s="29"/>
      <c r="R144" s="29"/>
      <c r="S144" s="29"/>
      <c r="T144" s="29"/>
      <c r="U144" s="72"/>
      <c r="V144" s="72"/>
      <c r="W144" s="72"/>
      <c r="X144" s="72"/>
      <c r="Y144" s="72"/>
      <c r="Z144" s="29"/>
      <c r="AA144" s="29"/>
      <c r="AB144" s="29"/>
      <c r="AC144" s="29"/>
      <c r="AD144" s="75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72"/>
      <c r="BN144" s="72"/>
      <c r="BO144" s="29"/>
    </row>
    <row r="145" ht="12.75" customHeight="1">
      <c r="A145" s="29"/>
      <c r="B145" s="29"/>
      <c r="C145" s="29"/>
      <c r="D145" s="29"/>
      <c r="E145" s="69"/>
      <c r="F145" s="69"/>
      <c r="G145" s="69"/>
      <c r="H145" s="69"/>
      <c r="I145" s="69"/>
      <c r="J145" s="69"/>
      <c r="K145" s="69"/>
      <c r="L145" s="69"/>
      <c r="M145" s="29"/>
      <c r="N145" s="29"/>
      <c r="O145" s="29"/>
      <c r="P145" s="29"/>
      <c r="Q145" s="29"/>
      <c r="R145" s="29"/>
      <c r="S145" s="29"/>
      <c r="T145" s="29"/>
      <c r="U145" s="72"/>
      <c r="V145" s="72"/>
      <c r="W145" s="72"/>
      <c r="X145" s="72"/>
      <c r="Y145" s="72"/>
      <c r="Z145" s="29"/>
      <c r="AA145" s="29"/>
      <c r="AB145" s="29"/>
      <c r="AC145" s="29"/>
      <c r="AD145" s="75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72"/>
      <c r="BN145" s="72"/>
      <c r="BO145" s="29"/>
    </row>
    <row r="146" ht="12.75" customHeight="1">
      <c r="A146" s="29"/>
      <c r="B146" s="29"/>
      <c r="C146" s="29"/>
      <c r="D146" s="29"/>
      <c r="E146" s="69"/>
      <c r="F146" s="69"/>
      <c r="G146" s="69"/>
      <c r="H146" s="69"/>
      <c r="I146" s="69"/>
      <c r="J146" s="69"/>
      <c r="K146" s="69"/>
      <c r="L146" s="69"/>
      <c r="M146" s="29"/>
      <c r="N146" s="29"/>
      <c r="O146" s="29"/>
      <c r="P146" s="29"/>
      <c r="Q146" s="29"/>
      <c r="R146" s="29"/>
      <c r="S146" s="29"/>
      <c r="T146" s="29"/>
      <c r="U146" s="72"/>
      <c r="V146" s="72"/>
      <c r="W146" s="72"/>
      <c r="X146" s="72"/>
      <c r="Y146" s="72"/>
      <c r="Z146" s="29"/>
      <c r="AA146" s="29"/>
      <c r="AB146" s="29"/>
      <c r="AC146" s="29"/>
      <c r="AD146" s="75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72"/>
      <c r="BN146" s="72"/>
      <c r="BO146" s="29"/>
    </row>
    <row r="147" ht="12.75" customHeight="1">
      <c r="A147" s="29"/>
      <c r="B147" s="29"/>
      <c r="C147" s="29"/>
      <c r="D147" s="29"/>
      <c r="E147" s="69"/>
      <c r="F147" s="69"/>
      <c r="G147" s="69"/>
      <c r="H147" s="69"/>
      <c r="I147" s="69"/>
      <c r="J147" s="69"/>
      <c r="K147" s="69"/>
      <c r="L147" s="69"/>
      <c r="M147" s="29"/>
      <c r="N147" s="29"/>
      <c r="O147" s="29"/>
      <c r="P147" s="29"/>
      <c r="Q147" s="29"/>
      <c r="R147" s="29"/>
      <c r="S147" s="29"/>
      <c r="T147" s="29"/>
      <c r="U147" s="72"/>
      <c r="V147" s="72"/>
      <c r="W147" s="72"/>
      <c r="X147" s="72"/>
      <c r="Y147" s="72"/>
      <c r="Z147" s="29"/>
      <c r="AA147" s="29"/>
      <c r="AB147" s="29"/>
      <c r="AC147" s="29"/>
      <c r="AD147" s="75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72"/>
      <c r="BN147" s="72"/>
      <c r="BO147" s="29"/>
    </row>
    <row r="148" ht="12.75" customHeight="1">
      <c r="A148" s="29"/>
      <c r="B148" s="29"/>
      <c r="C148" s="29"/>
      <c r="D148" s="29"/>
      <c r="E148" s="69"/>
      <c r="F148" s="69"/>
      <c r="G148" s="69"/>
      <c r="H148" s="69"/>
      <c r="I148" s="69"/>
      <c r="J148" s="69"/>
      <c r="K148" s="69"/>
      <c r="L148" s="69"/>
      <c r="M148" s="29"/>
      <c r="N148" s="29"/>
      <c r="O148" s="29"/>
      <c r="P148" s="29"/>
      <c r="Q148" s="29"/>
      <c r="R148" s="29"/>
      <c r="S148" s="29"/>
      <c r="T148" s="29"/>
      <c r="U148" s="72"/>
      <c r="V148" s="72"/>
      <c r="W148" s="72"/>
      <c r="X148" s="72"/>
      <c r="Y148" s="72"/>
      <c r="Z148" s="29"/>
      <c r="AA148" s="29"/>
      <c r="AB148" s="29"/>
      <c r="AC148" s="29"/>
      <c r="AD148" s="75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72"/>
      <c r="BN148" s="72"/>
      <c r="BO148" s="29"/>
    </row>
    <row r="149" ht="12.75" customHeight="1">
      <c r="A149" s="29"/>
      <c r="B149" s="29"/>
      <c r="C149" s="29"/>
      <c r="D149" s="29"/>
      <c r="E149" s="69"/>
      <c r="F149" s="69"/>
      <c r="G149" s="69"/>
      <c r="H149" s="69"/>
      <c r="I149" s="69"/>
      <c r="J149" s="69"/>
      <c r="K149" s="69"/>
      <c r="L149" s="69"/>
      <c r="M149" s="29"/>
      <c r="N149" s="29"/>
      <c r="O149" s="29"/>
      <c r="P149" s="29"/>
      <c r="Q149" s="29"/>
      <c r="R149" s="29"/>
      <c r="S149" s="29"/>
      <c r="T149" s="29"/>
      <c r="U149" s="72"/>
      <c r="V149" s="72"/>
      <c r="W149" s="72"/>
      <c r="X149" s="72"/>
      <c r="Y149" s="72"/>
      <c r="Z149" s="29"/>
      <c r="AA149" s="29"/>
      <c r="AB149" s="29"/>
      <c r="AC149" s="29"/>
      <c r="AD149" s="75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72"/>
      <c r="BN149" s="72"/>
      <c r="BO149" s="29"/>
    </row>
    <row r="150" ht="12.75" customHeight="1">
      <c r="A150" s="29"/>
      <c r="B150" s="29"/>
      <c r="C150" s="29"/>
      <c r="D150" s="29"/>
      <c r="E150" s="69"/>
      <c r="F150" s="69"/>
      <c r="G150" s="69"/>
      <c r="H150" s="69"/>
      <c r="I150" s="69"/>
      <c r="J150" s="69"/>
      <c r="K150" s="69"/>
      <c r="L150" s="69"/>
      <c r="M150" s="29"/>
      <c r="N150" s="29"/>
      <c r="O150" s="29"/>
      <c r="P150" s="29"/>
      <c r="Q150" s="29"/>
      <c r="R150" s="29"/>
      <c r="S150" s="29"/>
      <c r="T150" s="29"/>
      <c r="U150" s="72"/>
      <c r="V150" s="72"/>
      <c r="W150" s="72"/>
      <c r="X150" s="72"/>
      <c r="Y150" s="72"/>
      <c r="Z150" s="29"/>
      <c r="AA150" s="29"/>
      <c r="AB150" s="29"/>
      <c r="AC150" s="29"/>
      <c r="AD150" s="75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72"/>
      <c r="BN150" s="72"/>
      <c r="BO150" s="29"/>
    </row>
    <row r="151" ht="12.75" customHeight="1">
      <c r="A151" s="29"/>
      <c r="B151" s="29"/>
      <c r="C151" s="29"/>
      <c r="D151" s="29"/>
      <c r="E151" s="69"/>
      <c r="F151" s="69"/>
      <c r="G151" s="69"/>
      <c r="H151" s="69"/>
      <c r="I151" s="69"/>
      <c r="J151" s="69"/>
      <c r="K151" s="69"/>
      <c r="L151" s="69"/>
      <c r="M151" s="29"/>
      <c r="N151" s="29"/>
      <c r="O151" s="29"/>
      <c r="P151" s="29"/>
      <c r="Q151" s="29"/>
      <c r="R151" s="29"/>
      <c r="S151" s="29"/>
      <c r="T151" s="29"/>
      <c r="U151" s="72"/>
      <c r="V151" s="72"/>
      <c r="W151" s="72"/>
      <c r="X151" s="72"/>
      <c r="Y151" s="72"/>
      <c r="Z151" s="29"/>
      <c r="AA151" s="29"/>
      <c r="AB151" s="29"/>
      <c r="AC151" s="29"/>
      <c r="AD151" s="75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72"/>
      <c r="BN151" s="72"/>
      <c r="BO151" s="29"/>
    </row>
    <row r="152" ht="12.75" customHeight="1">
      <c r="A152" s="29"/>
      <c r="B152" s="29"/>
      <c r="C152" s="29"/>
      <c r="D152" s="29"/>
      <c r="E152" s="69"/>
      <c r="F152" s="69"/>
      <c r="G152" s="69"/>
      <c r="H152" s="69"/>
      <c r="I152" s="69"/>
      <c r="J152" s="69"/>
      <c r="K152" s="69"/>
      <c r="L152" s="69"/>
      <c r="M152" s="29"/>
      <c r="N152" s="29"/>
      <c r="O152" s="29"/>
      <c r="P152" s="29"/>
      <c r="Q152" s="29"/>
      <c r="R152" s="29"/>
      <c r="S152" s="29"/>
      <c r="T152" s="29"/>
      <c r="U152" s="72"/>
      <c r="V152" s="72"/>
      <c r="W152" s="72"/>
      <c r="X152" s="72"/>
      <c r="Y152" s="72"/>
      <c r="Z152" s="29"/>
      <c r="AA152" s="29"/>
      <c r="AB152" s="29"/>
      <c r="AC152" s="29"/>
      <c r="AD152" s="75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72"/>
      <c r="BN152" s="72"/>
      <c r="BO152" s="29"/>
    </row>
    <row r="153" ht="12.75" customHeight="1">
      <c r="A153" s="29"/>
      <c r="B153" s="29"/>
      <c r="C153" s="29"/>
      <c r="D153" s="29"/>
      <c r="E153" s="69"/>
      <c r="F153" s="69"/>
      <c r="G153" s="69"/>
      <c r="H153" s="69"/>
      <c r="I153" s="69"/>
      <c r="J153" s="69"/>
      <c r="K153" s="69"/>
      <c r="L153" s="69"/>
      <c r="M153" s="29"/>
      <c r="N153" s="29"/>
      <c r="O153" s="29"/>
      <c r="P153" s="29"/>
      <c r="Q153" s="29"/>
      <c r="R153" s="29"/>
      <c r="S153" s="29"/>
      <c r="T153" s="29"/>
      <c r="U153" s="72"/>
      <c r="V153" s="72"/>
      <c r="W153" s="72"/>
      <c r="X153" s="72"/>
      <c r="Y153" s="72"/>
      <c r="Z153" s="29"/>
      <c r="AA153" s="29"/>
      <c r="AB153" s="29"/>
      <c r="AC153" s="29"/>
      <c r="AD153" s="75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72"/>
      <c r="BN153" s="72"/>
      <c r="BO153" s="29"/>
    </row>
    <row r="154" ht="12.75" customHeight="1">
      <c r="A154" s="29"/>
      <c r="B154" s="29"/>
      <c r="C154" s="29"/>
      <c r="D154" s="29"/>
      <c r="E154" s="69"/>
      <c r="F154" s="69"/>
      <c r="G154" s="69"/>
      <c r="H154" s="69"/>
      <c r="I154" s="69"/>
      <c r="J154" s="69"/>
      <c r="K154" s="69"/>
      <c r="L154" s="69"/>
      <c r="M154" s="29"/>
      <c r="N154" s="29"/>
      <c r="O154" s="29"/>
      <c r="P154" s="29"/>
      <c r="Q154" s="29"/>
      <c r="R154" s="29"/>
      <c r="S154" s="29"/>
      <c r="T154" s="29"/>
      <c r="U154" s="72"/>
      <c r="V154" s="72"/>
      <c r="W154" s="72"/>
      <c r="X154" s="72"/>
      <c r="Y154" s="72"/>
      <c r="Z154" s="29"/>
      <c r="AA154" s="29"/>
      <c r="AB154" s="29"/>
      <c r="AC154" s="29"/>
      <c r="AD154" s="75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72"/>
      <c r="BN154" s="72"/>
      <c r="BO154" s="29"/>
    </row>
    <row r="155" ht="12.75" customHeight="1">
      <c r="A155" s="29"/>
      <c r="B155" s="29"/>
      <c r="C155" s="29"/>
      <c r="D155" s="29"/>
      <c r="E155" s="69"/>
      <c r="F155" s="69"/>
      <c r="G155" s="69"/>
      <c r="H155" s="69"/>
      <c r="I155" s="69"/>
      <c r="J155" s="69"/>
      <c r="K155" s="69"/>
      <c r="L155" s="69"/>
      <c r="M155" s="29"/>
      <c r="N155" s="29"/>
      <c r="O155" s="29"/>
      <c r="P155" s="29"/>
      <c r="Q155" s="29"/>
      <c r="R155" s="29"/>
      <c r="S155" s="29"/>
      <c r="T155" s="29"/>
      <c r="U155" s="72"/>
      <c r="V155" s="72"/>
      <c r="W155" s="72"/>
      <c r="X155" s="72"/>
      <c r="Y155" s="72"/>
      <c r="Z155" s="29"/>
      <c r="AA155" s="29"/>
      <c r="AB155" s="29"/>
      <c r="AC155" s="29"/>
      <c r="AD155" s="75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72"/>
      <c r="BN155" s="72"/>
      <c r="BO155" s="29"/>
    </row>
    <row r="156" ht="12.75" customHeight="1">
      <c r="A156" s="29"/>
      <c r="B156" s="29"/>
      <c r="C156" s="29"/>
      <c r="D156" s="29"/>
      <c r="E156" s="69"/>
      <c r="F156" s="69"/>
      <c r="G156" s="69"/>
      <c r="H156" s="69"/>
      <c r="I156" s="69"/>
      <c r="J156" s="69"/>
      <c r="K156" s="69"/>
      <c r="L156" s="69"/>
      <c r="M156" s="29"/>
      <c r="N156" s="29"/>
      <c r="O156" s="29"/>
      <c r="P156" s="29"/>
      <c r="Q156" s="29"/>
      <c r="R156" s="29"/>
      <c r="S156" s="29"/>
      <c r="T156" s="29"/>
      <c r="U156" s="72"/>
      <c r="V156" s="72"/>
      <c r="W156" s="72"/>
      <c r="X156" s="72"/>
      <c r="Y156" s="72"/>
      <c r="Z156" s="29"/>
      <c r="AA156" s="29"/>
      <c r="AB156" s="29"/>
      <c r="AC156" s="29"/>
      <c r="AD156" s="75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72"/>
      <c r="BN156" s="72"/>
      <c r="BO156" s="29"/>
    </row>
    <row r="157" ht="12.75" customHeight="1">
      <c r="A157" s="29"/>
      <c r="B157" s="29"/>
      <c r="C157" s="29"/>
      <c r="D157" s="29"/>
      <c r="E157" s="69"/>
      <c r="F157" s="69"/>
      <c r="G157" s="69"/>
      <c r="H157" s="69"/>
      <c r="I157" s="69"/>
      <c r="J157" s="69"/>
      <c r="K157" s="69"/>
      <c r="L157" s="69"/>
      <c r="M157" s="29"/>
      <c r="N157" s="29"/>
      <c r="O157" s="29"/>
      <c r="P157" s="29"/>
      <c r="Q157" s="29"/>
      <c r="R157" s="29"/>
      <c r="S157" s="29"/>
      <c r="T157" s="29"/>
      <c r="U157" s="72"/>
      <c r="V157" s="72"/>
      <c r="W157" s="72"/>
      <c r="X157" s="72"/>
      <c r="Y157" s="72"/>
      <c r="Z157" s="29"/>
      <c r="AA157" s="29"/>
      <c r="AB157" s="29"/>
      <c r="AC157" s="29"/>
      <c r="AD157" s="75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72"/>
      <c r="BN157" s="72"/>
      <c r="BO157" s="29"/>
    </row>
    <row r="158" ht="12.75" customHeight="1">
      <c r="A158" s="29"/>
      <c r="B158" s="29"/>
      <c r="C158" s="29"/>
      <c r="D158" s="29"/>
      <c r="E158" s="69"/>
      <c r="F158" s="69"/>
      <c r="G158" s="69"/>
      <c r="H158" s="69"/>
      <c r="I158" s="69"/>
      <c r="J158" s="69"/>
      <c r="K158" s="69"/>
      <c r="L158" s="69"/>
      <c r="M158" s="29"/>
      <c r="N158" s="29"/>
      <c r="O158" s="29"/>
      <c r="P158" s="29"/>
      <c r="Q158" s="29"/>
      <c r="R158" s="29"/>
      <c r="S158" s="29"/>
      <c r="T158" s="29"/>
      <c r="U158" s="72"/>
      <c r="V158" s="72"/>
      <c r="W158" s="72"/>
      <c r="X158" s="72"/>
      <c r="Y158" s="72"/>
      <c r="Z158" s="29"/>
      <c r="AA158" s="29"/>
      <c r="AB158" s="29"/>
      <c r="AC158" s="29"/>
      <c r="AD158" s="75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72"/>
      <c r="BN158" s="72"/>
      <c r="BO158" s="29"/>
    </row>
    <row r="159" ht="12.75" customHeight="1">
      <c r="A159" s="29"/>
      <c r="B159" s="29"/>
      <c r="C159" s="29"/>
      <c r="D159" s="29"/>
      <c r="E159" s="69"/>
      <c r="F159" s="69"/>
      <c r="G159" s="69"/>
      <c r="H159" s="69"/>
      <c r="I159" s="69"/>
      <c r="J159" s="69"/>
      <c r="K159" s="69"/>
      <c r="L159" s="69"/>
      <c r="M159" s="29"/>
      <c r="N159" s="29"/>
      <c r="O159" s="29"/>
      <c r="P159" s="29"/>
      <c r="Q159" s="29"/>
      <c r="R159" s="29"/>
      <c r="S159" s="29"/>
      <c r="T159" s="29"/>
      <c r="U159" s="72"/>
      <c r="V159" s="72"/>
      <c r="W159" s="72"/>
      <c r="X159" s="72"/>
      <c r="Y159" s="72"/>
      <c r="Z159" s="29"/>
      <c r="AA159" s="29"/>
      <c r="AB159" s="29"/>
      <c r="AC159" s="29"/>
      <c r="AD159" s="75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72"/>
      <c r="BN159" s="72"/>
      <c r="BO159" s="29"/>
    </row>
    <row r="160" ht="12.75" customHeight="1">
      <c r="A160" s="29"/>
      <c r="B160" s="29"/>
      <c r="C160" s="29"/>
      <c r="D160" s="29"/>
      <c r="E160" s="69"/>
      <c r="F160" s="69"/>
      <c r="G160" s="69"/>
      <c r="H160" s="69"/>
      <c r="I160" s="69"/>
      <c r="J160" s="69"/>
      <c r="K160" s="69"/>
      <c r="L160" s="69"/>
      <c r="M160" s="29"/>
      <c r="N160" s="29"/>
      <c r="O160" s="29"/>
      <c r="P160" s="29"/>
      <c r="Q160" s="29"/>
      <c r="R160" s="29"/>
      <c r="S160" s="29"/>
      <c r="T160" s="29"/>
      <c r="U160" s="72"/>
      <c r="V160" s="72"/>
      <c r="W160" s="72"/>
      <c r="X160" s="72"/>
      <c r="Y160" s="72"/>
      <c r="Z160" s="29"/>
      <c r="AA160" s="29"/>
      <c r="AB160" s="29"/>
      <c r="AC160" s="29"/>
      <c r="AD160" s="75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72"/>
      <c r="BN160" s="72"/>
      <c r="BO160" s="29"/>
    </row>
    <row r="161" ht="12.75" customHeight="1">
      <c r="A161" s="29"/>
      <c r="B161" s="29"/>
      <c r="C161" s="29"/>
      <c r="D161" s="29"/>
      <c r="E161" s="69"/>
      <c r="F161" s="69"/>
      <c r="G161" s="69"/>
      <c r="H161" s="69"/>
      <c r="I161" s="69"/>
      <c r="J161" s="69"/>
      <c r="K161" s="69"/>
      <c r="L161" s="69"/>
      <c r="M161" s="29"/>
      <c r="N161" s="29"/>
      <c r="O161" s="29"/>
      <c r="P161" s="29"/>
      <c r="Q161" s="29"/>
      <c r="R161" s="29"/>
      <c r="S161" s="29"/>
      <c r="T161" s="29"/>
      <c r="U161" s="72"/>
      <c r="V161" s="72"/>
      <c r="W161" s="72"/>
      <c r="X161" s="72"/>
      <c r="Y161" s="72"/>
      <c r="Z161" s="29"/>
      <c r="AA161" s="29"/>
      <c r="AB161" s="29"/>
      <c r="AC161" s="29"/>
      <c r="AD161" s="75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72"/>
      <c r="BN161" s="72"/>
      <c r="BO161" s="29"/>
    </row>
    <row r="162" ht="12.75" customHeight="1">
      <c r="A162" s="29"/>
      <c r="B162" s="29"/>
      <c r="C162" s="29"/>
      <c r="D162" s="29"/>
      <c r="E162" s="69"/>
      <c r="F162" s="69"/>
      <c r="G162" s="69"/>
      <c r="H162" s="69"/>
      <c r="I162" s="69"/>
      <c r="J162" s="69"/>
      <c r="K162" s="69"/>
      <c r="L162" s="69"/>
      <c r="M162" s="29"/>
      <c r="N162" s="29"/>
      <c r="O162" s="29"/>
      <c r="P162" s="29"/>
      <c r="Q162" s="29"/>
      <c r="R162" s="29"/>
      <c r="S162" s="29"/>
      <c r="T162" s="29"/>
      <c r="U162" s="72"/>
      <c r="V162" s="72"/>
      <c r="W162" s="72"/>
      <c r="X162" s="72"/>
      <c r="Y162" s="72"/>
      <c r="Z162" s="29"/>
      <c r="AA162" s="29"/>
      <c r="AB162" s="29"/>
      <c r="AC162" s="29"/>
      <c r="AD162" s="75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72"/>
      <c r="BN162" s="72"/>
      <c r="BO162" s="29"/>
    </row>
    <row r="163" ht="12.75" customHeight="1">
      <c r="A163" s="29"/>
      <c r="B163" s="29"/>
      <c r="C163" s="29"/>
      <c r="D163" s="29"/>
      <c r="E163" s="69"/>
      <c r="F163" s="69"/>
      <c r="G163" s="69"/>
      <c r="H163" s="69"/>
      <c r="I163" s="69"/>
      <c r="J163" s="69"/>
      <c r="K163" s="69"/>
      <c r="L163" s="69"/>
      <c r="M163" s="29"/>
      <c r="N163" s="29"/>
      <c r="O163" s="29"/>
      <c r="P163" s="29"/>
      <c r="Q163" s="29"/>
      <c r="R163" s="29"/>
      <c r="S163" s="29"/>
      <c r="T163" s="29"/>
      <c r="U163" s="72"/>
      <c r="V163" s="72"/>
      <c r="W163" s="72"/>
      <c r="X163" s="72"/>
      <c r="Y163" s="72"/>
      <c r="Z163" s="29"/>
      <c r="AA163" s="29"/>
      <c r="AB163" s="29"/>
      <c r="AC163" s="29"/>
      <c r="AD163" s="75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72"/>
      <c r="BN163" s="72"/>
      <c r="BO163" s="29"/>
    </row>
    <row r="164" ht="12.75" customHeight="1">
      <c r="A164" s="29"/>
      <c r="B164" s="29"/>
      <c r="C164" s="29"/>
      <c r="D164" s="29"/>
      <c r="E164" s="69"/>
      <c r="F164" s="69"/>
      <c r="G164" s="69"/>
      <c r="H164" s="69"/>
      <c r="I164" s="69"/>
      <c r="J164" s="69"/>
      <c r="K164" s="69"/>
      <c r="L164" s="69"/>
      <c r="M164" s="29"/>
      <c r="N164" s="29"/>
      <c r="O164" s="29"/>
      <c r="P164" s="29"/>
      <c r="Q164" s="29"/>
      <c r="R164" s="29"/>
      <c r="S164" s="29"/>
      <c r="T164" s="29"/>
      <c r="U164" s="72"/>
      <c r="V164" s="72"/>
      <c r="W164" s="72"/>
      <c r="X164" s="72"/>
      <c r="Y164" s="72"/>
      <c r="Z164" s="29"/>
      <c r="AA164" s="29"/>
      <c r="AB164" s="29"/>
      <c r="AC164" s="29"/>
      <c r="AD164" s="75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72"/>
      <c r="BN164" s="72"/>
      <c r="BO164" s="29"/>
    </row>
    <row r="165" ht="12.75" customHeight="1">
      <c r="A165" s="29"/>
      <c r="B165" s="29"/>
      <c r="C165" s="29"/>
      <c r="D165" s="29"/>
      <c r="E165" s="69"/>
      <c r="F165" s="69"/>
      <c r="G165" s="69"/>
      <c r="H165" s="69"/>
      <c r="I165" s="69"/>
      <c r="J165" s="69"/>
      <c r="K165" s="69"/>
      <c r="L165" s="69"/>
      <c r="M165" s="29"/>
      <c r="N165" s="29"/>
      <c r="O165" s="29"/>
      <c r="P165" s="29"/>
      <c r="Q165" s="29"/>
      <c r="R165" s="29"/>
      <c r="S165" s="29"/>
      <c r="T165" s="29"/>
      <c r="U165" s="72"/>
      <c r="V165" s="72"/>
      <c r="W165" s="72"/>
      <c r="X165" s="72"/>
      <c r="Y165" s="72"/>
      <c r="Z165" s="29"/>
      <c r="AA165" s="29"/>
      <c r="AB165" s="29"/>
      <c r="AC165" s="29"/>
      <c r="AD165" s="75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72"/>
      <c r="BN165" s="72"/>
      <c r="BO165" s="29"/>
    </row>
    <row r="166" ht="12.75" customHeight="1">
      <c r="A166" s="29"/>
      <c r="B166" s="29"/>
      <c r="C166" s="29"/>
      <c r="D166" s="29"/>
      <c r="E166" s="69"/>
      <c r="F166" s="69"/>
      <c r="G166" s="69"/>
      <c r="H166" s="69"/>
      <c r="I166" s="69"/>
      <c r="J166" s="69"/>
      <c r="K166" s="69"/>
      <c r="L166" s="69"/>
      <c r="M166" s="29"/>
      <c r="N166" s="29"/>
      <c r="O166" s="29"/>
      <c r="P166" s="29"/>
      <c r="Q166" s="29"/>
      <c r="R166" s="29"/>
      <c r="S166" s="29"/>
      <c r="T166" s="29"/>
      <c r="U166" s="72"/>
      <c r="V166" s="72"/>
      <c r="W166" s="72"/>
      <c r="X166" s="72"/>
      <c r="Y166" s="72"/>
      <c r="Z166" s="29"/>
      <c r="AA166" s="29"/>
      <c r="AB166" s="29"/>
      <c r="AC166" s="29"/>
      <c r="AD166" s="75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72"/>
      <c r="BN166" s="72"/>
      <c r="BO166" s="29"/>
    </row>
    <row r="167" ht="12.75" customHeight="1">
      <c r="A167" s="29"/>
      <c r="B167" s="29"/>
      <c r="C167" s="29"/>
      <c r="D167" s="29"/>
      <c r="E167" s="69"/>
      <c r="F167" s="69"/>
      <c r="G167" s="69"/>
      <c r="H167" s="69"/>
      <c r="I167" s="69"/>
      <c r="J167" s="69"/>
      <c r="K167" s="69"/>
      <c r="L167" s="69"/>
      <c r="M167" s="29"/>
      <c r="N167" s="29"/>
      <c r="O167" s="29"/>
      <c r="P167" s="29"/>
      <c r="Q167" s="29"/>
      <c r="R167" s="29"/>
      <c r="S167" s="29"/>
      <c r="T167" s="29"/>
      <c r="U167" s="72"/>
      <c r="V167" s="72"/>
      <c r="W167" s="72"/>
      <c r="X167" s="72"/>
      <c r="Y167" s="72"/>
      <c r="Z167" s="29"/>
      <c r="AA167" s="29"/>
      <c r="AB167" s="29"/>
      <c r="AC167" s="29"/>
      <c r="AD167" s="75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72"/>
      <c r="BN167" s="72"/>
      <c r="BO167" s="29"/>
    </row>
    <row r="168" ht="12.75" customHeight="1">
      <c r="A168" s="29"/>
      <c r="B168" s="29"/>
      <c r="C168" s="29"/>
      <c r="D168" s="29"/>
      <c r="E168" s="69"/>
      <c r="F168" s="69"/>
      <c r="G168" s="69"/>
      <c r="H168" s="69"/>
      <c r="I168" s="69"/>
      <c r="J168" s="69"/>
      <c r="K168" s="69"/>
      <c r="L168" s="69"/>
      <c r="M168" s="29"/>
      <c r="N168" s="29"/>
      <c r="O168" s="29"/>
      <c r="P168" s="29"/>
      <c r="Q168" s="29"/>
      <c r="R168" s="29"/>
      <c r="S168" s="29"/>
      <c r="T168" s="29"/>
      <c r="U168" s="72"/>
      <c r="V168" s="72"/>
      <c r="W168" s="72"/>
      <c r="X168" s="72"/>
      <c r="Y168" s="72"/>
      <c r="Z168" s="29"/>
      <c r="AA168" s="29"/>
      <c r="AB168" s="29"/>
      <c r="AC168" s="29"/>
      <c r="AD168" s="75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72"/>
      <c r="BN168" s="72"/>
      <c r="BO168" s="29"/>
    </row>
    <row r="169" ht="12.75" customHeight="1">
      <c r="A169" s="29"/>
      <c r="B169" s="29"/>
      <c r="C169" s="29"/>
      <c r="D169" s="29"/>
      <c r="E169" s="69"/>
      <c r="F169" s="69"/>
      <c r="G169" s="69"/>
      <c r="H169" s="69"/>
      <c r="I169" s="69"/>
      <c r="J169" s="69"/>
      <c r="K169" s="69"/>
      <c r="L169" s="69"/>
      <c r="M169" s="29"/>
      <c r="N169" s="29"/>
      <c r="O169" s="29"/>
      <c r="P169" s="29"/>
      <c r="Q169" s="29"/>
      <c r="R169" s="29"/>
      <c r="S169" s="29"/>
      <c r="T169" s="29"/>
      <c r="U169" s="72"/>
      <c r="V169" s="72"/>
      <c r="W169" s="72"/>
      <c r="X169" s="72"/>
      <c r="Y169" s="72"/>
      <c r="Z169" s="29"/>
      <c r="AA169" s="29"/>
      <c r="AB169" s="29"/>
      <c r="AC169" s="29"/>
      <c r="AD169" s="75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72"/>
      <c r="BN169" s="72"/>
      <c r="BO169" s="29"/>
    </row>
    <row r="170" ht="12.75" customHeight="1">
      <c r="A170" s="29"/>
      <c r="B170" s="29"/>
      <c r="C170" s="29"/>
      <c r="D170" s="29"/>
      <c r="E170" s="69"/>
      <c r="F170" s="69"/>
      <c r="G170" s="69"/>
      <c r="H170" s="69"/>
      <c r="I170" s="69"/>
      <c r="J170" s="69"/>
      <c r="K170" s="69"/>
      <c r="L170" s="69"/>
      <c r="M170" s="29"/>
      <c r="N170" s="29"/>
      <c r="O170" s="29"/>
      <c r="P170" s="29"/>
      <c r="Q170" s="29"/>
      <c r="R170" s="29"/>
      <c r="S170" s="29"/>
      <c r="T170" s="29"/>
      <c r="U170" s="72"/>
      <c r="V170" s="72"/>
      <c r="W170" s="72"/>
      <c r="X170" s="72"/>
      <c r="Y170" s="72"/>
      <c r="Z170" s="29"/>
      <c r="AA170" s="29"/>
      <c r="AB170" s="29"/>
      <c r="AC170" s="29"/>
      <c r="AD170" s="75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72"/>
      <c r="BN170" s="72"/>
      <c r="BO170" s="29"/>
    </row>
    <row r="171" ht="12.75" customHeight="1">
      <c r="A171" s="29"/>
      <c r="B171" s="29"/>
      <c r="C171" s="29"/>
      <c r="D171" s="29"/>
      <c r="E171" s="69"/>
      <c r="F171" s="69"/>
      <c r="G171" s="69"/>
      <c r="H171" s="69"/>
      <c r="I171" s="69"/>
      <c r="J171" s="69"/>
      <c r="K171" s="69"/>
      <c r="L171" s="69"/>
      <c r="M171" s="29"/>
      <c r="N171" s="29"/>
      <c r="O171" s="29"/>
      <c r="P171" s="29"/>
      <c r="Q171" s="29"/>
      <c r="R171" s="29"/>
      <c r="S171" s="29"/>
      <c r="T171" s="29"/>
      <c r="U171" s="72"/>
      <c r="V171" s="72"/>
      <c r="W171" s="72"/>
      <c r="X171" s="72"/>
      <c r="Y171" s="72"/>
      <c r="Z171" s="29"/>
      <c r="AA171" s="29"/>
      <c r="AB171" s="29"/>
      <c r="AC171" s="29"/>
      <c r="AD171" s="75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72"/>
      <c r="BN171" s="72"/>
      <c r="BO171" s="29"/>
    </row>
    <row r="172" ht="12.75" customHeight="1">
      <c r="A172" s="29"/>
      <c r="B172" s="29"/>
      <c r="C172" s="29"/>
      <c r="D172" s="29"/>
      <c r="E172" s="69"/>
      <c r="F172" s="69"/>
      <c r="G172" s="69"/>
      <c r="H172" s="69"/>
      <c r="I172" s="69"/>
      <c r="J172" s="69"/>
      <c r="K172" s="69"/>
      <c r="L172" s="69"/>
      <c r="M172" s="29"/>
      <c r="N172" s="29"/>
      <c r="O172" s="29"/>
      <c r="P172" s="29"/>
      <c r="Q172" s="29"/>
      <c r="R172" s="29"/>
      <c r="S172" s="29"/>
      <c r="T172" s="29"/>
      <c r="U172" s="72"/>
      <c r="V172" s="72"/>
      <c r="W172" s="72"/>
      <c r="X172" s="72"/>
      <c r="Y172" s="72"/>
      <c r="Z172" s="29"/>
      <c r="AA172" s="29"/>
      <c r="AB172" s="29"/>
      <c r="AC172" s="29"/>
      <c r="AD172" s="75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72"/>
      <c r="BN172" s="72"/>
      <c r="BO172" s="29"/>
    </row>
    <row r="173" ht="12.75" customHeight="1">
      <c r="A173" s="29"/>
      <c r="B173" s="29"/>
      <c r="C173" s="29"/>
      <c r="D173" s="29"/>
      <c r="E173" s="69"/>
      <c r="F173" s="69"/>
      <c r="G173" s="69"/>
      <c r="H173" s="69"/>
      <c r="I173" s="69"/>
      <c r="J173" s="69"/>
      <c r="K173" s="69"/>
      <c r="L173" s="69"/>
      <c r="M173" s="29"/>
      <c r="N173" s="29"/>
      <c r="O173" s="29"/>
      <c r="P173" s="29"/>
      <c r="Q173" s="29"/>
      <c r="R173" s="29"/>
      <c r="S173" s="29"/>
      <c r="T173" s="29"/>
      <c r="U173" s="72"/>
      <c r="V173" s="72"/>
      <c r="W173" s="72"/>
      <c r="X173" s="72"/>
      <c r="Y173" s="72"/>
      <c r="Z173" s="29"/>
      <c r="AA173" s="29"/>
      <c r="AB173" s="29"/>
      <c r="AC173" s="29"/>
      <c r="AD173" s="75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72"/>
      <c r="BN173" s="72"/>
      <c r="BO173" s="29"/>
    </row>
    <row r="174" ht="12.75" customHeight="1">
      <c r="A174" s="29"/>
      <c r="B174" s="29"/>
      <c r="C174" s="29"/>
      <c r="D174" s="29"/>
      <c r="E174" s="69"/>
      <c r="F174" s="69"/>
      <c r="G174" s="69"/>
      <c r="H174" s="69"/>
      <c r="I174" s="69"/>
      <c r="J174" s="69"/>
      <c r="K174" s="69"/>
      <c r="L174" s="69"/>
      <c r="M174" s="29"/>
      <c r="N174" s="29"/>
      <c r="O174" s="29"/>
      <c r="P174" s="29"/>
      <c r="Q174" s="29"/>
      <c r="R174" s="29"/>
      <c r="S174" s="29"/>
      <c r="T174" s="29"/>
      <c r="U174" s="72"/>
      <c r="V174" s="72"/>
      <c r="W174" s="72"/>
      <c r="X174" s="72"/>
      <c r="Y174" s="72"/>
      <c r="Z174" s="29"/>
      <c r="AA174" s="29"/>
      <c r="AB174" s="29"/>
      <c r="AC174" s="29"/>
      <c r="AD174" s="75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72"/>
      <c r="BN174" s="72"/>
      <c r="BO174" s="29"/>
    </row>
    <row r="175" ht="12.75" customHeight="1">
      <c r="A175" s="29"/>
      <c r="B175" s="29"/>
      <c r="C175" s="29"/>
      <c r="D175" s="29"/>
      <c r="E175" s="69"/>
      <c r="F175" s="69"/>
      <c r="G175" s="69"/>
      <c r="H175" s="69"/>
      <c r="I175" s="69"/>
      <c r="J175" s="69"/>
      <c r="K175" s="69"/>
      <c r="L175" s="69"/>
      <c r="M175" s="29"/>
      <c r="N175" s="29"/>
      <c r="O175" s="29"/>
      <c r="P175" s="29"/>
      <c r="Q175" s="29"/>
      <c r="R175" s="29"/>
      <c r="S175" s="29"/>
      <c r="T175" s="29"/>
      <c r="U175" s="72"/>
      <c r="V175" s="72"/>
      <c r="W175" s="72"/>
      <c r="X175" s="72"/>
      <c r="Y175" s="72"/>
      <c r="Z175" s="29"/>
      <c r="AA175" s="29"/>
      <c r="AB175" s="29"/>
      <c r="AC175" s="29"/>
      <c r="AD175" s="75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72"/>
      <c r="BN175" s="72"/>
      <c r="BO175" s="29"/>
    </row>
    <row r="176" ht="12.75" customHeight="1">
      <c r="A176" s="29"/>
      <c r="B176" s="29"/>
      <c r="C176" s="29"/>
      <c r="D176" s="29"/>
      <c r="E176" s="69"/>
      <c r="F176" s="69"/>
      <c r="G176" s="69"/>
      <c r="H176" s="69"/>
      <c r="I176" s="69"/>
      <c r="J176" s="69"/>
      <c r="K176" s="69"/>
      <c r="L176" s="69"/>
      <c r="M176" s="29"/>
      <c r="N176" s="29"/>
      <c r="O176" s="29"/>
      <c r="P176" s="29"/>
      <c r="Q176" s="29"/>
      <c r="R176" s="29"/>
      <c r="S176" s="29"/>
      <c r="T176" s="29"/>
      <c r="U176" s="72"/>
      <c r="V176" s="72"/>
      <c r="W176" s="72"/>
      <c r="X176" s="72"/>
      <c r="Y176" s="72"/>
      <c r="Z176" s="29"/>
      <c r="AA176" s="29"/>
      <c r="AB176" s="29"/>
      <c r="AC176" s="29"/>
      <c r="AD176" s="75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72"/>
      <c r="BN176" s="72"/>
      <c r="BO176" s="29"/>
    </row>
    <row r="177" ht="12.75" customHeight="1">
      <c r="A177" s="29"/>
      <c r="B177" s="29"/>
      <c r="C177" s="29"/>
      <c r="D177" s="29"/>
      <c r="E177" s="69"/>
      <c r="F177" s="69"/>
      <c r="G177" s="69"/>
      <c r="H177" s="69"/>
      <c r="I177" s="69"/>
      <c r="J177" s="69"/>
      <c r="K177" s="69"/>
      <c r="L177" s="69"/>
      <c r="M177" s="29"/>
      <c r="N177" s="29"/>
      <c r="O177" s="29"/>
      <c r="P177" s="29"/>
      <c r="Q177" s="29"/>
      <c r="R177" s="29"/>
      <c r="S177" s="29"/>
      <c r="T177" s="29"/>
      <c r="U177" s="72"/>
      <c r="V177" s="72"/>
      <c r="W177" s="72"/>
      <c r="X177" s="72"/>
      <c r="Y177" s="72"/>
      <c r="Z177" s="29"/>
      <c r="AA177" s="29"/>
      <c r="AB177" s="29"/>
      <c r="AC177" s="29"/>
      <c r="AD177" s="75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72"/>
      <c r="BN177" s="72"/>
      <c r="BO177" s="29"/>
    </row>
    <row r="178" ht="12.75" customHeight="1">
      <c r="A178" s="29"/>
      <c r="B178" s="29"/>
      <c r="C178" s="29"/>
      <c r="D178" s="29"/>
      <c r="E178" s="69"/>
      <c r="F178" s="69"/>
      <c r="G178" s="69"/>
      <c r="H178" s="69"/>
      <c r="I178" s="69"/>
      <c r="J178" s="69"/>
      <c r="K178" s="69"/>
      <c r="L178" s="69"/>
      <c r="M178" s="29"/>
      <c r="N178" s="29"/>
      <c r="O178" s="29"/>
      <c r="P178" s="29"/>
      <c r="Q178" s="29"/>
      <c r="R178" s="29"/>
      <c r="S178" s="29"/>
      <c r="T178" s="29"/>
      <c r="U178" s="72"/>
      <c r="V178" s="72"/>
      <c r="W178" s="72"/>
      <c r="X178" s="72"/>
      <c r="Y178" s="72"/>
      <c r="Z178" s="29"/>
      <c r="AA178" s="29"/>
      <c r="AB178" s="29"/>
      <c r="AC178" s="29"/>
      <c r="AD178" s="75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72"/>
      <c r="BN178" s="72"/>
      <c r="BO178" s="29"/>
    </row>
    <row r="179" ht="12.75" customHeight="1">
      <c r="A179" s="29"/>
      <c r="B179" s="29"/>
      <c r="C179" s="29"/>
      <c r="D179" s="29"/>
      <c r="E179" s="69"/>
      <c r="F179" s="69"/>
      <c r="G179" s="69"/>
      <c r="H179" s="69"/>
      <c r="I179" s="69"/>
      <c r="J179" s="69"/>
      <c r="K179" s="69"/>
      <c r="L179" s="69"/>
      <c r="M179" s="29"/>
      <c r="N179" s="29"/>
      <c r="O179" s="29"/>
      <c r="P179" s="29"/>
      <c r="Q179" s="29"/>
      <c r="R179" s="29"/>
      <c r="S179" s="29"/>
      <c r="T179" s="29"/>
      <c r="U179" s="72"/>
      <c r="V179" s="72"/>
      <c r="W179" s="72"/>
      <c r="X179" s="72"/>
      <c r="Y179" s="72"/>
      <c r="Z179" s="29"/>
      <c r="AA179" s="29"/>
      <c r="AB179" s="29"/>
      <c r="AC179" s="29"/>
      <c r="AD179" s="75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72"/>
      <c r="BN179" s="72"/>
      <c r="BO179" s="29"/>
    </row>
    <row r="180" ht="12.75" customHeight="1">
      <c r="A180" s="29"/>
      <c r="B180" s="29"/>
      <c r="C180" s="29"/>
      <c r="D180" s="29"/>
      <c r="E180" s="69"/>
      <c r="F180" s="69"/>
      <c r="G180" s="69"/>
      <c r="H180" s="69"/>
      <c r="I180" s="69"/>
      <c r="J180" s="69"/>
      <c r="K180" s="69"/>
      <c r="L180" s="69"/>
      <c r="M180" s="29"/>
      <c r="N180" s="29"/>
      <c r="O180" s="29"/>
      <c r="P180" s="29"/>
      <c r="Q180" s="29"/>
      <c r="R180" s="29"/>
      <c r="S180" s="29"/>
      <c r="T180" s="29"/>
      <c r="U180" s="72"/>
      <c r="V180" s="72"/>
      <c r="W180" s="72"/>
      <c r="X180" s="72"/>
      <c r="Y180" s="72"/>
      <c r="Z180" s="29"/>
      <c r="AA180" s="29"/>
      <c r="AB180" s="29"/>
      <c r="AC180" s="29"/>
      <c r="AD180" s="75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72"/>
      <c r="BN180" s="72"/>
      <c r="BO180" s="29"/>
    </row>
    <row r="181" ht="12.75" customHeight="1">
      <c r="A181" s="29"/>
      <c r="B181" s="29"/>
      <c r="C181" s="29"/>
      <c r="D181" s="29"/>
      <c r="E181" s="69"/>
      <c r="F181" s="69"/>
      <c r="G181" s="69"/>
      <c r="H181" s="69"/>
      <c r="I181" s="69"/>
      <c r="J181" s="69"/>
      <c r="K181" s="69"/>
      <c r="L181" s="69"/>
      <c r="M181" s="29"/>
      <c r="N181" s="29"/>
      <c r="O181" s="29"/>
      <c r="P181" s="29"/>
      <c r="Q181" s="29"/>
      <c r="R181" s="29"/>
      <c r="S181" s="29"/>
      <c r="T181" s="29"/>
      <c r="U181" s="72"/>
      <c r="V181" s="72"/>
      <c r="W181" s="72"/>
      <c r="X181" s="72"/>
      <c r="Y181" s="72"/>
      <c r="Z181" s="29"/>
      <c r="AA181" s="29"/>
      <c r="AB181" s="29"/>
      <c r="AC181" s="29"/>
      <c r="AD181" s="75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72"/>
      <c r="BN181" s="72"/>
      <c r="BO181" s="29"/>
    </row>
    <row r="182" ht="12.75" customHeight="1">
      <c r="A182" s="29"/>
      <c r="B182" s="29"/>
      <c r="C182" s="29"/>
      <c r="D182" s="29"/>
      <c r="E182" s="69"/>
      <c r="F182" s="69"/>
      <c r="G182" s="69"/>
      <c r="H182" s="69"/>
      <c r="I182" s="69"/>
      <c r="J182" s="69"/>
      <c r="K182" s="69"/>
      <c r="L182" s="69"/>
      <c r="M182" s="29"/>
      <c r="N182" s="29"/>
      <c r="O182" s="29"/>
      <c r="P182" s="29"/>
      <c r="Q182" s="29"/>
      <c r="R182" s="29"/>
      <c r="S182" s="29"/>
      <c r="T182" s="29"/>
      <c r="U182" s="72"/>
      <c r="V182" s="72"/>
      <c r="W182" s="72"/>
      <c r="X182" s="72"/>
      <c r="Y182" s="72"/>
      <c r="Z182" s="29"/>
      <c r="AA182" s="29"/>
      <c r="AB182" s="29"/>
      <c r="AC182" s="29"/>
      <c r="AD182" s="75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72"/>
      <c r="BN182" s="72"/>
      <c r="BO182" s="29"/>
    </row>
    <row r="183" ht="12.75" customHeight="1">
      <c r="A183" s="29"/>
      <c r="B183" s="29"/>
      <c r="C183" s="29"/>
      <c r="D183" s="29"/>
      <c r="E183" s="69"/>
      <c r="F183" s="69"/>
      <c r="G183" s="69"/>
      <c r="H183" s="69"/>
      <c r="I183" s="69"/>
      <c r="J183" s="69"/>
      <c r="K183" s="69"/>
      <c r="L183" s="69"/>
      <c r="M183" s="29"/>
      <c r="N183" s="29"/>
      <c r="O183" s="29"/>
      <c r="P183" s="29"/>
      <c r="Q183" s="29"/>
      <c r="R183" s="29"/>
      <c r="S183" s="29"/>
      <c r="T183" s="29"/>
      <c r="U183" s="72"/>
      <c r="V183" s="72"/>
      <c r="W183" s="72"/>
      <c r="X183" s="72"/>
      <c r="Y183" s="72"/>
      <c r="Z183" s="29"/>
      <c r="AA183" s="29"/>
      <c r="AB183" s="29"/>
      <c r="AC183" s="29"/>
      <c r="AD183" s="75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72"/>
      <c r="BN183" s="72"/>
      <c r="BO183" s="29"/>
    </row>
    <row r="184" ht="12.75" customHeight="1">
      <c r="A184" s="29"/>
      <c r="B184" s="29"/>
      <c r="C184" s="29"/>
      <c r="D184" s="29"/>
      <c r="E184" s="69"/>
      <c r="F184" s="69"/>
      <c r="G184" s="69"/>
      <c r="H184" s="69"/>
      <c r="I184" s="69"/>
      <c r="J184" s="69"/>
      <c r="K184" s="69"/>
      <c r="L184" s="69"/>
      <c r="M184" s="29"/>
      <c r="N184" s="29"/>
      <c r="O184" s="29"/>
      <c r="P184" s="29"/>
      <c r="Q184" s="29"/>
      <c r="R184" s="29"/>
      <c r="S184" s="29"/>
      <c r="T184" s="29"/>
      <c r="U184" s="72"/>
      <c r="V184" s="72"/>
      <c r="W184" s="72"/>
      <c r="X184" s="72"/>
      <c r="Y184" s="72"/>
      <c r="Z184" s="29"/>
      <c r="AA184" s="29"/>
      <c r="AB184" s="29"/>
      <c r="AC184" s="29"/>
      <c r="AD184" s="75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72"/>
      <c r="BN184" s="72"/>
      <c r="BO184" s="29"/>
    </row>
    <row r="185" ht="12.75" customHeight="1">
      <c r="A185" s="29"/>
      <c r="B185" s="29"/>
      <c r="C185" s="29"/>
      <c r="D185" s="29"/>
      <c r="E185" s="69"/>
      <c r="F185" s="69"/>
      <c r="G185" s="69"/>
      <c r="H185" s="69"/>
      <c r="I185" s="69"/>
      <c r="J185" s="69"/>
      <c r="K185" s="69"/>
      <c r="L185" s="69"/>
      <c r="M185" s="29"/>
      <c r="N185" s="29"/>
      <c r="O185" s="29"/>
      <c r="P185" s="29"/>
      <c r="Q185" s="29"/>
      <c r="R185" s="29"/>
      <c r="S185" s="29"/>
      <c r="T185" s="29"/>
      <c r="U185" s="72"/>
      <c r="V185" s="72"/>
      <c r="W185" s="72"/>
      <c r="X185" s="72"/>
      <c r="Y185" s="72"/>
      <c r="Z185" s="29"/>
      <c r="AA185" s="29"/>
      <c r="AB185" s="29"/>
      <c r="AC185" s="29"/>
      <c r="AD185" s="75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72"/>
      <c r="BN185" s="72"/>
      <c r="BO185" s="29"/>
    </row>
    <row r="186" ht="12.75" customHeight="1">
      <c r="A186" s="29"/>
      <c r="B186" s="29"/>
      <c r="C186" s="29"/>
      <c r="D186" s="29"/>
      <c r="E186" s="69"/>
      <c r="F186" s="69"/>
      <c r="G186" s="69"/>
      <c r="H186" s="69"/>
      <c r="I186" s="69"/>
      <c r="J186" s="69"/>
      <c r="K186" s="69"/>
      <c r="L186" s="69"/>
      <c r="M186" s="29"/>
      <c r="N186" s="29"/>
      <c r="O186" s="29"/>
      <c r="P186" s="29"/>
      <c r="Q186" s="29"/>
      <c r="R186" s="29"/>
      <c r="S186" s="29"/>
      <c r="T186" s="29"/>
      <c r="U186" s="72"/>
      <c r="V186" s="72"/>
      <c r="W186" s="72"/>
      <c r="X186" s="72"/>
      <c r="Y186" s="72"/>
      <c r="Z186" s="29"/>
      <c r="AA186" s="29"/>
      <c r="AB186" s="29"/>
      <c r="AC186" s="29"/>
      <c r="AD186" s="75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72"/>
      <c r="BN186" s="72"/>
      <c r="BO186" s="29"/>
    </row>
    <row r="187" ht="12.75" customHeight="1">
      <c r="A187" s="29"/>
      <c r="B187" s="29"/>
      <c r="C187" s="29"/>
      <c r="D187" s="29"/>
      <c r="E187" s="69"/>
      <c r="F187" s="69"/>
      <c r="G187" s="69"/>
      <c r="H187" s="69"/>
      <c r="I187" s="69"/>
      <c r="J187" s="69"/>
      <c r="K187" s="69"/>
      <c r="L187" s="69"/>
      <c r="M187" s="29"/>
      <c r="N187" s="29"/>
      <c r="O187" s="29"/>
      <c r="P187" s="29"/>
      <c r="Q187" s="29"/>
      <c r="R187" s="29"/>
      <c r="S187" s="29"/>
      <c r="T187" s="29"/>
      <c r="U187" s="72"/>
      <c r="V187" s="72"/>
      <c r="W187" s="72"/>
      <c r="X187" s="72"/>
      <c r="Y187" s="72"/>
      <c r="Z187" s="29"/>
      <c r="AA187" s="29"/>
      <c r="AB187" s="29"/>
      <c r="AC187" s="29"/>
      <c r="AD187" s="75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72"/>
      <c r="BN187" s="72"/>
      <c r="BO187" s="29"/>
    </row>
    <row r="188" ht="12.75" customHeight="1">
      <c r="A188" s="29"/>
      <c r="B188" s="29"/>
      <c r="C188" s="29"/>
      <c r="D188" s="29"/>
      <c r="E188" s="69"/>
      <c r="F188" s="69"/>
      <c r="G188" s="69"/>
      <c r="H188" s="69"/>
      <c r="I188" s="69"/>
      <c r="J188" s="69"/>
      <c r="K188" s="69"/>
      <c r="L188" s="69"/>
      <c r="M188" s="29"/>
      <c r="N188" s="29"/>
      <c r="O188" s="29"/>
      <c r="P188" s="29"/>
      <c r="Q188" s="29"/>
      <c r="R188" s="29"/>
      <c r="S188" s="29"/>
      <c r="T188" s="29"/>
      <c r="U188" s="72"/>
      <c r="V188" s="72"/>
      <c r="W188" s="72"/>
      <c r="X188" s="72"/>
      <c r="Y188" s="72"/>
      <c r="Z188" s="29"/>
      <c r="AA188" s="29"/>
      <c r="AB188" s="29"/>
      <c r="AC188" s="29"/>
      <c r="AD188" s="75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72"/>
      <c r="BN188" s="72"/>
      <c r="BO188" s="29"/>
    </row>
    <row r="189" ht="12.75" customHeight="1">
      <c r="A189" s="29"/>
      <c r="B189" s="29"/>
      <c r="C189" s="29"/>
      <c r="D189" s="29"/>
      <c r="E189" s="69"/>
      <c r="F189" s="69"/>
      <c r="G189" s="69"/>
      <c r="H189" s="69"/>
      <c r="I189" s="69"/>
      <c r="J189" s="69"/>
      <c r="K189" s="69"/>
      <c r="L189" s="69"/>
      <c r="M189" s="29"/>
      <c r="N189" s="29"/>
      <c r="O189" s="29"/>
      <c r="P189" s="29"/>
      <c r="Q189" s="29"/>
      <c r="R189" s="29"/>
      <c r="S189" s="29"/>
      <c r="T189" s="29"/>
      <c r="U189" s="72"/>
      <c r="V189" s="72"/>
      <c r="W189" s="72"/>
      <c r="X189" s="72"/>
      <c r="Y189" s="72"/>
      <c r="Z189" s="29"/>
      <c r="AA189" s="29"/>
      <c r="AB189" s="29"/>
      <c r="AC189" s="29"/>
      <c r="AD189" s="75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72"/>
      <c r="BN189" s="72"/>
      <c r="BO189" s="29"/>
    </row>
    <row r="190" ht="12.75" customHeight="1">
      <c r="A190" s="29"/>
      <c r="B190" s="29"/>
      <c r="C190" s="29"/>
      <c r="D190" s="29"/>
      <c r="E190" s="69"/>
      <c r="F190" s="69"/>
      <c r="G190" s="69"/>
      <c r="H190" s="69"/>
      <c r="I190" s="69"/>
      <c r="J190" s="69"/>
      <c r="K190" s="69"/>
      <c r="L190" s="69"/>
      <c r="M190" s="29"/>
      <c r="N190" s="29"/>
      <c r="O190" s="29"/>
      <c r="P190" s="29"/>
      <c r="Q190" s="29"/>
      <c r="R190" s="29"/>
      <c r="S190" s="29"/>
      <c r="T190" s="29"/>
      <c r="U190" s="72"/>
      <c r="V190" s="72"/>
      <c r="W190" s="72"/>
      <c r="X190" s="72"/>
      <c r="Y190" s="72"/>
      <c r="Z190" s="29"/>
      <c r="AA190" s="29"/>
      <c r="AB190" s="29"/>
      <c r="AC190" s="29"/>
      <c r="AD190" s="75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72"/>
      <c r="BN190" s="72"/>
      <c r="BO190" s="29"/>
    </row>
    <row r="191" ht="12.75" customHeight="1">
      <c r="A191" s="29"/>
      <c r="B191" s="29"/>
      <c r="C191" s="29"/>
      <c r="D191" s="29"/>
      <c r="E191" s="69"/>
      <c r="F191" s="69"/>
      <c r="G191" s="69"/>
      <c r="H191" s="69"/>
      <c r="I191" s="69"/>
      <c r="J191" s="69"/>
      <c r="K191" s="69"/>
      <c r="L191" s="69"/>
      <c r="M191" s="29"/>
      <c r="N191" s="29"/>
      <c r="O191" s="29"/>
      <c r="P191" s="29"/>
      <c r="Q191" s="29"/>
      <c r="R191" s="29"/>
      <c r="S191" s="29"/>
      <c r="T191" s="29"/>
      <c r="U191" s="72"/>
      <c r="V191" s="72"/>
      <c r="W191" s="72"/>
      <c r="X191" s="72"/>
      <c r="Y191" s="72"/>
      <c r="Z191" s="29"/>
      <c r="AA191" s="29"/>
      <c r="AB191" s="29"/>
      <c r="AC191" s="29"/>
      <c r="AD191" s="75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72"/>
      <c r="BN191" s="72"/>
      <c r="BO191" s="29"/>
    </row>
    <row r="192" ht="12.75" customHeight="1">
      <c r="A192" s="29"/>
      <c r="B192" s="29"/>
      <c r="C192" s="29"/>
      <c r="D192" s="29"/>
      <c r="E192" s="69"/>
      <c r="F192" s="69"/>
      <c r="G192" s="69"/>
      <c r="H192" s="69"/>
      <c r="I192" s="69"/>
      <c r="J192" s="69"/>
      <c r="K192" s="69"/>
      <c r="L192" s="69"/>
      <c r="M192" s="29"/>
      <c r="N192" s="29"/>
      <c r="O192" s="29"/>
      <c r="P192" s="29"/>
      <c r="Q192" s="29"/>
      <c r="R192" s="29"/>
      <c r="S192" s="29"/>
      <c r="T192" s="29"/>
      <c r="U192" s="72"/>
      <c r="V192" s="72"/>
      <c r="W192" s="72"/>
      <c r="X192" s="72"/>
      <c r="Y192" s="72"/>
      <c r="Z192" s="29"/>
      <c r="AA192" s="29"/>
      <c r="AB192" s="29"/>
      <c r="AC192" s="29"/>
      <c r="AD192" s="75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72"/>
      <c r="BN192" s="72"/>
      <c r="BO192" s="29"/>
    </row>
    <row r="193" ht="12.75" customHeight="1">
      <c r="A193" s="29"/>
      <c r="B193" s="29"/>
      <c r="C193" s="29"/>
      <c r="D193" s="29"/>
      <c r="E193" s="69"/>
      <c r="F193" s="69"/>
      <c r="G193" s="69"/>
      <c r="H193" s="69"/>
      <c r="I193" s="69"/>
      <c r="J193" s="69"/>
      <c r="K193" s="69"/>
      <c r="L193" s="69"/>
      <c r="M193" s="29"/>
      <c r="N193" s="29"/>
      <c r="O193" s="29"/>
      <c r="P193" s="29"/>
      <c r="Q193" s="29"/>
      <c r="R193" s="29"/>
      <c r="S193" s="29"/>
      <c r="T193" s="29"/>
      <c r="U193" s="72"/>
      <c r="V193" s="72"/>
      <c r="W193" s="72"/>
      <c r="X193" s="72"/>
      <c r="Y193" s="72"/>
      <c r="Z193" s="29"/>
      <c r="AA193" s="29"/>
      <c r="AB193" s="29"/>
      <c r="AC193" s="29"/>
      <c r="AD193" s="75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72"/>
      <c r="BN193" s="72"/>
      <c r="BO193" s="29"/>
    </row>
    <row r="194" ht="12.75" customHeight="1">
      <c r="A194" s="29"/>
      <c r="B194" s="29"/>
      <c r="C194" s="29"/>
      <c r="D194" s="29"/>
      <c r="E194" s="69"/>
      <c r="F194" s="69"/>
      <c r="G194" s="69"/>
      <c r="H194" s="69"/>
      <c r="I194" s="69"/>
      <c r="J194" s="69"/>
      <c r="K194" s="69"/>
      <c r="L194" s="69"/>
      <c r="M194" s="29"/>
      <c r="N194" s="29"/>
      <c r="O194" s="29"/>
      <c r="P194" s="29"/>
      <c r="Q194" s="29"/>
      <c r="R194" s="29"/>
      <c r="S194" s="29"/>
      <c r="T194" s="29"/>
      <c r="U194" s="72"/>
      <c r="V194" s="72"/>
      <c r="W194" s="72"/>
      <c r="X194" s="72"/>
      <c r="Y194" s="72"/>
      <c r="Z194" s="29"/>
      <c r="AA194" s="29"/>
      <c r="AB194" s="29"/>
      <c r="AC194" s="29"/>
      <c r="AD194" s="75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72"/>
      <c r="BN194" s="72"/>
      <c r="BO194" s="29"/>
    </row>
    <row r="195" ht="12.75" customHeight="1">
      <c r="A195" s="29"/>
      <c r="B195" s="29"/>
      <c r="C195" s="29"/>
      <c r="D195" s="29"/>
      <c r="E195" s="69"/>
      <c r="F195" s="69"/>
      <c r="G195" s="69"/>
      <c r="H195" s="69"/>
      <c r="I195" s="69"/>
      <c r="J195" s="69"/>
      <c r="K195" s="69"/>
      <c r="L195" s="69"/>
      <c r="M195" s="29"/>
      <c r="N195" s="29"/>
      <c r="O195" s="29"/>
      <c r="P195" s="29"/>
      <c r="Q195" s="29"/>
      <c r="R195" s="29"/>
      <c r="S195" s="29"/>
      <c r="T195" s="29"/>
      <c r="U195" s="72"/>
      <c r="V195" s="72"/>
      <c r="W195" s="72"/>
      <c r="X195" s="72"/>
      <c r="Y195" s="72"/>
      <c r="Z195" s="29"/>
      <c r="AA195" s="29"/>
      <c r="AB195" s="29"/>
      <c r="AC195" s="29"/>
      <c r="AD195" s="75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72"/>
      <c r="BN195" s="72"/>
      <c r="BO195" s="29"/>
    </row>
    <row r="196" ht="12.75" customHeight="1">
      <c r="A196" s="29"/>
      <c r="B196" s="29"/>
      <c r="C196" s="29"/>
      <c r="D196" s="29"/>
      <c r="E196" s="69"/>
      <c r="F196" s="69"/>
      <c r="G196" s="69"/>
      <c r="H196" s="69"/>
      <c r="I196" s="69"/>
      <c r="J196" s="69"/>
      <c r="K196" s="69"/>
      <c r="L196" s="69"/>
      <c r="M196" s="29"/>
      <c r="N196" s="29"/>
      <c r="O196" s="29"/>
      <c r="P196" s="29"/>
      <c r="Q196" s="29"/>
      <c r="R196" s="29"/>
      <c r="S196" s="29"/>
      <c r="T196" s="29"/>
      <c r="U196" s="72"/>
      <c r="V196" s="72"/>
      <c r="W196" s="72"/>
      <c r="X196" s="72"/>
      <c r="Y196" s="72"/>
      <c r="Z196" s="29"/>
      <c r="AA196" s="29"/>
      <c r="AB196" s="29"/>
      <c r="AC196" s="29"/>
      <c r="AD196" s="75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72"/>
      <c r="BN196" s="72"/>
      <c r="BO196" s="29"/>
    </row>
    <row r="197" ht="12.75" customHeight="1">
      <c r="A197" s="29"/>
      <c r="B197" s="29"/>
      <c r="C197" s="29"/>
      <c r="D197" s="29"/>
      <c r="E197" s="69"/>
      <c r="F197" s="69"/>
      <c r="G197" s="69"/>
      <c r="H197" s="69"/>
      <c r="I197" s="69"/>
      <c r="J197" s="69"/>
      <c r="K197" s="69"/>
      <c r="L197" s="69"/>
      <c r="M197" s="29"/>
      <c r="N197" s="29"/>
      <c r="O197" s="29"/>
      <c r="P197" s="29"/>
      <c r="Q197" s="29"/>
      <c r="R197" s="29"/>
      <c r="S197" s="29"/>
      <c r="T197" s="29"/>
      <c r="U197" s="72"/>
      <c r="V197" s="72"/>
      <c r="W197" s="72"/>
      <c r="X197" s="72"/>
      <c r="Y197" s="72"/>
      <c r="Z197" s="29"/>
      <c r="AA197" s="29"/>
      <c r="AB197" s="29"/>
      <c r="AC197" s="29"/>
      <c r="AD197" s="75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72"/>
      <c r="BN197" s="72"/>
      <c r="BO197" s="29"/>
    </row>
    <row r="198" ht="12.75" customHeight="1">
      <c r="A198" s="29"/>
      <c r="B198" s="29"/>
      <c r="C198" s="29"/>
      <c r="D198" s="29"/>
      <c r="E198" s="69"/>
      <c r="F198" s="69"/>
      <c r="G198" s="69"/>
      <c r="H198" s="69"/>
      <c r="I198" s="69"/>
      <c r="J198" s="69"/>
      <c r="K198" s="69"/>
      <c r="L198" s="69"/>
      <c r="M198" s="29"/>
      <c r="N198" s="29"/>
      <c r="O198" s="29"/>
      <c r="P198" s="29"/>
      <c r="Q198" s="29"/>
      <c r="R198" s="29"/>
      <c r="S198" s="29"/>
      <c r="T198" s="29"/>
      <c r="U198" s="72"/>
      <c r="V198" s="72"/>
      <c r="W198" s="72"/>
      <c r="X198" s="72"/>
      <c r="Y198" s="72"/>
      <c r="Z198" s="29"/>
      <c r="AA198" s="29"/>
      <c r="AB198" s="29"/>
      <c r="AC198" s="29"/>
      <c r="AD198" s="75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72"/>
      <c r="BN198" s="72"/>
      <c r="BO198" s="29"/>
    </row>
    <row r="199" ht="12.75" customHeight="1">
      <c r="A199" s="29"/>
      <c r="B199" s="29"/>
      <c r="C199" s="29"/>
      <c r="D199" s="29"/>
      <c r="E199" s="69"/>
      <c r="F199" s="69"/>
      <c r="G199" s="69"/>
      <c r="H199" s="69"/>
      <c r="I199" s="69"/>
      <c r="J199" s="69"/>
      <c r="K199" s="69"/>
      <c r="L199" s="69"/>
      <c r="M199" s="29"/>
      <c r="N199" s="29"/>
      <c r="O199" s="29"/>
      <c r="P199" s="29"/>
      <c r="Q199" s="29"/>
      <c r="R199" s="29"/>
      <c r="S199" s="29"/>
      <c r="T199" s="29"/>
      <c r="U199" s="72"/>
      <c r="V199" s="72"/>
      <c r="W199" s="72"/>
      <c r="X199" s="72"/>
      <c r="Y199" s="72"/>
      <c r="Z199" s="29"/>
      <c r="AA199" s="29"/>
      <c r="AB199" s="29"/>
      <c r="AC199" s="29"/>
      <c r="AD199" s="75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72"/>
      <c r="BN199" s="72"/>
      <c r="BO199" s="29"/>
    </row>
    <row r="200" ht="12.75" customHeight="1">
      <c r="A200" s="29"/>
      <c r="B200" s="29"/>
      <c r="C200" s="29"/>
      <c r="D200" s="29"/>
      <c r="E200" s="69"/>
      <c r="F200" s="69"/>
      <c r="G200" s="69"/>
      <c r="H200" s="69"/>
      <c r="I200" s="69"/>
      <c r="J200" s="69"/>
      <c r="K200" s="69"/>
      <c r="L200" s="69"/>
      <c r="M200" s="29"/>
      <c r="N200" s="29"/>
      <c r="O200" s="29"/>
      <c r="P200" s="29"/>
      <c r="Q200" s="29"/>
      <c r="R200" s="29"/>
      <c r="S200" s="29"/>
      <c r="T200" s="29"/>
      <c r="U200" s="72"/>
      <c r="V200" s="72"/>
      <c r="W200" s="72"/>
      <c r="X200" s="72"/>
      <c r="Y200" s="72"/>
      <c r="Z200" s="29"/>
      <c r="AA200" s="29"/>
      <c r="AB200" s="29"/>
      <c r="AC200" s="29"/>
      <c r="AD200" s="75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72"/>
      <c r="BN200" s="72"/>
      <c r="BO200" s="29"/>
    </row>
    <row r="201" ht="12.75" customHeight="1">
      <c r="A201" s="29"/>
      <c r="B201" s="29"/>
      <c r="C201" s="29"/>
      <c r="D201" s="29"/>
      <c r="E201" s="69"/>
      <c r="F201" s="69"/>
      <c r="G201" s="69"/>
      <c r="H201" s="69"/>
      <c r="I201" s="69"/>
      <c r="J201" s="69"/>
      <c r="K201" s="69"/>
      <c r="L201" s="69"/>
      <c r="M201" s="29"/>
      <c r="N201" s="29"/>
      <c r="O201" s="29"/>
      <c r="P201" s="29"/>
      <c r="Q201" s="29"/>
      <c r="R201" s="29"/>
      <c r="S201" s="29"/>
      <c r="T201" s="29"/>
      <c r="U201" s="72"/>
      <c r="V201" s="72"/>
      <c r="W201" s="72"/>
      <c r="X201" s="72"/>
      <c r="Y201" s="72"/>
      <c r="Z201" s="29"/>
      <c r="AA201" s="29"/>
      <c r="AB201" s="29"/>
      <c r="AC201" s="29"/>
      <c r="AD201" s="75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72"/>
      <c r="BN201" s="72"/>
      <c r="BO201" s="29"/>
    </row>
    <row r="202" ht="12.75" customHeight="1">
      <c r="A202" s="29"/>
      <c r="B202" s="29"/>
      <c r="C202" s="29"/>
      <c r="D202" s="29"/>
      <c r="E202" s="69"/>
      <c r="F202" s="69"/>
      <c r="G202" s="69"/>
      <c r="H202" s="69"/>
      <c r="I202" s="69"/>
      <c r="J202" s="69"/>
      <c r="K202" s="69"/>
      <c r="L202" s="69"/>
      <c r="M202" s="29"/>
      <c r="N202" s="29"/>
      <c r="O202" s="29"/>
      <c r="P202" s="29"/>
      <c r="Q202" s="29"/>
      <c r="R202" s="29"/>
      <c r="S202" s="29"/>
      <c r="T202" s="29"/>
      <c r="U202" s="72"/>
      <c r="V202" s="72"/>
      <c r="W202" s="72"/>
      <c r="X202" s="72"/>
      <c r="Y202" s="72"/>
      <c r="Z202" s="29"/>
      <c r="AA202" s="29"/>
      <c r="AB202" s="29"/>
      <c r="AC202" s="29"/>
      <c r="AD202" s="75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72"/>
      <c r="BN202" s="72"/>
      <c r="BO202" s="29"/>
    </row>
    <row r="203" ht="12.75" customHeight="1">
      <c r="A203" s="29"/>
      <c r="B203" s="29"/>
      <c r="C203" s="29"/>
      <c r="D203" s="29"/>
      <c r="E203" s="69"/>
      <c r="F203" s="69"/>
      <c r="G203" s="69"/>
      <c r="H203" s="69"/>
      <c r="I203" s="69"/>
      <c r="J203" s="69"/>
      <c r="K203" s="69"/>
      <c r="L203" s="69"/>
      <c r="M203" s="29"/>
      <c r="N203" s="29"/>
      <c r="O203" s="29"/>
      <c r="P203" s="29"/>
      <c r="Q203" s="29"/>
      <c r="R203" s="29"/>
      <c r="S203" s="29"/>
      <c r="T203" s="29"/>
      <c r="U203" s="72"/>
      <c r="V203" s="72"/>
      <c r="W203" s="72"/>
      <c r="X203" s="72"/>
      <c r="Y203" s="72"/>
      <c r="Z203" s="29"/>
      <c r="AA203" s="29"/>
      <c r="AB203" s="29"/>
      <c r="AC203" s="29"/>
      <c r="AD203" s="75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72"/>
      <c r="BN203" s="72"/>
      <c r="BO203" s="29"/>
    </row>
    <row r="204" ht="12.75" customHeight="1">
      <c r="A204" s="29"/>
      <c r="B204" s="29"/>
      <c r="C204" s="29"/>
      <c r="D204" s="29"/>
      <c r="E204" s="69"/>
      <c r="F204" s="69"/>
      <c r="G204" s="69"/>
      <c r="H204" s="69"/>
      <c r="I204" s="69"/>
      <c r="J204" s="69"/>
      <c r="K204" s="69"/>
      <c r="L204" s="69"/>
      <c r="M204" s="29"/>
      <c r="N204" s="29"/>
      <c r="O204" s="29"/>
      <c r="P204" s="29"/>
      <c r="Q204" s="29"/>
      <c r="R204" s="29"/>
      <c r="S204" s="29"/>
      <c r="T204" s="29"/>
      <c r="U204" s="72"/>
      <c r="V204" s="72"/>
      <c r="W204" s="72"/>
      <c r="X204" s="72"/>
      <c r="Y204" s="72"/>
      <c r="Z204" s="29"/>
      <c r="AA204" s="29"/>
      <c r="AB204" s="29"/>
      <c r="AC204" s="29"/>
      <c r="AD204" s="75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72"/>
      <c r="BN204" s="72"/>
      <c r="BO204" s="29"/>
    </row>
    <row r="205" ht="12.75" customHeight="1">
      <c r="A205" s="29"/>
      <c r="B205" s="29"/>
      <c r="C205" s="29"/>
      <c r="D205" s="29"/>
      <c r="E205" s="69"/>
      <c r="F205" s="69"/>
      <c r="G205" s="69"/>
      <c r="H205" s="69"/>
      <c r="I205" s="69"/>
      <c r="J205" s="69"/>
      <c r="K205" s="69"/>
      <c r="L205" s="69"/>
      <c r="M205" s="29"/>
      <c r="N205" s="29"/>
      <c r="O205" s="29"/>
      <c r="P205" s="29"/>
      <c r="Q205" s="29"/>
      <c r="R205" s="29"/>
      <c r="S205" s="29"/>
      <c r="T205" s="29"/>
      <c r="U205" s="72"/>
      <c r="V205" s="72"/>
      <c r="W205" s="72"/>
      <c r="X205" s="72"/>
      <c r="Y205" s="72"/>
      <c r="Z205" s="29"/>
      <c r="AA205" s="29"/>
      <c r="AB205" s="29"/>
      <c r="AC205" s="29"/>
      <c r="AD205" s="75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72"/>
      <c r="BN205" s="72"/>
      <c r="BO205" s="29"/>
    </row>
    <row r="206" ht="12.75" customHeight="1">
      <c r="A206" s="29"/>
      <c r="B206" s="29"/>
      <c r="C206" s="29"/>
      <c r="D206" s="29"/>
      <c r="E206" s="69"/>
      <c r="F206" s="69"/>
      <c r="G206" s="69"/>
      <c r="H206" s="69"/>
      <c r="I206" s="69"/>
      <c r="J206" s="69"/>
      <c r="K206" s="69"/>
      <c r="L206" s="69"/>
      <c r="M206" s="29"/>
      <c r="N206" s="29"/>
      <c r="O206" s="29"/>
      <c r="P206" s="29"/>
      <c r="Q206" s="29"/>
      <c r="R206" s="29"/>
      <c r="S206" s="29"/>
      <c r="T206" s="29"/>
      <c r="U206" s="72"/>
      <c r="V206" s="72"/>
      <c r="W206" s="72"/>
      <c r="X206" s="72"/>
      <c r="Y206" s="72"/>
      <c r="Z206" s="29"/>
      <c r="AA206" s="29"/>
      <c r="AB206" s="29"/>
      <c r="AC206" s="29"/>
      <c r="AD206" s="75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72"/>
      <c r="BN206" s="72"/>
      <c r="BO206" s="29"/>
    </row>
    <row r="207" ht="12.75" customHeight="1">
      <c r="A207" s="29"/>
      <c r="B207" s="29"/>
      <c r="C207" s="29"/>
      <c r="D207" s="29"/>
      <c r="E207" s="69"/>
      <c r="F207" s="69"/>
      <c r="G207" s="69"/>
      <c r="H207" s="69"/>
      <c r="I207" s="69"/>
      <c r="J207" s="69"/>
      <c r="K207" s="69"/>
      <c r="L207" s="69"/>
      <c r="M207" s="29"/>
      <c r="N207" s="29"/>
      <c r="O207" s="29"/>
      <c r="P207" s="29"/>
      <c r="Q207" s="29"/>
      <c r="R207" s="29"/>
      <c r="S207" s="29"/>
      <c r="T207" s="29"/>
      <c r="U207" s="72"/>
      <c r="V207" s="72"/>
      <c r="W207" s="72"/>
      <c r="X207" s="72"/>
      <c r="Y207" s="72"/>
      <c r="Z207" s="29"/>
      <c r="AA207" s="29"/>
      <c r="AB207" s="29"/>
      <c r="AC207" s="29"/>
      <c r="AD207" s="75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72"/>
      <c r="BN207" s="72"/>
      <c r="BO207" s="29"/>
    </row>
    <row r="208" ht="12.75" customHeight="1">
      <c r="A208" s="29"/>
      <c r="B208" s="29"/>
      <c r="C208" s="29"/>
      <c r="D208" s="29"/>
      <c r="E208" s="69"/>
      <c r="F208" s="69"/>
      <c r="G208" s="69"/>
      <c r="H208" s="69"/>
      <c r="I208" s="69"/>
      <c r="J208" s="69"/>
      <c r="K208" s="69"/>
      <c r="L208" s="69"/>
      <c r="M208" s="29"/>
      <c r="N208" s="29"/>
      <c r="O208" s="29"/>
      <c r="P208" s="29"/>
      <c r="Q208" s="29"/>
      <c r="R208" s="29"/>
      <c r="S208" s="29"/>
      <c r="T208" s="29"/>
      <c r="U208" s="72"/>
      <c r="V208" s="72"/>
      <c r="W208" s="72"/>
      <c r="X208" s="72"/>
      <c r="Y208" s="72"/>
      <c r="Z208" s="29"/>
      <c r="AA208" s="29"/>
      <c r="AB208" s="29"/>
      <c r="AC208" s="29"/>
      <c r="AD208" s="75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72"/>
      <c r="BN208" s="72"/>
      <c r="BO208" s="29"/>
    </row>
    <row r="209" ht="12.75" customHeight="1">
      <c r="A209" s="29"/>
      <c r="B209" s="29"/>
      <c r="C209" s="29"/>
      <c r="D209" s="29"/>
      <c r="E209" s="69"/>
      <c r="F209" s="69"/>
      <c r="G209" s="69"/>
      <c r="H209" s="69"/>
      <c r="I209" s="69"/>
      <c r="J209" s="69"/>
      <c r="K209" s="69"/>
      <c r="L209" s="69"/>
      <c r="M209" s="29"/>
      <c r="N209" s="29"/>
      <c r="O209" s="29"/>
      <c r="P209" s="29"/>
      <c r="Q209" s="29"/>
      <c r="R209" s="29"/>
      <c r="S209" s="29"/>
      <c r="T209" s="29"/>
      <c r="U209" s="72"/>
      <c r="V209" s="72"/>
      <c r="W209" s="72"/>
      <c r="X209" s="72"/>
      <c r="Y209" s="72"/>
      <c r="Z209" s="29"/>
      <c r="AA209" s="29"/>
      <c r="AB209" s="29"/>
      <c r="AC209" s="29"/>
      <c r="AD209" s="75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72"/>
      <c r="BN209" s="72"/>
      <c r="BO209" s="29"/>
    </row>
    <row r="210" ht="12.75" customHeight="1">
      <c r="A210" s="29"/>
      <c r="B210" s="29"/>
      <c r="C210" s="29"/>
      <c r="D210" s="29"/>
      <c r="E210" s="69"/>
      <c r="F210" s="69"/>
      <c r="G210" s="69"/>
      <c r="H210" s="69"/>
      <c r="I210" s="69"/>
      <c r="J210" s="69"/>
      <c r="K210" s="69"/>
      <c r="L210" s="69"/>
      <c r="M210" s="29"/>
      <c r="N210" s="29"/>
      <c r="O210" s="29"/>
      <c r="P210" s="29"/>
      <c r="Q210" s="29"/>
      <c r="R210" s="29"/>
      <c r="S210" s="29"/>
      <c r="T210" s="29"/>
      <c r="U210" s="72"/>
      <c r="V210" s="72"/>
      <c r="W210" s="72"/>
      <c r="X210" s="72"/>
      <c r="Y210" s="72"/>
      <c r="Z210" s="29"/>
      <c r="AA210" s="29"/>
      <c r="AB210" s="29"/>
      <c r="AC210" s="29"/>
      <c r="AD210" s="75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72"/>
      <c r="BN210" s="72"/>
      <c r="BO210" s="29"/>
    </row>
    <row r="211" ht="12.75" customHeight="1">
      <c r="A211" s="29"/>
      <c r="B211" s="29"/>
      <c r="C211" s="29"/>
      <c r="D211" s="29"/>
      <c r="E211" s="69"/>
      <c r="F211" s="69"/>
      <c r="G211" s="69"/>
      <c r="H211" s="69"/>
      <c r="I211" s="69"/>
      <c r="J211" s="69"/>
      <c r="K211" s="69"/>
      <c r="L211" s="69"/>
      <c r="M211" s="29"/>
      <c r="N211" s="29"/>
      <c r="O211" s="29"/>
      <c r="P211" s="29"/>
      <c r="Q211" s="29"/>
      <c r="R211" s="29"/>
      <c r="S211" s="29"/>
      <c r="T211" s="29"/>
      <c r="U211" s="72"/>
      <c r="V211" s="72"/>
      <c r="W211" s="72"/>
      <c r="X211" s="72"/>
      <c r="Y211" s="72"/>
      <c r="Z211" s="29"/>
      <c r="AA211" s="29"/>
      <c r="AB211" s="29"/>
      <c r="AC211" s="29"/>
      <c r="AD211" s="75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72"/>
      <c r="BN211" s="72"/>
      <c r="BO211" s="29"/>
    </row>
    <row r="212" ht="12.75" customHeight="1">
      <c r="A212" s="29"/>
      <c r="B212" s="29"/>
      <c r="C212" s="29"/>
      <c r="D212" s="29"/>
      <c r="E212" s="69"/>
      <c r="F212" s="69"/>
      <c r="G212" s="69"/>
      <c r="H212" s="69"/>
      <c r="I212" s="69"/>
      <c r="J212" s="69"/>
      <c r="K212" s="69"/>
      <c r="L212" s="69"/>
      <c r="M212" s="29"/>
      <c r="N212" s="29"/>
      <c r="O212" s="29"/>
      <c r="P212" s="29"/>
      <c r="Q212" s="29"/>
      <c r="R212" s="29"/>
      <c r="S212" s="29"/>
      <c r="T212" s="29"/>
      <c r="U212" s="72"/>
      <c r="V212" s="72"/>
      <c r="W212" s="72"/>
      <c r="X212" s="72"/>
      <c r="Y212" s="72"/>
      <c r="Z212" s="29"/>
      <c r="AA212" s="29"/>
      <c r="AB212" s="29"/>
      <c r="AC212" s="29"/>
      <c r="AD212" s="75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72"/>
      <c r="BN212" s="72"/>
      <c r="BO212" s="29"/>
    </row>
    <row r="213" ht="12.75" customHeight="1">
      <c r="A213" s="29"/>
      <c r="B213" s="29"/>
      <c r="C213" s="29"/>
      <c r="D213" s="29"/>
      <c r="E213" s="69"/>
      <c r="F213" s="69"/>
      <c r="G213" s="69"/>
      <c r="H213" s="69"/>
      <c r="I213" s="69"/>
      <c r="J213" s="69"/>
      <c r="K213" s="69"/>
      <c r="L213" s="69"/>
      <c r="M213" s="29"/>
      <c r="N213" s="29"/>
      <c r="O213" s="29"/>
      <c r="P213" s="29"/>
      <c r="Q213" s="29"/>
      <c r="R213" s="29"/>
      <c r="S213" s="29"/>
      <c r="T213" s="29"/>
      <c r="U213" s="72"/>
      <c r="V213" s="72"/>
      <c r="W213" s="72"/>
      <c r="X213" s="72"/>
      <c r="Y213" s="72"/>
      <c r="Z213" s="29"/>
      <c r="AA213" s="29"/>
      <c r="AB213" s="29"/>
      <c r="AC213" s="29"/>
      <c r="AD213" s="75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72"/>
      <c r="BN213" s="72"/>
      <c r="BO213" s="29"/>
    </row>
    <row r="214" ht="12.75" customHeight="1">
      <c r="A214" s="29"/>
      <c r="B214" s="29"/>
      <c r="C214" s="29"/>
      <c r="D214" s="29"/>
      <c r="E214" s="69"/>
      <c r="F214" s="69"/>
      <c r="G214" s="69"/>
      <c r="H214" s="69"/>
      <c r="I214" s="69"/>
      <c r="J214" s="69"/>
      <c r="K214" s="69"/>
      <c r="L214" s="69"/>
      <c r="M214" s="29"/>
      <c r="N214" s="29"/>
      <c r="O214" s="29"/>
      <c r="P214" s="29"/>
      <c r="Q214" s="29"/>
      <c r="R214" s="29"/>
      <c r="S214" s="29"/>
      <c r="T214" s="29"/>
      <c r="U214" s="72"/>
      <c r="V214" s="72"/>
      <c r="W214" s="72"/>
      <c r="X214" s="72"/>
      <c r="Y214" s="72"/>
      <c r="Z214" s="29"/>
      <c r="AA214" s="29"/>
      <c r="AB214" s="29"/>
      <c r="AC214" s="29"/>
      <c r="AD214" s="75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72"/>
      <c r="BN214" s="72"/>
      <c r="BO214" s="29"/>
    </row>
    <row r="215" ht="12.75" customHeight="1">
      <c r="A215" s="29"/>
      <c r="B215" s="29"/>
      <c r="C215" s="29"/>
      <c r="D215" s="29"/>
      <c r="E215" s="69"/>
      <c r="F215" s="69"/>
      <c r="G215" s="69"/>
      <c r="H215" s="69"/>
      <c r="I215" s="69"/>
      <c r="J215" s="69"/>
      <c r="K215" s="69"/>
      <c r="L215" s="69"/>
      <c r="M215" s="29"/>
      <c r="N215" s="29"/>
      <c r="O215" s="29"/>
      <c r="P215" s="29"/>
      <c r="Q215" s="29"/>
      <c r="R215" s="29"/>
      <c r="S215" s="29"/>
      <c r="T215" s="29"/>
      <c r="U215" s="72"/>
      <c r="V215" s="72"/>
      <c r="W215" s="72"/>
      <c r="X215" s="72"/>
      <c r="Y215" s="72"/>
      <c r="Z215" s="29"/>
      <c r="AA215" s="29"/>
      <c r="AB215" s="29"/>
      <c r="AC215" s="29"/>
      <c r="AD215" s="75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72"/>
      <c r="BN215" s="72"/>
      <c r="BO215" s="29"/>
    </row>
    <row r="216" ht="12.75" customHeight="1">
      <c r="A216" s="29"/>
      <c r="B216" s="29"/>
      <c r="C216" s="29"/>
      <c r="D216" s="29"/>
      <c r="E216" s="69"/>
      <c r="F216" s="69"/>
      <c r="G216" s="69"/>
      <c r="H216" s="69"/>
      <c r="I216" s="69"/>
      <c r="J216" s="69"/>
      <c r="K216" s="69"/>
      <c r="L216" s="69"/>
      <c r="M216" s="29"/>
      <c r="N216" s="29"/>
      <c r="O216" s="29"/>
      <c r="P216" s="29"/>
      <c r="Q216" s="29"/>
      <c r="R216" s="29"/>
      <c r="S216" s="29"/>
      <c r="T216" s="29"/>
      <c r="U216" s="72"/>
      <c r="V216" s="72"/>
      <c r="W216" s="72"/>
      <c r="X216" s="72"/>
      <c r="Y216" s="72"/>
      <c r="Z216" s="29"/>
      <c r="AA216" s="29"/>
      <c r="AB216" s="29"/>
      <c r="AC216" s="29"/>
      <c r="AD216" s="75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72"/>
      <c r="BN216" s="72"/>
      <c r="BO216" s="29"/>
    </row>
    <row r="217" ht="12.75" customHeight="1">
      <c r="A217" s="29"/>
      <c r="B217" s="29"/>
      <c r="C217" s="29"/>
      <c r="D217" s="29"/>
      <c r="E217" s="69"/>
      <c r="F217" s="69"/>
      <c r="G217" s="69"/>
      <c r="H217" s="69"/>
      <c r="I217" s="69"/>
      <c r="J217" s="69"/>
      <c r="K217" s="69"/>
      <c r="L217" s="69"/>
      <c r="M217" s="29"/>
      <c r="N217" s="29"/>
      <c r="O217" s="29"/>
      <c r="P217" s="29"/>
      <c r="Q217" s="29"/>
      <c r="R217" s="29"/>
      <c r="S217" s="29"/>
      <c r="T217" s="29"/>
      <c r="U217" s="72"/>
      <c r="V217" s="72"/>
      <c r="W217" s="72"/>
      <c r="X217" s="72"/>
      <c r="Y217" s="72"/>
      <c r="Z217" s="29"/>
      <c r="AA217" s="29"/>
      <c r="AB217" s="29"/>
      <c r="AC217" s="29"/>
      <c r="AD217" s="75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72"/>
      <c r="BN217" s="72"/>
      <c r="BO217" s="29"/>
    </row>
    <row r="218" ht="12.75" customHeight="1">
      <c r="A218" s="29"/>
      <c r="B218" s="29"/>
      <c r="C218" s="29"/>
      <c r="D218" s="29"/>
      <c r="E218" s="69"/>
      <c r="F218" s="69"/>
      <c r="G218" s="69"/>
      <c r="H218" s="69"/>
      <c r="I218" s="69"/>
      <c r="J218" s="69"/>
      <c r="K218" s="69"/>
      <c r="L218" s="69"/>
      <c r="M218" s="29"/>
      <c r="N218" s="29"/>
      <c r="O218" s="29"/>
      <c r="P218" s="29"/>
      <c r="Q218" s="29"/>
      <c r="R218" s="29"/>
      <c r="S218" s="29"/>
      <c r="T218" s="29"/>
      <c r="U218" s="72"/>
      <c r="V218" s="72"/>
      <c r="W218" s="72"/>
      <c r="X218" s="72"/>
      <c r="Y218" s="72"/>
      <c r="Z218" s="29"/>
      <c r="AA218" s="29"/>
      <c r="AB218" s="29"/>
      <c r="AC218" s="29"/>
      <c r="AD218" s="75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72"/>
      <c r="BN218" s="72"/>
      <c r="BO218" s="29"/>
    </row>
    <row r="219" ht="12.75" customHeight="1">
      <c r="A219" s="29"/>
      <c r="B219" s="29"/>
      <c r="C219" s="29"/>
      <c r="D219" s="29"/>
      <c r="E219" s="69"/>
      <c r="F219" s="69"/>
      <c r="G219" s="69"/>
      <c r="H219" s="69"/>
      <c r="I219" s="69"/>
      <c r="J219" s="69"/>
      <c r="K219" s="69"/>
      <c r="L219" s="69"/>
      <c r="M219" s="29"/>
      <c r="N219" s="29"/>
      <c r="O219" s="29"/>
      <c r="P219" s="29"/>
      <c r="Q219" s="29"/>
      <c r="R219" s="29"/>
      <c r="S219" s="29"/>
      <c r="T219" s="29"/>
      <c r="U219" s="72"/>
      <c r="V219" s="72"/>
      <c r="W219" s="72"/>
      <c r="X219" s="72"/>
      <c r="Y219" s="72"/>
      <c r="Z219" s="29"/>
      <c r="AA219" s="29"/>
      <c r="AB219" s="29"/>
      <c r="AC219" s="29"/>
      <c r="AD219" s="75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72"/>
      <c r="BN219" s="72"/>
      <c r="BO219" s="29"/>
    </row>
    <row r="220" ht="12.75" customHeight="1">
      <c r="A220" s="29"/>
      <c r="B220" s="29"/>
      <c r="C220" s="29"/>
      <c r="D220" s="29"/>
      <c r="E220" s="69"/>
      <c r="F220" s="69"/>
      <c r="G220" s="69"/>
      <c r="H220" s="69"/>
      <c r="I220" s="69"/>
      <c r="J220" s="69"/>
      <c r="K220" s="69"/>
      <c r="L220" s="69"/>
      <c r="M220" s="29"/>
      <c r="N220" s="29"/>
      <c r="O220" s="29"/>
      <c r="P220" s="29"/>
      <c r="Q220" s="29"/>
      <c r="R220" s="29"/>
      <c r="S220" s="29"/>
      <c r="T220" s="29"/>
      <c r="U220" s="72"/>
      <c r="V220" s="72"/>
      <c r="W220" s="72"/>
      <c r="X220" s="72"/>
      <c r="Y220" s="72"/>
      <c r="Z220" s="29"/>
      <c r="AA220" s="29"/>
      <c r="AB220" s="29"/>
      <c r="AC220" s="29"/>
      <c r="AD220" s="75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72"/>
      <c r="BN220" s="72"/>
      <c r="BO220" s="2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2" width="9.13"/>
    <col customWidth="1" min="63" max="63" width="12.63"/>
    <col customWidth="1" min="64" max="67" width="9.13"/>
  </cols>
  <sheetData>
    <row r="1" ht="151.5" customHeight="1">
      <c r="A1" s="83" t="s">
        <v>17</v>
      </c>
      <c r="B1" s="83" t="s">
        <v>8</v>
      </c>
      <c r="C1" s="83" t="s">
        <v>14</v>
      </c>
      <c r="D1" s="83" t="s">
        <v>80</v>
      </c>
      <c r="E1" s="83" t="s">
        <v>10</v>
      </c>
      <c r="F1" s="83" t="s">
        <v>11</v>
      </c>
      <c r="G1" s="83" t="s">
        <v>13</v>
      </c>
      <c r="H1" s="88" t="s">
        <v>81</v>
      </c>
      <c r="I1" s="83" t="s">
        <v>12</v>
      </c>
      <c r="J1" s="88" t="s">
        <v>82</v>
      </c>
      <c r="K1" s="83" t="s">
        <v>83</v>
      </c>
      <c r="L1" s="83" t="s">
        <v>84</v>
      </c>
      <c r="M1" s="83" t="s">
        <v>85</v>
      </c>
      <c r="N1" s="63" t="s">
        <v>86</v>
      </c>
      <c r="O1" s="63" t="s">
        <v>110</v>
      </c>
      <c r="P1" s="63" t="s">
        <v>87</v>
      </c>
      <c r="Q1" s="63" t="s">
        <v>111</v>
      </c>
      <c r="R1" s="84" t="s">
        <v>15</v>
      </c>
      <c r="S1" s="84" t="s">
        <v>18</v>
      </c>
      <c r="T1" s="84" t="s">
        <v>66</v>
      </c>
      <c r="U1" s="84" t="s">
        <v>19</v>
      </c>
      <c r="V1" s="84" t="s">
        <v>20</v>
      </c>
      <c r="W1" s="84" t="s">
        <v>21</v>
      </c>
      <c r="X1" s="62" t="s">
        <v>34</v>
      </c>
      <c r="Y1" s="62" t="s">
        <v>35</v>
      </c>
      <c r="Z1" s="62" t="s">
        <v>36</v>
      </c>
      <c r="AA1" s="62" t="s">
        <v>43</v>
      </c>
      <c r="AB1" s="85" t="s">
        <v>37</v>
      </c>
      <c r="AC1" s="62" t="s">
        <v>38</v>
      </c>
      <c r="AD1" s="62" t="s">
        <v>44</v>
      </c>
      <c r="AE1" s="62" t="s">
        <v>45</v>
      </c>
      <c r="AF1" s="62" t="s">
        <v>39</v>
      </c>
      <c r="AG1" s="62" t="s">
        <v>40</v>
      </c>
      <c r="AH1" s="62" t="s">
        <v>46</v>
      </c>
      <c r="AI1" s="62" t="s">
        <v>42</v>
      </c>
      <c r="AJ1" s="62" t="s">
        <v>47</v>
      </c>
      <c r="AK1" s="88" t="s">
        <v>88</v>
      </c>
      <c r="AL1" s="34" t="s">
        <v>89</v>
      </c>
      <c r="AM1" s="34" t="s">
        <v>90</v>
      </c>
      <c r="AN1" s="34" t="s">
        <v>91</v>
      </c>
      <c r="AO1" s="34" t="s">
        <v>92</v>
      </c>
      <c r="AP1" s="83" t="s">
        <v>108</v>
      </c>
      <c r="AQ1" s="83" t="s">
        <v>109</v>
      </c>
      <c r="AR1" s="34" t="s">
        <v>93</v>
      </c>
      <c r="AS1" s="59" t="s">
        <v>94</v>
      </c>
      <c r="AT1" s="59" t="s">
        <v>95</v>
      </c>
      <c r="AU1" s="59" t="s">
        <v>96</v>
      </c>
      <c r="AV1" s="59" t="s">
        <v>97</v>
      </c>
      <c r="AW1" s="59" t="s">
        <v>98</v>
      </c>
      <c r="AX1" s="60" t="s">
        <v>112</v>
      </c>
      <c r="AY1" s="61" t="s">
        <v>99</v>
      </c>
      <c r="AZ1" s="61" t="s">
        <v>100</v>
      </c>
      <c r="BA1" s="61" t="s">
        <v>48</v>
      </c>
      <c r="BB1" s="34" t="s">
        <v>107</v>
      </c>
      <c r="BC1" s="84" t="s">
        <v>51</v>
      </c>
      <c r="BD1" s="62" t="s">
        <v>101</v>
      </c>
      <c r="BE1" s="62" t="s">
        <v>102</v>
      </c>
      <c r="BF1" s="62" t="s">
        <v>68</v>
      </c>
      <c r="BG1" s="63" t="s">
        <v>72</v>
      </c>
      <c r="BH1" s="62" t="s">
        <v>70</v>
      </c>
      <c r="BI1" s="63" t="s">
        <v>74</v>
      </c>
      <c r="BJ1" s="63" t="s">
        <v>54</v>
      </c>
      <c r="BK1" s="19" t="s">
        <v>76</v>
      </c>
      <c r="BL1" s="64" t="s">
        <v>103</v>
      </c>
      <c r="BM1" s="65" t="s">
        <v>104</v>
      </c>
      <c r="BN1" s="64" t="s">
        <v>105</v>
      </c>
      <c r="BO1" s="66" t="s">
        <v>106</v>
      </c>
    </row>
    <row r="2" ht="12.75" customHeight="1">
      <c r="A2" s="29"/>
      <c r="B2" s="67"/>
      <c r="C2" s="68"/>
      <c r="D2" s="29"/>
      <c r="E2" s="69"/>
      <c r="F2" s="69"/>
      <c r="G2" s="69"/>
      <c r="H2" s="69"/>
      <c r="I2" s="69"/>
      <c r="J2" s="69"/>
      <c r="K2" s="69"/>
      <c r="L2" s="69"/>
      <c r="M2" s="29"/>
      <c r="N2" s="70"/>
      <c r="O2" s="71"/>
      <c r="P2" s="70"/>
      <c r="Q2" s="71"/>
      <c r="R2" s="72"/>
      <c r="S2" s="72"/>
      <c r="T2" s="72"/>
      <c r="U2" s="72"/>
      <c r="V2" s="72"/>
      <c r="W2" s="72"/>
      <c r="X2" s="73"/>
      <c r="Y2" s="73"/>
      <c r="Z2" s="74">
        <f>X2+Y2</f>
        <v>0</v>
      </c>
      <c r="AA2" s="74"/>
      <c r="AB2" s="75" t="str">
        <f>AA2/Z2</f>
        <v>#DIV/0!</v>
      </c>
      <c r="AC2" s="74">
        <f>Z2-AA2</f>
        <v>0</v>
      </c>
      <c r="AD2" s="74"/>
      <c r="AE2" s="74"/>
      <c r="AF2" s="73"/>
      <c r="AG2" s="73"/>
      <c r="AH2" s="74"/>
      <c r="AI2" s="74">
        <f>AF2+AG2-AH2</f>
        <v>0</v>
      </c>
      <c r="AJ2" s="74"/>
      <c r="AK2" s="76"/>
      <c r="AL2" s="77" t="str">
        <f>dateDiff(S2,R2)</f>
        <v>#NAME?</v>
      </c>
      <c r="AM2" s="77" t="str">
        <f>dateDiff(T2,R2)</f>
        <v>#NAME?</v>
      </c>
      <c r="AN2" s="77" t="str">
        <f>dateDiff(U2,R2)</f>
        <v>#NAME?</v>
      </c>
      <c r="AO2" s="77" t="str">
        <f>dateDiff(V2,R2)</f>
        <v>#NAME?</v>
      </c>
      <c r="AP2" s="77"/>
      <c r="AQ2" s="77"/>
      <c r="AR2" s="29"/>
      <c r="AS2" s="78" t="str">
        <f>IF(AND(AM2&gt;0,AN2&gt;0),AN2-AM2,0)</f>
        <v>#NAME?</v>
      </c>
      <c r="AT2" s="78">
        <f>IF(A2="ONG",AN2,IF(OR(A2="COM",A2="FIN"),AO2,0))</f>
        <v>0</v>
      </c>
      <c r="AU2" s="78">
        <f>IF(OR(A2="ONG", A2 = "COM",A2="FIN"),AL2,0)</f>
        <v>0</v>
      </c>
      <c r="AV2" s="78">
        <f>IF(AND(OR(A2="ONG", A2 = "COM",A2="FIN"),OR(I2="CPG",I2="TAS",I2="TRA",I2="INS")),AL2,0)</f>
        <v>0</v>
      </c>
      <c r="AW2" s="78">
        <f>IF(AND(A2="ONG",OR(I2="CPG",I2="TAS",I2="TRA")),AN2,IF(AND(OR(A2="COM",A2="FIN"),OR(I2="CPG",I2="TAS",I2="TRA")),AO2,0))</f>
        <v>0</v>
      </c>
      <c r="AX2" s="77" t="str">
        <f>CONCATENATE(F2,"/",G2,"/",H2,"/",I2,"/",J2)</f>
        <v>////</v>
      </c>
      <c r="AY2" s="79"/>
      <c r="AZ2" s="29"/>
      <c r="BA2" s="29"/>
      <c r="BB2" s="67"/>
      <c r="BC2" s="79"/>
      <c r="BD2" s="79"/>
      <c r="BE2" s="79"/>
      <c r="BF2" s="71"/>
      <c r="BG2" s="71"/>
      <c r="BH2" s="71"/>
      <c r="BI2" s="71"/>
      <c r="BJ2" s="71"/>
      <c r="BK2" s="71"/>
      <c r="BL2" s="80" t="str">
        <f>IF(C2&lt;&gt;"ONG","",IF(W2&lt;&gt;"",W2-V2,(DATE(2021,8,1)-V2)))</f>
        <v/>
      </c>
      <c r="BM2" s="81" t="str">
        <f>IF(C2&lt;&gt;"ONG","",(BL2/30)*((P2+R2-Q2-S2)/12))</f>
        <v/>
      </c>
      <c r="BN2" s="76" t="str">
        <f>IF(C2&lt;&gt;"ONG","",((DATE(2021,12,1)-T2))/30)</f>
        <v/>
      </c>
      <c r="BO2" s="29" t="str">
        <f>IF(C2&lt;&gt;"ONG","Exclude",IF(K2="INS","Exclude",IF(K2="DEM","Exclude",IF(K2="PRP","Exclude",IF(BQ2="Banking","Exclude",IF(BQ2="Recovery/recycling","Exclude",IF(BQ2="Refrigerant management plan","Exclude","")))))))</f>
        <v>Exclude</v>
      </c>
    </row>
    <row r="3" ht="12.75" customHeight="1">
      <c r="A3" s="82" t="s">
        <v>113</v>
      </c>
      <c r="B3" s="67"/>
      <c r="C3" s="68"/>
      <c r="D3" s="29"/>
      <c r="E3" s="69"/>
      <c r="F3" s="69"/>
      <c r="G3" s="69"/>
      <c r="H3" s="69"/>
      <c r="I3" s="69"/>
      <c r="J3" s="69"/>
      <c r="K3" s="69"/>
      <c r="L3" s="69"/>
      <c r="M3" s="29"/>
      <c r="N3" s="70"/>
      <c r="O3" s="71"/>
      <c r="P3" s="70"/>
      <c r="Q3" s="71"/>
      <c r="R3" s="72"/>
      <c r="S3" s="72"/>
      <c r="T3" s="72"/>
      <c r="U3" s="72"/>
      <c r="V3" s="72"/>
      <c r="W3" s="72"/>
      <c r="X3" s="73"/>
      <c r="Y3" s="73"/>
      <c r="Z3" s="74"/>
      <c r="AA3" s="74"/>
      <c r="AB3" s="75"/>
      <c r="AC3" s="74"/>
      <c r="AD3" s="74"/>
      <c r="AE3" s="74"/>
      <c r="AF3" s="73"/>
      <c r="AG3" s="73"/>
      <c r="AH3" s="74"/>
      <c r="AI3" s="74"/>
      <c r="AJ3" s="74"/>
      <c r="AK3" s="76"/>
      <c r="AL3" s="77"/>
      <c r="AM3" s="77"/>
      <c r="AN3" s="77"/>
      <c r="AO3" s="77"/>
      <c r="AP3" s="77"/>
      <c r="AQ3" s="77"/>
      <c r="AR3" s="29"/>
      <c r="AS3" s="78"/>
      <c r="AT3" s="78"/>
      <c r="AU3" s="78"/>
      <c r="AV3" s="78"/>
      <c r="AW3" s="78"/>
      <c r="AX3" s="77"/>
      <c r="AY3" s="79"/>
      <c r="AZ3" s="29"/>
      <c r="BA3" s="29"/>
      <c r="BB3" s="67"/>
      <c r="BC3" s="79"/>
      <c r="BD3" s="79"/>
      <c r="BE3" s="79"/>
      <c r="BF3" s="71"/>
      <c r="BG3" s="71"/>
      <c r="BH3" s="71"/>
      <c r="BI3" s="71"/>
      <c r="BJ3" s="71"/>
      <c r="BK3" s="71"/>
      <c r="BL3" s="80"/>
      <c r="BM3" s="81"/>
      <c r="BN3" s="76"/>
      <c r="BO3" s="29"/>
    </row>
    <row r="4" ht="12.75" customHeight="1">
      <c r="A4" s="82" t="s">
        <v>114</v>
      </c>
      <c r="B4" s="29"/>
      <c r="C4" s="29"/>
      <c r="D4" s="29"/>
      <c r="E4" s="69"/>
      <c r="F4" s="69"/>
      <c r="G4" s="69"/>
      <c r="H4" s="69"/>
      <c r="I4" s="69"/>
      <c r="J4" s="69"/>
      <c r="K4" s="69"/>
      <c r="L4" s="69"/>
      <c r="M4" s="29"/>
      <c r="N4" s="29"/>
      <c r="O4" s="29"/>
      <c r="P4" s="29"/>
      <c r="Q4" s="29"/>
      <c r="R4" s="29"/>
      <c r="S4" s="29"/>
      <c r="T4" s="29"/>
      <c r="U4" s="72"/>
      <c r="V4" s="72"/>
      <c r="W4" s="72"/>
      <c r="X4" s="72"/>
      <c r="Y4" s="72"/>
      <c r="Z4" s="29"/>
      <c r="AA4" s="29"/>
      <c r="AB4" s="29"/>
      <c r="AC4" s="29"/>
      <c r="AD4" s="75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72"/>
      <c r="BN4" s="72"/>
      <c r="BO4" s="29"/>
    </row>
    <row r="5" ht="12.75" customHeight="1">
      <c r="A5" s="29"/>
      <c r="B5" s="29"/>
      <c r="C5" s="29"/>
      <c r="D5" s="29"/>
      <c r="E5" s="69"/>
      <c r="F5" s="69"/>
      <c r="G5" s="69"/>
      <c r="H5" s="69"/>
      <c r="I5" s="69"/>
      <c r="J5" s="69"/>
      <c r="K5" s="69"/>
      <c r="L5" s="69"/>
      <c r="M5" s="29"/>
      <c r="N5" s="29"/>
      <c r="O5" s="29"/>
      <c r="P5" s="29"/>
      <c r="Q5" s="29"/>
      <c r="R5" s="29"/>
      <c r="S5" s="29"/>
      <c r="T5" s="29"/>
      <c r="U5" s="72"/>
      <c r="V5" s="72"/>
      <c r="W5" s="72"/>
      <c r="X5" s="72"/>
      <c r="Y5" s="72"/>
      <c r="Z5" s="29"/>
      <c r="AA5" s="29"/>
      <c r="AB5" s="29"/>
      <c r="AC5" s="29"/>
      <c r="AD5" s="75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72"/>
      <c r="BN5" s="72"/>
      <c r="BO5" s="29"/>
    </row>
    <row r="6" ht="12.75" customHeight="1">
      <c r="A6" s="29"/>
      <c r="B6" s="29"/>
      <c r="C6" s="29"/>
      <c r="D6" s="29"/>
      <c r="E6" s="69"/>
      <c r="F6" s="69"/>
      <c r="G6" s="69"/>
      <c r="H6" s="69"/>
      <c r="I6" s="69"/>
      <c r="J6" s="69"/>
      <c r="K6" s="69"/>
      <c r="L6" s="69"/>
      <c r="M6" s="29"/>
      <c r="N6" s="29"/>
      <c r="O6" s="29"/>
      <c r="P6" s="29"/>
      <c r="Q6" s="29"/>
      <c r="R6" s="29"/>
      <c r="S6" s="29"/>
      <c r="T6" s="29"/>
      <c r="U6" s="72"/>
      <c r="V6" s="72"/>
      <c r="W6" s="72"/>
      <c r="X6" s="72"/>
      <c r="Y6" s="72"/>
      <c r="Z6" s="29"/>
      <c r="AA6" s="29"/>
      <c r="AB6" s="29"/>
      <c r="AC6" s="29"/>
      <c r="AD6" s="75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72"/>
      <c r="BN6" s="72"/>
      <c r="BO6" s="29"/>
    </row>
    <row r="7" ht="12.75" customHeight="1">
      <c r="A7" s="29"/>
      <c r="B7" s="29"/>
      <c r="C7" s="29"/>
      <c r="D7" s="29"/>
      <c r="E7" s="69"/>
      <c r="F7" s="69"/>
      <c r="G7" s="69"/>
      <c r="H7" s="69"/>
      <c r="I7" s="69"/>
      <c r="J7" s="69"/>
      <c r="K7" s="69"/>
      <c r="L7" s="69"/>
      <c r="M7" s="29"/>
      <c r="N7" s="29"/>
      <c r="O7" s="29"/>
      <c r="P7" s="29"/>
      <c r="Q7" s="29"/>
      <c r="R7" s="29"/>
      <c r="S7" s="29"/>
      <c r="T7" s="29"/>
      <c r="U7" s="72"/>
      <c r="V7" s="72"/>
      <c r="W7" s="72"/>
      <c r="X7" s="72"/>
      <c r="Y7" s="72"/>
      <c r="Z7" s="29"/>
      <c r="AA7" s="29"/>
      <c r="AB7" s="29"/>
      <c r="AC7" s="29"/>
      <c r="AD7" s="75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72"/>
      <c r="BN7" s="72"/>
      <c r="BO7" s="29"/>
    </row>
    <row r="8" ht="12.75" customHeight="1">
      <c r="A8" s="29"/>
      <c r="B8" s="29"/>
      <c r="C8" s="29"/>
      <c r="D8" s="29"/>
      <c r="E8" s="69"/>
      <c r="F8" s="69"/>
      <c r="G8" s="69"/>
      <c r="H8" s="69"/>
      <c r="I8" s="69"/>
      <c r="J8" s="69"/>
      <c r="K8" s="69"/>
      <c r="L8" s="69"/>
      <c r="M8" s="29"/>
      <c r="N8" s="29"/>
      <c r="O8" s="29"/>
      <c r="P8" s="29"/>
      <c r="Q8" s="29"/>
      <c r="R8" s="29"/>
      <c r="S8" s="29"/>
      <c r="T8" s="29"/>
      <c r="U8" s="72"/>
      <c r="V8" s="72"/>
      <c r="W8" s="72"/>
      <c r="X8" s="72"/>
      <c r="Y8" s="72"/>
      <c r="Z8" s="29"/>
      <c r="AA8" s="29"/>
      <c r="AB8" s="29"/>
      <c r="AC8" s="29"/>
      <c r="AD8" s="75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72"/>
      <c r="BN8" s="72"/>
      <c r="BO8" s="29"/>
    </row>
    <row r="9" ht="12.75" customHeight="1">
      <c r="A9" s="29"/>
      <c r="B9" s="29"/>
      <c r="C9" s="29"/>
      <c r="D9" s="29"/>
      <c r="E9" s="69"/>
      <c r="F9" s="69"/>
      <c r="G9" s="69"/>
      <c r="H9" s="69"/>
      <c r="I9" s="69"/>
      <c r="J9" s="69"/>
      <c r="K9" s="69"/>
      <c r="L9" s="69"/>
      <c r="M9" s="29"/>
      <c r="N9" s="29"/>
      <c r="O9" s="29"/>
      <c r="P9" s="29"/>
      <c r="Q9" s="29"/>
      <c r="R9" s="29"/>
      <c r="S9" s="29"/>
      <c r="T9" s="29"/>
      <c r="U9" s="72"/>
      <c r="V9" s="72"/>
      <c r="W9" s="72"/>
      <c r="X9" s="72"/>
      <c r="Y9" s="72"/>
      <c r="Z9" s="29"/>
      <c r="AA9" s="29"/>
      <c r="AB9" s="29"/>
      <c r="AC9" s="29"/>
      <c r="AD9" s="75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72"/>
      <c r="BN9" s="72"/>
      <c r="BO9" s="29"/>
    </row>
    <row r="10" ht="12.75" customHeight="1">
      <c r="A10" s="29"/>
      <c r="B10" s="29"/>
      <c r="C10" s="29"/>
      <c r="D10" s="29"/>
      <c r="E10" s="69"/>
      <c r="F10" s="69"/>
      <c r="G10" s="69"/>
      <c r="H10" s="69"/>
      <c r="I10" s="69"/>
      <c r="J10" s="69"/>
      <c r="K10" s="69"/>
      <c r="L10" s="69"/>
      <c r="M10" s="29"/>
      <c r="N10" s="29"/>
      <c r="O10" s="29"/>
      <c r="P10" s="29"/>
      <c r="Q10" s="29"/>
      <c r="R10" s="29"/>
      <c r="S10" s="29"/>
      <c r="T10" s="29"/>
      <c r="U10" s="72"/>
      <c r="V10" s="72"/>
      <c r="W10" s="72"/>
      <c r="X10" s="72"/>
      <c r="Y10" s="72"/>
      <c r="Z10" s="29"/>
      <c r="AA10" s="29"/>
      <c r="AB10" s="29"/>
      <c r="AC10" s="29"/>
      <c r="AD10" s="75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72"/>
      <c r="BN10" s="72"/>
      <c r="BO10" s="29"/>
    </row>
    <row r="11" ht="12.75" customHeight="1">
      <c r="A11" s="29"/>
      <c r="B11" s="29"/>
      <c r="C11" s="29"/>
      <c r="D11" s="29"/>
      <c r="E11" s="69"/>
      <c r="F11" s="69"/>
      <c r="G11" s="69"/>
      <c r="H11" s="69"/>
      <c r="I11" s="69"/>
      <c r="J11" s="69"/>
      <c r="K11" s="69"/>
      <c r="L11" s="69"/>
      <c r="M11" s="29"/>
      <c r="N11" s="29"/>
      <c r="O11" s="29"/>
      <c r="P11" s="29"/>
      <c r="Q11" s="29"/>
      <c r="R11" s="29"/>
      <c r="S11" s="29"/>
      <c r="T11" s="29"/>
      <c r="U11" s="72"/>
      <c r="V11" s="72"/>
      <c r="W11" s="72"/>
      <c r="X11" s="72"/>
      <c r="Y11" s="72"/>
      <c r="Z11" s="29"/>
      <c r="AA11" s="29"/>
      <c r="AB11" s="29"/>
      <c r="AC11" s="29"/>
      <c r="AD11" s="75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72"/>
      <c r="BN11" s="72"/>
      <c r="BO11" s="29"/>
    </row>
    <row r="12" ht="12.75" customHeight="1">
      <c r="A12" s="29"/>
      <c r="B12" s="29"/>
      <c r="C12" s="29"/>
      <c r="D12" s="29"/>
      <c r="E12" s="69"/>
      <c r="F12" s="69"/>
      <c r="G12" s="69"/>
      <c r="H12" s="69"/>
      <c r="I12" s="69"/>
      <c r="J12" s="69"/>
      <c r="K12" s="69"/>
      <c r="L12" s="69"/>
      <c r="M12" s="29"/>
      <c r="N12" s="29"/>
      <c r="O12" s="29"/>
      <c r="P12" s="29"/>
      <c r="Q12" s="29"/>
      <c r="R12" s="29"/>
      <c r="S12" s="29"/>
      <c r="T12" s="29"/>
      <c r="U12" s="72"/>
      <c r="V12" s="72"/>
      <c r="W12" s="72"/>
      <c r="X12" s="72"/>
      <c r="Y12" s="72"/>
      <c r="Z12" s="29"/>
      <c r="AA12" s="29"/>
      <c r="AB12" s="29"/>
      <c r="AC12" s="29"/>
      <c r="AD12" s="75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72"/>
      <c r="BN12" s="72"/>
      <c r="BO12" s="29"/>
    </row>
    <row r="13" ht="12.75" customHeight="1">
      <c r="A13" s="29"/>
      <c r="B13" s="29"/>
      <c r="C13" s="29"/>
      <c r="D13" s="29"/>
      <c r="E13" s="69"/>
      <c r="F13" s="69"/>
      <c r="G13" s="69"/>
      <c r="H13" s="69"/>
      <c r="I13" s="69"/>
      <c r="J13" s="69"/>
      <c r="K13" s="69"/>
      <c r="L13" s="69"/>
      <c r="M13" s="29"/>
      <c r="N13" s="29"/>
      <c r="O13" s="29"/>
      <c r="P13" s="29"/>
      <c r="Q13" s="29"/>
      <c r="R13" s="29"/>
      <c r="S13" s="29"/>
      <c r="T13" s="29"/>
      <c r="U13" s="72"/>
      <c r="V13" s="72"/>
      <c r="W13" s="72"/>
      <c r="X13" s="72"/>
      <c r="Y13" s="72"/>
      <c r="Z13" s="29"/>
      <c r="AA13" s="29"/>
      <c r="AB13" s="29"/>
      <c r="AC13" s="29"/>
      <c r="AD13" s="75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72"/>
      <c r="BN13" s="72"/>
      <c r="BO13" s="29"/>
    </row>
    <row r="14" ht="12.75" customHeight="1">
      <c r="A14" s="29"/>
      <c r="B14" s="29"/>
      <c r="C14" s="29"/>
      <c r="D14" s="29"/>
      <c r="E14" s="69"/>
      <c r="F14" s="69"/>
      <c r="G14" s="69"/>
      <c r="H14" s="69"/>
      <c r="I14" s="69"/>
      <c r="J14" s="69"/>
      <c r="K14" s="69"/>
      <c r="L14" s="69"/>
      <c r="M14" s="29"/>
      <c r="N14" s="29"/>
      <c r="O14" s="29"/>
      <c r="P14" s="29"/>
      <c r="Q14" s="29"/>
      <c r="R14" s="29"/>
      <c r="S14" s="29"/>
      <c r="T14" s="29"/>
      <c r="U14" s="72"/>
      <c r="V14" s="72"/>
      <c r="W14" s="72"/>
      <c r="X14" s="72"/>
      <c r="Y14" s="72"/>
      <c r="Z14" s="29"/>
      <c r="AA14" s="29"/>
      <c r="AB14" s="29"/>
      <c r="AC14" s="29"/>
      <c r="AD14" s="75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72"/>
      <c r="BN14" s="72"/>
      <c r="BO14" s="29"/>
    </row>
    <row r="15" ht="12.75" customHeight="1">
      <c r="A15" s="29"/>
      <c r="B15" s="29"/>
      <c r="C15" s="29"/>
      <c r="D15" s="29"/>
      <c r="E15" s="69"/>
      <c r="F15" s="69"/>
      <c r="G15" s="69"/>
      <c r="H15" s="69"/>
      <c r="I15" s="69"/>
      <c r="J15" s="69"/>
      <c r="K15" s="69"/>
      <c r="L15" s="69"/>
      <c r="M15" s="29"/>
      <c r="N15" s="29"/>
      <c r="O15" s="29"/>
      <c r="P15" s="29"/>
      <c r="Q15" s="29"/>
      <c r="R15" s="29"/>
      <c r="S15" s="29"/>
      <c r="T15" s="29"/>
      <c r="U15" s="72"/>
      <c r="V15" s="72"/>
      <c r="W15" s="72"/>
      <c r="X15" s="72"/>
      <c r="Y15" s="72"/>
      <c r="Z15" s="29"/>
      <c r="AA15" s="29"/>
      <c r="AB15" s="29"/>
      <c r="AC15" s="29"/>
      <c r="AD15" s="75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72"/>
      <c r="BN15" s="72"/>
      <c r="BO15" s="29"/>
    </row>
    <row r="16" ht="12.75" customHeight="1">
      <c r="A16" s="29"/>
      <c r="B16" s="29"/>
      <c r="C16" s="29"/>
      <c r="D16" s="29"/>
      <c r="E16" s="69"/>
      <c r="F16" s="69"/>
      <c r="G16" s="69"/>
      <c r="H16" s="69"/>
      <c r="I16" s="69"/>
      <c r="J16" s="69"/>
      <c r="K16" s="69"/>
      <c r="L16" s="69"/>
      <c r="M16" s="29"/>
      <c r="N16" s="29"/>
      <c r="O16" s="29"/>
      <c r="P16" s="29"/>
      <c r="Q16" s="29"/>
      <c r="R16" s="29"/>
      <c r="S16" s="29"/>
      <c r="T16" s="29"/>
      <c r="U16" s="72"/>
      <c r="V16" s="72"/>
      <c r="W16" s="72"/>
      <c r="X16" s="72"/>
      <c r="Y16" s="72"/>
      <c r="Z16" s="29"/>
      <c r="AA16" s="29"/>
      <c r="AB16" s="29"/>
      <c r="AC16" s="29"/>
      <c r="AD16" s="75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72"/>
      <c r="BN16" s="72"/>
      <c r="BO16" s="29"/>
    </row>
    <row r="17" ht="12.75" customHeight="1">
      <c r="A17" s="29"/>
      <c r="B17" s="29"/>
      <c r="C17" s="29"/>
      <c r="D17" s="29"/>
      <c r="E17" s="69"/>
      <c r="F17" s="69"/>
      <c r="G17" s="69"/>
      <c r="H17" s="69"/>
      <c r="I17" s="69"/>
      <c r="J17" s="69"/>
      <c r="K17" s="69"/>
      <c r="L17" s="69"/>
      <c r="M17" s="29"/>
      <c r="N17" s="29"/>
      <c r="O17" s="29"/>
      <c r="P17" s="29"/>
      <c r="Q17" s="29"/>
      <c r="R17" s="29"/>
      <c r="S17" s="29"/>
      <c r="T17" s="29"/>
      <c r="U17" s="72"/>
      <c r="V17" s="72"/>
      <c r="W17" s="72"/>
      <c r="X17" s="72"/>
      <c r="Y17" s="72"/>
      <c r="Z17" s="29"/>
      <c r="AA17" s="29"/>
      <c r="AB17" s="29"/>
      <c r="AC17" s="29"/>
      <c r="AD17" s="75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72"/>
      <c r="BN17" s="72"/>
      <c r="BO17" s="29"/>
    </row>
    <row r="18" ht="12.75" customHeight="1">
      <c r="A18" s="29"/>
      <c r="B18" s="29"/>
      <c r="C18" s="29"/>
      <c r="D18" s="29"/>
      <c r="E18" s="69"/>
      <c r="F18" s="69"/>
      <c r="G18" s="69"/>
      <c r="H18" s="69"/>
      <c r="I18" s="69"/>
      <c r="J18" s="69"/>
      <c r="K18" s="69"/>
      <c r="L18" s="69"/>
      <c r="M18" s="29"/>
      <c r="N18" s="29"/>
      <c r="O18" s="29"/>
      <c r="P18" s="29"/>
      <c r="Q18" s="29"/>
      <c r="R18" s="29"/>
      <c r="S18" s="29"/>
      <c r="T18" s="29"/>
      <c r="U18" s="72"/>
      <c r="V18" s="72"/>
      <c r="W18" s="72"/>
      <c r="X18" s="72"/>
      <c r="Y18" s="72"/>
      <c r="Z18" s="29"/>
      <c r="AA18" s="29"/>
      <c r="AB18" s="29"/>
      <c r="AC18" s="29"/>
      <c r="AD18" s="75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72"/>
      <c r="BN18" s="72"/>
      <c r="BO18" s="29"/>
    </row>
    <row r="19" ht="12.75" customHeight="1">
      <c r="A19" s="29"/>
      <c r="B19" s="29"/>
      <c r="C19" s="29"/>
      <c r="D19" s="29"/>
      <c r="E19" s="69"/>
      <c r="F19" s="69"/>
      <c r="G19" s="69"/>
      <c r="H19" s="69"/>
      <c r="I19" s="69"/>
      <c r="J19" s="69"/>
      <c r="K19" s="69"/>
      <c r="L19" s="69"/>
      <c r="M19" s="29"/>
      <c r="N19" s="29"/>
      <c r="O19" s="29"/>
      <c r="P19" s="29"/>
      <c r="Q19" s="29"/>
      <c r="R19" s="29"/>
      <c r="S19" s="29"/>
      <c r="T19" s="29"/>
      <c r="U19" s="72"/>
      <c r="V19" s="72"/>
      <c r="W19" s="72"/>
      <c r="X19" s="72"/>
      <c r="Y19" s="72"/>
      <c r="Z19" s="29"/>
      <c r="AA19" s="29"/>
      <c r="AB19" s="29"/>
      <c r="AC19" s="29"/>
      <c r="AD19" s="75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72"/>
      <c r="BN19" s="72"/>
      <c r="BO19" s="29"/>
    </row>
    <row r="20" ht="12.75" customHeight="1">
      <c r="A20" s="29"/>
      <c r="B20" s="29"/>
      <c r="C20" s="29"/>
      <c r="D20" s="29"/>
      <c r="E20" s="69"/>
      <c r="F20" s="69"/>
      <c r="G20" s="69"/>
      <c r="H20" s="69"/>
      <c r="I20" s="69"/>
      <c r="J20" s="69"/>
      <c r="K20" s="69"/>
      <c r="L20" s="69"/>
      <c r="M20" s="29"/>
      <c r="N20" s="29"/>
      <c r="O20" s="29"/>
      <c r="P20" s="29"/>
      <c r="Q20" s="29"/>
      <c r="R20" s="29"/>
      <c r="S20" s="29"/>
      <c r="T20" s="29"/>
      <c r="U20" s="72"/>
      <c r="V20" s="72"/>
      <c r="W20" s="72"/>
      <c r="X20" s="72"/>
      <c r="Y20" s="72"/>
      <c r="Z20" s="29"/>
      <c r="AA20" s="29"/>
      <c r="AB20" s="29"/>
      <c r="AC20" s="29"/>
      <c r="AD20" s="75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72"/>
      <c r="BN20" s="72"/>
      <c r="BO20" s="29"/>
    </row>
    <row r="21" ht="12.75" customHeight="1">
      <c r="A21" s="29"/>
      <c r="B21" s="29"/>
      <c r="C21" s="29"/>
      <c r="D21" s="29"/>
      <c r="E21" s="69"/>
      <c r="F21" s="69"/>
      <c r="G21" s="69"/>
      <c r="H21" s="69"/>
      <c r="I21" s="69"/>
      <c r="J21" s="69"/>
      <c r="K21" s="69"/>
      <c r="L21" s="69"/>
      <c r="M21" s="29"/>
      <c r="N21" s="29"/>
      <c r="O21" s="29"/>
      <c r="P21" s="29"/>
      <c r="Q21" s="29"/>
      <c r="R21" s="29"/>
      <c r="S21" s="29"/>
      <c r="T21" s="29"/>
      <c r="U21" s="72"/>
      <c r="V21" s="72"/>
      <c r="W21" s="72"/>
      <c r="X21" s="72"/>
      <c r="Y21" s="72"/>
      <c r="Z21" s="29"/>
      <c r="AA21" s="29"/>
      <c r="AB21" s="29"/>
      <c r="AC21" s="29"/>
      <c r="AD21" s="75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72"/>
      <c r="BN21" s="72"/>
      <c r="BO21" s="29"/>
    </row>
    <row r="22" ht="12.75" customHeight="1">
      <c r="A22" s="29"/>
      <c r="B22" s="29"/>
      <c r="C22" s="29"/>
      <c r="D22" s="29"/>
      <c r="E22" s="69"/>
      <c r="F22" s="69"/>
      <c r="G22" s="69"/>
      <c r="H22" s="69"/>
      <c r="I22" s="69"/>
      <c r="J22" s="69"/>
      <c r="K22" s="69"/>
      <c r="L22" s="69"/>
      <c r="M22" s="29"/>
      <c r="N22" s="29"/>
      <c r="O22" s="29"/>
      <c r="P22" s="29"/>
      <c r="Q22" s="29"/>
      <c r="R22" s="29"/>
      <c r="S22" s="29"/>
      <c r="T22" s="29"/>
      <c r="U22" s="72"/>
      <c r="V22" s="72"/>
      <c r="W22" s="72"/>
      <c r="X22" s="72"/>
      <c r="Y22" s="72"/>
      <c r="Z22" s="29"/>
      <c r="AA22" s="29"/>
      <c r="AB22" s="29"/>
      <c r="AC22" s="29"/>
      <c r="AD22" s="75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72"/>
      <c r="BN22" s="72"/>
      <c r="BO22" s="29"/>
    </row>
    <row r="23" ht="12.75" customHeight="1">
      <c r="A23" s="29"/>
      <c r="B23" s="29"/>
      <c r="C23" s="29"/>
      <c r="D23" s="29"/>
      <c r="E23" s="69"/>
      <c r="F23" s="69"/>
      <c r="G23" s="69"/>
      <c r="H23" s="69"/>
      <c r="I23" s="69"/>
      <c r="J23" s="69"/>
      <c r="K23" s="69"/>
      <c r="L23" s="69"/>
      <c r="M23" s="29"/>
      <c r="N23" s="29"/>
      <c r="O23" s="29"/>
      <c r="P23" s="29"/>
      <c r="Q23" s="29"/>
      <c r="R23" s="29"/>
      <c r="S23" s="29"/>
      <c r="T23" s="29"/>
      <c r="U23" s="72"/>
      <c r="V23" s="72"/>
      <c r="W23" s="72"/>
      <c r="X23" s="72"/>
      <c r="Y23" s="72"/>
      <c r="Z23" s="29"/>
      <c r="AA23" s="29"/>
      <c r="AB23" s="29"/>
      <c r="AC23" s="29"/>
      <c r="AD23" s="75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72"/>
      <c r="BN23" s="72"/>
      <c r="BO23" s="29"/>
    </row>
    <row r="24" ht="12.75" customHeight="1">
      <c r="A24" s="29"/>
      <c r="B24" s="29"/>
      <c r="C24" s="29"/>
      <c r="D24" s="29"/>
      <c r="E24" s="69"/>
      <c r="F24" s="69"/>
      <c r="G24" s="69"/>
      <c r="H24" s="69"/>
      <c r="I24" s="69"/>
      <c r="J24" s="69"/>
      <c r="K24" s="69"/>
      <c r="L24" s="69"/>
      <c r="M24" s="29"/>
      <c r="N24" s="29"/>
      <c r="O24" s="29"/>
      <c r="P24" s="29"/>
      <c r="Q24" s="29"/>
      <c r="R24" s="29"/>
      <c r="S24" s="29"/>
      <c r="T24" s="29"/>
      <c r="U24" s="72"/>
      <c r="V24" s="72"/>
      <c r="W24" s="72"/>
      <c r="X24" s="72"/>
      <c r="Y24" s="72"/>
      <c r="Z24" s="29"/>
      <c r="AA24" s="29"/>
      <c r="AB24" s="29"/>
      <c r="AC24" s="29"/>
      <c r="AD24" s="75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72"/>
      <c r="BN24" s="72"/>
      <c r="BO24" s="29"/>
    </row>
    <row r="25" ht="12.75" customHeight="1">
      <c r="A25" s="29"/>
      <c r="B25" s="29"/>
      <c r="C25" s="29"/>
      <c r="D25" s="29"/>
      <c r="E25" s="69"/>
      <c r="F25" s="69"/>
      <c r="G25" s="69"/>
      <c r="H25" s="69"/>
      <c r="I25" s="69"/>
      <c r="J25" s="69"/>
      <c r="K25" s="69"/>
      <c r="L25" s="69"/>
      <c r="M25" s="29"/>
      <c r="N25" s="29"/>
      <c r="O25" s="29"/>
      <c r="P25" s="29"/>
      <c r="Q25" s="29"/>
      <c r="R25" s="29"/>
      <c r="S25" s="29"/>
      <c r="T25" s="29"/>
      <c r="U25" s="72"/>
      <c r="V25" s="72"/>
      <c r="W25" s="72"/>
      <c r="X25" s="72"/>
      <c r="Y25" s="72"/>
      <c r="Z25" s="29"/>
      <c r="AA25" s="29"/>
      <c r="AB25" s="29"/>
      <c r="AC25" s="29"/>
      <c r="AD25" s="75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72"/>
      <c r="BN25" s="72"/>
      <c r="BO25" s="29"/>
    </row>
    <row r="26" ht="12.75" customHeight="1">
      <c r="A26" s="29"/>
      <c r="B26" s="29"/>
      <c r="C26" s="29"/>
      <c r="D26" s="29"/>
      <c r="E26" s="69"/>
      <c r="F26" s="69"/>
      <c r="G26" s="69"/>
      <c r="H26" s="69"/>
      <c r="I26" s="69"/>
      <c r="J26" s="69"/>
      <c r="K26" s="69"/>
      <c r="L26" s="69"/>
      <c r="M26" s="29"/>
      <c r="N26" s="29"/>
      <c r="O26" s="29"/>
      <c r="P26" s="29"/>
      <c r="Q26" s="29"/>
      <c r="R26" s="29"/>
      <c r="S26" s="29"/>
      <c r="T26" s="29"/>
      <c r="U26" s="72"/>
      <c r="V26" s="72"/>
      <c r="W26" s="72"/>
      <c r="X26" s="72"/>
      <c r="Y26" s="72"/>
      <c r="Z26" s="29"/>
      <c r="AA26" s="29"/>
      <c r="AB26" s="29"/>
      <c r="AC26" s="29"/>
      <c r="AD26" s="75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72"/>
      <c r="BN26" s="72"/>
      <c r="BO26" s="29"/>
    </row>
    <row r="27" ht="12.75" customHeight="1">
      <c r="A27" s="29"/>
      <c r="B27" s="29"/>
      <c r="C27" s="29"/>
      <c r="D27" s="29"/>
      <c r="E27" s="69"/>
      <c r="F27" s="69"/>
      <c r="G27" s="69"/>
      <c r="H27" s="69"/>
      <c r="I27" s="69"/>
      <c r="J27" s="69"/>
      <c r="K27" s="69"/>
      <c r="L27" s="69"/>
      <c r="M27" s="29"/>
      <c r="N27" s="29"/>
      <c r="O27" s="29"/>
      <c r="P27" s="29"/>
      <c r="Q27" s="29"/>
      <c r="R27" s="29"/>
      <c r="S27" s="29"/>
      <c r="T27" s="29"/>
      <c r="U27" s="72"/>
      <c r="V27" s="72"/>
      <c r="W27" s="72"/>
      <c r="X27" s="72"/>
      <c r="Y27" s="72"/>
      <c r="Z27" s="29"/>
      <c r="AA27" s="29"/>
      <c r="AB27" s="29"/>
      <c r="AC27" s="29"/>
      <c r="AD27" s="75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29"/>
      <c r="BD27" s="29"/>
      <c r="BE27" s="29"/>
      <c r="BF27" s="29"/>
      <c r="BG27" s="29"/>
      <c r="BH27" s="29"/>
      <c r="BI27" s="29"/>
      <c r="BJ27" s="29"/>
      <c r="BK27" s="29"/>
      <c r="BL27" s="29"/>
      <c r="BM27" s="72"/>
      <c r="BN27" s="72"/>
      <c r="BO27" s="29"/>
    </row>
    <row r="28" ht="12.75" customHeight="1">
      <c r="A28" s="29"/>
      <c r="B28" s="29"/>
      <c r="C28" s="29"/>
      <c r="D28" s="29"/>
      <c r="E28" s="69"/>
      <c r="F28" s="69"/>
      <c r="G28" s="69"/>
      <c r="H28" s="69"/>
      <c r="I28" s="69"/>
      <c r="J28" s="69"/>
      <c r="K28" s="69"/>
      <c r="L28" s="69"/>
      <c r="M28" s="29"/>
      <c r="N28" s="29"/>
      <c r="O28" s="29"/>
      <c r="P28" s="29"/>
      <c r="Q28" s="29"/>
      <c r="R28" s="29"/>
      <c r="S28" s="29"/>
      <c r="T28" s="29"/>
      <c r="U28" s="72"/>
      <c r="V28" s="72"/>
      <c r="W28" s="72"/>
      <c r="X28" s="72"/>
      <c r="Y28" s="72"/>
      <c r="Z28" s="29"/>
      <c r="AA28" s="29"/>
      <c r="AB28" s="29"/>
      <c r="AC28" s="29"/>
      <c r="AD28" s="75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72"/>
      <c r="BN28" s="72"/>
      <c r="BO28" s="29"/>
    </row>
    <row r="29" ht="12.75" customHeight="1">
      <c r="A29" s="29"/>
      <c r="B29" s="29"/>
      <c r="C29" s="29"/>
      <c r="D29" s="29"/>
      <c r="E29" s="69"/>
      <c r="F29" s="69"/>
      <c r="G29" s="69"/>
      <c r="H29" s="69"/>
      <c r="I29" s="69"/>
      <c r="J29" s="69"/>
      <c r="K29" s="69"/>
      <c r="L29" s="69"/>
      <c r="M29" s="29"/>
      <c r="N29" s="29"/>
      <c r="O29" s="29"/>
      <c r="P29" s="29"/>
      <c r="Q29" s="29"/>
      <c r="R29" s="29"/>
      <c r="S29" s="29"/>
      <c r="T29" s="29"/>
      <c r="U29" s="72"/>
      <c r="V29" s="72"/>
      <c r="W29" s="72"/>
      <c r="X29" s="72"/>
      <c r="Y29" s="72"/>
      <c r="Z29" s="29"/>
      <c r="AA29" s="29"/>
      <c r="AB29" s="29"/>
      <c r="AC29" s="29"/>
      <c r="AD29" s="75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  <c r="BF29" s="29"/>
      <c r="BG29" s="29"/>
      <c r="BH29" s="29"/>
      <c r="BI29" s="29"/>
      <c r="BJ29" s="29"/>
      <c r="BK29" s="29"/>
      <c r="BL29" s="29"/>
      <c r="BM29" s="72"/>
      <c r="BN29" s="72"/>
      <c r="BO29" s="29"/>
    </row>
    <row r="30" ht="12.75" customHeight="1">
      <c r="A30" s="29"/>
      <c r="B30" s="29"/>
      <c r="C30" s="29"/>
      <c r="D30" s="29"/>
      <c r="E30" s="69"/>
      <c r="F30" s="69"/>
      <c r="G30" s="69"/>
      <c r="H30" s="69"/>
      <c r="I30" s="69"/>
      <c r="J30" s="69"/>
      <c r="K30" s="69"/>
      <c r="L30" s="69"/>
      <c r="M30" s="29"/>
      <c r="N30" s="29"/>
      <c r="O30" s="29"/>
      <c r="P30" s="29"/>
      <c r="Q30" s="29"/>
      <c r="R30" s="29"/>
      <c r="S30" s="29"/>
      <c r="T30" s="29"/>
      <c r="U30" s="72"/>
      <c r="V30" s="72"/>
      <c r="W30" s="72"/>
      <c r="X30" s="72"/>
      <c r="Y30" s="72"/>
      <c r="Z30" s="29"/>
      <c r="AA30" s="29"/>
      <c r="AB30" s="29"/>
      <c r="AC30" s="29"/>
      <c r="AD30" s="75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72"/>
      <c r="BN30" s="72"/>
      <c r="BO30" s="29"/>
    </row>
    <row r="31" ht="12.75" customHeight="1">
      <c r="A31" s="29"/>
      <c r="B31" s="29"/>
      <c r="C31" s="29"/>
      <c r="D31" s="29"/>
      <c r="E31" s="69"/>
      <c r="F31" s="69"/>
      <c r="G31" s="69"/>
      <c r="H31" s="69"/>
      <c r="I31" s="69"/>
      <c r="J31" s="69"/>
      <c r="K31" s="69"/>
      <c r="L31" s="69"/>
      <c r="M31" s="29"/>
      <c r="N31" s="29"/>
      <c r="O31" s="29"/>
      <c r="P31" s="29"/>
      <c r="Q31" s="29"/>
      <c r="R31" s="29"/>
      <c r="S31" s="29"/>
      <c r="T31" s="29"/>
      <c r="U31" s="72"/>
      <c r="V31" s="72"/>
      <c r="W31" s="72"/>
      <c r="X31" s="72"/>
      <c r="Y31" s="72"/>
      <c r="Z31" s="29"/>
      <c r="AA31" s="29"/>
      <c r="AB31" s="29"/>
      <c r="AC31" s="29"/>
      <c r="AD31" s="75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72"/>
      <c r="BN31" s="72"/>
      <c r="BO31" s="29"/>
    </row>
    <row r="32" ht="12.75" customHeight="1">
      <c r="A32" s="29"/>
      <c r="B32" s="29"/>
      <c r="C32" s="29"/>
      <c r="D32" s="29"/>
      <c r="E32" s="69"/>
      <c r="F32" s="69"/>
      <c r="G32" s="69"/>
      <c r="H32" s="69"/>
      <c r="I32" s="69"/>
      <c r="J32" s="69"/>
      <c r="K32" s="69"/>
      <c r="L32" s="69"/>
      <c r="M32" s="29"/>
      <c r="N32" s="29"/>
      <c r="O32" s="29"/>
      <c r="P32" s="29"/>
      <c r="Q32" s="29"/>
      <c r="R32" s="29"/>
      <c r="S32" s="29"/>
      <c r="T32" s="29"/>
      <c r="U32" s="72"/>
      <c r="V32" s="72"/>
      <c r="W32" s="72"/>
      <c r="X32" s="72"/>
      <c r="Y32" s="72"/>
      <c r="Z32" s="29"/>
      <c r="AA32" s="29"/>
      <c r="AB32" s="29"/>
      <c r="AC32" s="29"/>
      <c r="AD32" s="75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72"/>
      <c r="BN32" s="72"/>
      <c r="BO32" s="29"/>
    </row>
    <row r="33" ht="12.75" customHeight="1">
      <c r="A33" s="29"/>
      <c r="B33" s="29"/>
      <c r="C33" s="29"/>
      <c r="D33" s="29"/>
      <c r="E33" s="69"/>
      <c r="F33" s="69"/>
      <c r="G33" s="69"/>
      <c r="H33" s="69"/>
      <c r="I33" s="69"/>
      <c r="J33" s="69"/>
      <c r="K33" s="69"/>
      <c r="L33" s="69"/>
      <c r="M33" s="29"/>
      <c r="N33" s="29"/>
      <c r="O33" s="29"/>
      <c r="P33" s="29"/>
      <c r="Q33" s="29"/>
      <c r="R33" s="29"/>
      <c r="S33" s="29"/>
      <c r="T33" s="29"/>
      <c r="U33" s="72"/>
      <c r="V33" s="72"/>
      <c r="W33" s="72"/>
      <c r="X33" s="72"/>
      <c r="Y33" s="72"/>
      <c r="Z33" s="29"/>
      <c r="AA33" s="29"/>
      <c r="AB33" s="29"/>
      <c r="AC33" s="29"/>
      <c r="AD33" s="75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72"/>
      <c r="BN33" s="72"/>
      <c r="BO33" s="29"/>
    </row>
    <row r="34" ht="12.75" customHeight="1">
      <c r="A34" s="29"/>
      <c r="B34" s="29"/>
      <c r="C34" s="29"/>
      <c r="D34" s="29"/>
      <c r="E34" s="69"/>
      <c r="F34" s="69"/>
      <c r="G34" s="69"/>
      <c r="H34" s="69"/>
      <c r="I34" s="69"/>
      <c r="J34" s="69"/>
      <c r="K34" s="69"/>
      <c r="L34" s="69"/>
      <c r="M34" s="29"/>
      <c r="N34" s="29"/>
      <c r="O34" s="29"/>
      <c r="P34" s="29"/>
      <c r="Q34" s="29"/>
      <c r="R34" s="29"/>
      <c r="S34" s="29"/>
      <c r="T34" s="29"/>
      <c r="U34" s="72"/>
      <c r="V34" s="72"/>
      <c r="W34" s="72"/>
      <c r="X34" s="72"/>
      <c r="Y34" s="72"/>
      <c r="Z34" s="29"/>
      <c r="AA34" s="29"/>
      <c r="AB34" s="29"/>
      <c r="AC34" s="29"/>
      <c r="AD34" s="75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  <c r="BE34" s="29"/>
      <c r="BF34" s="29"/>
      <c r="BG34" s="29"/>
      <c r="BH34" s="29"/>
      <c r="BI34" s="29"/>
      <c r="BJ34" s="29"/>
      <c r="BK34" s="29"/>
      <c r="BL34" s="29"/>
      <c r="BM34" s="72"/>
      <c r="BN34" s="72"/>
      <c r="BO34" s="29"/>
    </row>
    <row r="35" ht="12.75" customHeight="1">
      <c r="A35" s="29"/>
      <c r="B35" s="29"/>
      <c r="C35" s="29"/>
      <c r="D35" s="29"/>
      <c r="E35" s="69"/>
      <c r="F35" s="69"/>
      <c r="G35" s="69"/>
      <c r="H35" s="69"/>
      <c r="I35" s="69"/>
      <c r="J35" s="69"/>
      <c r="K35" s="69"/>
      <c r="L35" s="69"/>
      <c r="M35" s="29"/>
      <c r="N35" s="29"/>
      <c r="O35" s="29"/>
      <c r="P35" s="29"/>
      <c r="Q35" s="29"/>
      <c r="R35" s="29"/>
      <c r="S35" s="29"/>
      <c r="T35" s="29"/>
      <c r="U35" s="72"/>
      <c r="V35" s="72"/>
      <c r="W35" s="72"/>
      <c r="X35" s="72"/>
      <c r="Y35" s="72"/>
      <c r="Z35" s="29"/>
      <c r="AA35" s="29"/>
      <c r="AB35" s="29"/>
      <c r="AC35" s="29"/>
      <c r="AD35" s="75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72"/>
      <c r="BN35" s="72"/>
      <c r="BO35" s="29"/>
    </row>
    <row r="36" ht="12.75" customHeight="1">
      <c r="A36" s="29"/>
      <c r="B36" s="29"/>
      <c r="C36" s="29"/>
      <c r="D36" s="29"/>
      <c r="E36" s="69"/>
      <c r="F36" s="69"/>
      <c r="G36" s="69"/>
      <c r="H36" s="69"/>
      <c r="I36" s="69"/>
      <c r="J36" s="69"/>
      <c r="K36" s="69"/>
      <c r="L36" s="69"/>
      <c r="M36" s="29"/>
      <c r="N36" s="29"/>
      <c r="O36" s="29"/>
      <c r="P36" s="29"/>
      <c r="Q36" s="29"/>
      <c r="R36" s="29"/>
      <c r="S36" s="29"/>
      <c r="T36" s="29"/>
      <c r="U36" s="72"/>
      <c r="V36" s="72"/>
      <c r="W36" s="72"/>
      <c r="X36" s="72"/>
      <c r="Y36" s="72"/>
      <c r="Z36" s="29"/>
      <c r="AA36" s="29"/>
      <c r="AB36" s="29"/>
      <c r="AC36" s="29"/>
      <c r="AD36" s="75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72"/>
      <c r="BN36" s="72"/>
      <c r="BO36" s="29"/>
    </row>
    <row r="37" ht="12.75" customHeight="1">
      <c r="A37" s="29"/>
      <c r="B37" s="29"/>
      <c r="C37" s="29"/>
      <c r="D37" s="29"/>
      <c r="E37" s="69"/>
      <c r="F37" s="69"/>
      <c r="G37" s="69"/>
      <c r="H37" s="69"/>
      <c r="I37" s="69"/>
      <c r="J37" s="69"/>
      <c r="K37" s="69"/>
      <c r="L37" s="69"/>
      <c r="M37" s="29"/>
      <c r="N37" s="29"/>
      <c r="O37" s="29"/>
      <c r="P37" s="29"/>
      <c r="Q37" s="29"/>
      <c r="R37" s="29"/>
      <c r="S37" s="29"/>
      <c r="T37" s="29"/>
      <c r="U37" s="72"/>
      <c r="V37" s="72"/>
      <c r="W37" s="72"/>
      <c r="X37" s="72"/>
      <c r="Y37" s="72"/>
      <c r="Z37" s="29"/>
      <c r="AA37" s="29"/>
      <c r="AB37" s="29"/>
      <c r="AC37" s="29"/>
      <c r="AD37" s="75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72"/>
      <c r="BN37" s="72"/>
      <c r="BO37" s="29"/>
    </row>
    <row r="38" ht="12.75" customHeight="1">
      <c r="A38" s="29"/>
      <c r="B38" s="29"/>
      <c r="C38" s="29"/>
      <c r="D38" s="29"/>
      <c r="E38" s="69"/>
      <c r="F38" s="69"/>
      <c r="G38" s="69"/>
      <c r="H38" s="69"/>
      <c r="I38" s="69"/>
      <c r="J38" s="69"/>
      <c r="K38" s="69"/>
      <c r="L38" s="69"/>
      <c r="M38" s="29"/>
      <c r="N38" s="29"/>
      <c r="O38" s="29"/>
      <c r="P38" s="29"/>
      <c r="Q38" s="29"/>
      <c r="R38" s="29"/>
      <c r="S38" s="29"/>
      <c r="T38" s="29"/>
      <c r="U38" s="72"/>
      <c r="V38" s="72"/>
      <c r="W38" s="72"/>
      <c r="X38" s="72"/>
      <c r="Y38" s="72"/>
      <c r="Z38" s="29"/>
      <c r="AA38" s="29"/>
      <c r="AB38" s="29"/>
      <c r="AC38" s="29"/>
      <c r="AD38" s="75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72"/>
      <c r="BN38" s="72"/>
      <c r="BO38" s="29"/>
    </row>
    <row r="39" ht="12.75" customHeight="1">
      <c r="A39" s="29"/>
      <c r="B39" s="29"/>
      <c r="C39" s="29"/>
      <c r="D39" s="29"/>
      <c r="E39" s="69"/>
      <c r="F39" s="69"/>
      <c r="G39" s="69"/>
      <c r="H39" s="69"/>
      <c r="I39" s="69"/>
      <c r="J39" s="69"/>
      <c r="K39" s="69"/>
      <c r="L39" s="69"/>
      <c r="M39" s="29"/>
      <c r="N39" s="29"/>
      <c r="O39" s="29"/>
      <c r="P39" s="29"/>
      <c r="Q39" s="29"/>
      <c r="R39" s="29"/>
      <c r="S39" s="29"/>
      <c r="T39" s="29"/>
      <c r="U39" s="72"/>
      <c r="V39" s="72"/>
      <c r="W39" s="72"/>
      <c r="X39" s="72"/>
      <c r="Y39" s="72"/>
      <c r="Z39" s="29"/>
      <c r="AA39" s="29"/>
      <c r="AB39" s="29"/>
      <c r="AC39" s="29"/>
      <c r="AD39" s="75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  <c r="BE39" s="29"/>
      <c r="BF39" s="29"/>
      <c r="BG39" s="29"/>
      <c r="BH39" s="29"/>
      <c r="BI39" s="29"/>
      <c r="BJ39" s="29"/>
      <c r="BK39" s="29"/>
      <c r="BL39" s="29"/>
      <c r="BM39" s="72"/>
      <c r="BN39" s="72"/>
      <c r="BO39" s="29"/>
    </row>
    <row r="40" ht="12.75" customHeight="1">
      <c r="A40" s="29"/>
      <c r="B40" s="29"/>
      <c r="C40" s="29"/>
      <c r="D40" s="29"/>
      <c r="E40" s="69"/>
      <c r="F40" s="69"/>
      <c r="G40" s="69"/>
      <c r="H40" s="69"/>
      <c r="I40" s="69"/>
      <c r="J40" s="69"/>
      <c r="K40" s="69"/>
      <c r="L40" s="69"/>
      <c r="M40" s="29"/>
      <c r="N40" s="29"/>
      <c r="O40" s="29"/>
      <c r="P40" s="29"/>
      <c r="Q40" s="29"/>
      <c r="R40" s="29"/>
      <c r="S40" s="29"/>
      <c r="T40" s="29"/>
      <c r="U40" s="72"/>
      <c r="V40" s="72"/>
      <c r="W40" s="72"/>
      <c r="X40" s="72"/>
      <c r="Y40" s="72"/>
      <c r="Z40" s="29"/>
      <c r="AA40" s="29"/>
      <c r="AB40" s="29"/>
      <c r="AC40" s="29"/>
      <c r="AD40" s="75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  <c r="BC40" s="29"/>
      <c r="BD40" s="29"/>
      <c r="BE40" s="29"/>
      <c r="BF40" s="29"/>
      <c r="BG40" s="29"/>
      <c r="BH40" s="29"/>
      <c r="BI40" s="29"/>
      <c r="BJ40" s="29"/>
      <c r="BK40" s="29"/>
      <c r="BL40" s="29"/>
      <c r="BM40" s="72"/>
      <c r="BN40" s="72"/>
      <c r="BO40" s="29"/>
    </row>
    <row r="41" ht="12.75" customHeight="1">
      <c r="A41" s="29"/>
      <c r="B41" s="29"/>
      <c r="C41" s="29"/>
      <c r="D41" s="29"/>
      <c r="E41" s="69"/>
      <c r="F41" s="69"/>
      <c r="G41" s="69"/>
      <c r="H41" s="69"/>
      <c r="I41" s="69"/>
      <c r="J41" s="69"/>
      <c r="K41" s="69"/>
      <c r="L41" s="69"/>
      <c r="M41" s="29"/>
      <c r="N41" s="29"/>
      <c r="O41" s="29"/>
      <c r="P41" s="29"/>
      <c r="Q41" s="29"/>
      <c r="R41" s="29"/>
      <c r="S41" s="29"/>
      <c r="T41" s="29"/>
      <c r="U41" s="72"/>
      <c r="V41" s="72"/>
      <c r="W41" s="72"/>
      <c r="X41" s="72"/>
      <c r="Y41" s="72"/>
      <c r="Z41" s="29"/>
      <c r="AA41" s="29"/>
      <c r="AB41" s="29"/>
      <c r="AC41" s="29"/>
      <c r="AD41" s="75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  <c r="BE41" s="29"/>
      <c r="BF41" s="29"/>
      <c r="BG41" s="29"/>
      <c r="BH41" s="29"/>
      <c r="BI41" s="29"/>
      <c r="BJ41" s="29"/>
      <c r="BK41" s="29"/>
      <c r="BL41" s="29"/>
      <c r="BM41" s="72"/>
      <c r="BN41" s="72"/>
      <c r="BO41" s="29"/>
    </row>
    <row r="42" ht="12.75" customHeight="1">
      <c r="A42" s="29"/>
      <c r="B42" s="29"/>
      <c r="C42" s="29"/>
      <c r="D42" s="29"/>
      <c r="E42" s="69"/>
      <c r="F42" s="69"/>
      <c r="G42" s="69"/>
      <c r="H42" s="69"/>
      <c r="I42" s="69"/>
      <c r="J42" s="69"/>
      <c r="K42" s="69"/>
      <c r="L42" s="69"/>
      <c r="M42" s="29"/>
      <c r="N42" s="29"/>
      <c r="O42" s="29"/>
      <c r="P42" s="29"/>
      <c r="Q42" s="29"/>
      <c r="R42" s="29"/>
      <c r="S42" s="29"/>
      <c r="T42" s="29"/>
      <c r="U42" s="72"/>
      <c r="V42" s="72"/>
      <c r="W42" s="72"/>
      <c r="X42" s="72"/>
      <c r="Y42" s="72"/>
      <c r="Z42" s="29"/>
      <c r="AA42" s="29"/>
      <c r="AB42" s="29"/>
      <c r="AC42" s="29"/>
      <c r="AD42" s="75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  <c r="BE42" s="29"/>
      <c r="BF42" s="29"/>
      <c r="BG42" s="29"/>
      <c r="BH42" s="29"/>
      <c r="BI42" s="29"/>
      <c r="BJ42" s="29"/>
      <c r="BK42" s="29"/>
      <c r="BL42" s="29"/>
      <c r="BM42" s="72"/>
      <c r="BN42" s="72"/>
      <c r="BO42" s="29"/>
    </row>
    <row r="43" ht="12.75" customHeight="1">
      <c r="A43" s="29"/>
      <c r="B43" s="29"/>
      <c r="C43" s="29"/>
      <c r="D43" s="29"/>
      <c r="E43" s="69"/>
      <c r="F43" s="69"/>
      <c r="G43" s="69"/>
      <c r="H43" s="69"/>
      <c r="I43" s="69"/>
      <c r="J43" s="69"/>
      <c r="K43" s="69"/>
      <c r="L43" s="69"/>
      <c r="M43" s="29"/>
      <c r="N43" s="29"/>
      <c r="O43" s="29"/>
      <c r="P43" s="29"/>
      <c r="Q43" s="29"/>
      <c r="R43" s="29"/>
      <c r="S43" s="29"/>
      <c r="T43" s="29"/>
      <c r="U43" s="72"/>
      <c r="V43" s="72"/>
      <c r="W43" s="72"/>
      <c r="X43" s="72"/>
      <c r="Y43" s="72"/>
      <c r="Z43" s="29"/>
      <c r="AA43" s="29"/>
      <c r="AB43" s="29"/>
      <c r="AC43" s="29"/>
      <c r="AD43" s="75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  <c r="BE43" s="29"/>
      <c r="BF43" s="29"/>
      <c r="BG43" s="29"/>
      <c r="BH43" s="29"/>
      <c r="BI43" s="29"/>
      <c r="BJ43" s="29"/>
      <c r="BK43" s="29"/>
      <c r="BL43" s="29"/>
      <c r="BM43" s="72"/>
      <c r="BN43" s="72"/>
      <c r="BO43" s="29"/>
    </row>
    <row r="44" ht="12.75" customHeight="1">
      <c r="A44" s="29"/>
      <c r="B44" s="29"/>
      <c r="C44" s="29"/>
      <c r="D44" s="29"/>
      <c r="E44" s="69"/>
      <c r="F44" s="69"/>
      <c r="G44" s="69"/>
      <c r="H44" s="69"/>
      <c r="I44" s="69"/>
      <c r="J44" s="69"/>
      <c r="K44" s="69"/>
      <c r="L44" s="69"/>
      <c r="M44" s="29"/>
      <c r="N44" s="29"/>
      <c r="O44" s="29"/>
      <c r="P44" s="29"/>
      <c r="Q44" s="29"/>
      <c r="R44" s="29"/>
      <c r="S44" s="29"/>
      <c r="T44" s="29"/>
      <c r="U44" s="72"/>
      <c r="V44" s="72"/>
      <c r="W44" s="72"/>
      <c r="X44" s="72"/>
      <c r="Y44" s="72"/>
      <c r="Z44" s="29"/>
      <c r="AA44" s="29"/>
      <c r="AB44" s="29"/>
      <c r="AC44" s="29"/>
      <c r="AD44" s="75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72"/>
      <c r="BN44" s="72"/>
      <c r="BO44" s="29"/>
    </row>
    <row r="45" ht="12.75" customHeight="1">
      <c r="A45" s="29"/>
      <c r="B45" s="29"/>
      <c r="C45" s="29"/>
      <c r="D45" s="29"/>
      <c r="E45" s="69"/>
      <c r="F45" s="69"/>
      <c r="G45" s="69"/>
      <c r="H45" s="69"/>
      <c r="I45" s="69"/>
      <c r="J45" s="69"/>
      <c r="K45" s="69"/>
      <c r="L45" s="69"/>
      <c r="M45" s="29"/>
      <c r="N45" s="29"/>
      <c r="O45" s="29"/>
      <c r="P45" s="29"/>
      <c r="Q45" s="29"/>
      <c r="R45" s="29"/>
      <c r="S45" s="29"/>
      <c r="T45" s="29"/>
      <c r="U45" s="72"/>
      <c r="V45" s="72"/>
      <c r="W45" s="72"/>
      <c r="X45" s="72"/>
      <c r="Y45" s="72"/>
      <c r="Z45" s="29"/>
      <c r="AA45" s="29"/>
      <c r="AB45" s="29"/>
      <c r="AC45" s="29"/>
      <c r="AD45" s="75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  <c r="BE45" s="29"/>
      <c r="BF45" s="29"/>
      <c r="BG45" s="29"/>
      <c r="BH45" s="29"/>
      <c r="BI45" s="29"/>
      <c r="BJ45" s="29"/>
      <c r="BK45" s="29"/>
      <c r="BL45" s="29"/>
      <c r="BM45" s="72"/>
      <c r="BN45" s="72"/>
      <c r="BO45" s="29"/>
    </row>
    <row r="46" ht="12.75" customHeight="1">
      <c r="A46" s="29"/>
      <c r="B46" s="29"/>
      <c r="C46" s="29"/>
      <c r="D46" s="29"/>
      <c r="E46" s="69"/>
      <c r="F46" s="69"/>
      <c r="G46" s="69"/>
      <c r="H46" s="69"/>
      <c r="I46" s="69"/>
      <c r="J46" s="69"/>
      <c r="K46" s="69"/>
      <c r="L46" s="69"/>
      <c r="M46" s="29"/>
      <c r="N46" s="29"/>
      <c r="O46" s="29"/>
      <c r="P46" s="29"/>
      <c r="Q46" s="29"/>
      <c r="R46" s="29"/>
      <c r="S46" s="29"/>
      <c r="T46" s="29"/>
      <c r="U46" s="72"/>
      <c r="V46" s="72"/>
      <c r="W46" s="72"/>
      <c r="X46" s="72"/>
      <c r="Y46" s="72"/>
      <c r="Z46" s="29"/>
      <c r="AA46" s="29"/>
      <c r="AB46" s="29"/>
      <c r="AC46" s="29"/>
      <c r="AD46" s="75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  <c r="BE46" s="29"/>
      <c r="BF46" s="29"/>
      <c r="BG46" s="29"/>
      <c r="BH46" s="29"/>
      <c r="BI46" s="29"/>
      <c r="BJ46" s="29"/>
      <c r="BK46" s="29"/>
      <c r="BL46" s="29"/>
      <c r="BM46" s="72"/>
      <c r="BN46" s="72"/>
      <c r="BO46" s="29"/>
    </row>
    <row r="47" ht="12.75" customHeight="1">
      <c r="A47" s="29"/>
      <c r="B47" s="29"/>
      <c r="C47" s="29"/>
      <c r="D47" s="29"/>
      <c r="E47" s="69"/>
      <c r="F47" s="69"/>
      <c r="G47" s="69"/>
      <c r="H47" s="69"/>
      <c r="I47" s="69"/>
      <c r="J47" s="69"/>
      <c r="K47" s="69"/>
      <c r="L47" s="69"/>
      <c r="M47" s="29"/>
      <c r="N47" s="29"/>
      <c r="O47" s="29"/>
      <c r="P47" s="29"/>
      <c r="Q47" s="29"/>
      <c r="R47" s="29"/>
      <c r="S47" s="29"/>
      <c r="T47" s="29"/>
      <c r="U47" s="72"/>
      <c r="V47" s="72"/>
      <c r="W47" s="72"/>
      <c r="X47" s="72"/>
      <c r="Y47" s="72"/>
      <c r="Z47" s="29"/>
      <c r="AA47" s="29"/>
      <c r="AB47" s="29"/>
      <c r="AC47" s="29"/>
      <c r="AD47" s="75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  <c r="BE47" s="29"/>
      <c r="BF47" s="29"/>
      <c r="BG47" s="29"/>
      <c r="BH47" s="29"/>
      <c r="BI47" s="29"/>
      <c r="BJ47" s="29"/>
      <c r="BK47" s="29"/>
      <c r="BL47" s="29"/>
      <c r="BM47" s="72"/>
      <c r="BN47" s="72"/>
      <c r="BO47" s="29"/>
    </row>
    <row r="48" ht="12.75" customHeight="1">
      <c r="A48" s="29"/>
      <c r="B48" s="29"/>
      <c r="C48" s="29"/>
      <c r="D48" s="29"/>
      <c r="E48" s="69"/>
      <c r="F48" s="69"/>
      <c r="G48" s="69"/>
      <c r="H48" s="69"/>
      <c r="I48" s="69"/>
      <c r="J48" s="69"/>
      <c r="K48" s="69"/>
      <c r="L48" s="69"/>
      <c r="M48" s="29"/>
      <c r="N48" s="29"/>
      <c r="O48" s="29"/>
      <c r="P48" s="29"/>
      <c r="Q48" s="29"/>
      <c r="R48" s="29"/>
      <c r="S48" s="29"/>
      <c r="T48" s="29"/>
      <c r="U48" s="72"/>
      <c r="V48" s="72"/>
      <c r="W48" s="72"/>
      <c r="X48" s="72"/>
      <c r="Y48" s="72"/>
      <c r="Z48" s="29"/>
      <c r="AA48" s="29"/>
      <c r="AB48" s="29"/>
      <c r="AC48" s="29"/>
      <c r="AD48" s="75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72"/>
      <c r="BN48" s="72"/>
      <c r="BO48" s="29"/>
    </row>
    <row r="49" ht="12.75" customHeight="1">
      <c r="A49" s="29"/>
      <c r="B49" s="29"/>
      <c r="C49" s="29"/>
      <c r="D49" s="29"/>
      <c r="E49" s="69"/>
      <c r="F49" s="69"/>
      <c r="G49" s="69"/>
      <c r="H49" s="69"/>
      <c r="I49" s="69"/>
      <c r="J49" s="69"/>
      <c r="K49" s="69"/>
      <c r="L49" s="69"/>
      <c r="M49" s="29"/>
      <c r="N49" s="29"/>
      <c r="O49" s="29"/>
      <c r="P49" s="29"/>
      <c r="Q49" s="29"/>
      <c r="R49" s="29"/>
      <c r="S49" s="29"/>
      <c r="T49" s="29"/>
      <c r="U49" s="72"/>
      <c r="V49" s="72"/>
      <c r="W49" s="72"/>
      <c r="X49" s="72"/>
      <c r="Y49" s="72"/>
      <c r="Z49" s="29"/>
      <c r="AA49" s="29"/>
      <c r="AB49" s="29"/>
      <c r="AC49" s="29"/>
      <c r="AD49" s="75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72"/>
      <c r="BN49" s="72"/>
      <c r="BO49" s="29"/>
    </row>
    <row r="50" ht="12.75" customHeight="1">
      <c r="A50" s="29"/>
      <c r="B50" s="29"/>
      <c r="C50" s="29"/>
      <c r="D50" s="29"/>
      <c r="E50" s="69"/>
      <c r="F50" s="69"/>
      <c r="G50" s="69"/>
      <c r="H50" s="69"/>
      <c r="I50" s="69"/>
      <c r="J50" s="69"/>
      <c r="K50" s="69"/>
      <c r="L50" s="69"/>
      <c r="M50" s="29"/>
      <c r="N50" s="29"/>
      <c r="O50" s="29"/>
      <c r="P50" s="29"/>
      <c r="Q50" s="29"/>
      <c r="R50" s="29"/>
      <c r="S50" s="29"/>
      <c r="T50" s="29"/>
      <c r="U50" s="72"/>
      <c r="V50" s="72"/>
      <c r="W50" s="72"/>
      <c r="X50" s="72"/>
      <c r="Y50" s="72"/>
      <c r="Z50" s="29"/>
      <c r="AA50" s="29"/>
      <c r="AB50" s="29"/>
      <c r="AC50" s="29"/>
      <c r="AD50" s="75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72"/>
      <c r="BN50" s="72"/>
      <c r="BO50" s="29"/>
    </row>
    <row r="51" ht="12.75" customHeight="1">
      <c r="A51" s="29"/>
      <c r="B51" s="29"/>
      <c r="C51" s="29"/>
      <c r="D51" s="29"/>
      <c r="E51" s="69"/>
      <c r="F51" s="69"/>
      <c r="G51" s="69"/>
      <c r="H51" s="69"/>
      <c r="I51" s="69"/>
      <c r="J51" s="69"/>
      <c r="K51" s="69"/>
      <c r="L51" s="69"/>
      <c r="M51" s="29"/>
      <c r="N51" s="29"/>
      <c r="O51" s="29"/>
      <c r="P51" s="29"/>
      <c r="Q51" s="29"/>
      <c r="R51" s="29"/>
      <c r="S51" s="29"/>
      <c r="T51" s="29"/>
      <c r="U51" s="72"/>
      <c r="V51" s="72"/>
      <c r="W51" s="72"/>
      <c r="X51" s="72"/>
      <c r="Y51" s="72"/>
      <c r="Z51" s="29"/>
      <c r="AA51" s="29"/>
      <c r="AB51" s="29"/>
      <c r="AC51" s="29"/>
      <c r="AD51" s="75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72"/>
      <c r="BN51" s="72"/>
      <c r="BO51" s="29"/>
    </row>
    <row r="52" ht="12.75" customHeight="1">
      <c r="A52" s="29"/>
      <c r="B52" s="29"/>
      <c r="C52" s="29"/>
      <c r="D52" s="29"/>
      <c r="E52" s="69"/>
      <c r="F52" s="69"/>
      <c r="G52" s="69"/>
      <c r="H52" s="69"/>
      <c r="I52" s="69"/>
      <c r="J52" s="69"/>
      <c r="K52" s="69"/>
      <c r="L52" s="69"/>
      <c r="M52" s="29"/>
      <c r="N52" s="29"/>
      <c r="O52" s="29"/>
      <c r="P52" s="29"/>
      <c r="Q52" s="29"/>
      <c r="R52" s="29"/>
      <c r="S52" s="29"/>
      <c r="T52" s="29"/>
      <c r="U52" s="72"/>
      <c r="V52" s="72"/>
      <c r="W52" s="72"/>
      <c r="X52" s="72"/>
      <c r="Y52" s="72"/>
      <c r="Z52" s="29"/>
      <c r="AA52" s="29"/>
      <c r="AB52" s="29"/>
      <c r="AC52" s="29"/>
      <c r="AD52" s="75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72"/>
      <c r="BN52" s="72"/>
      <c r="BO52" s="29"/>
    </row>
    <row r="53" ht="12.75" customHeight="1">
      <c r="A53" s="29"/>
      <c r="B53" s="29"/>
      <c r="C53" s="29"/>
      <c r="D53" s="29"/>
      <c r="E53" s="69"/>
      <c r="F53" s="69"/>
      <c r="G53" s="69"/>
      <c r="H53" s="69"/>
      <c r="I53" s="69"/>
      <c r="J53" s="69"/>
      <c r="K53" s="69"/>
      <c r="L53" s="69"/>
      <c r="M53" s="29"/>
      <c r="N53" s="29"/>
      <c r="O53" s="29"/>
      <c r="P53" s="29"/>
      <c r="Q53" s="29"/>
      <c r="R53" s="29"/>
      <c r="S53" s="29"/>
      <c r="T53" s="29"/>
      <c r="U53" s="72"/>
      <c r="V53" s="72"/>
      <c r="W53" s="72"/>
      <c r="X53" s="72"/>
      <c r="Y53" s="72"/>
      <c r="Z53" s="29"/>
      <c r="AA53" s="29"/>
      <c r="AB53" s="29"/>
      <c r="AC53" s="29"/>
      <c r="AD53" s="75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72"/>
      <c r="BN53" s="72"/>
      <c r="BO53" s="29"/>
    </row>
    <row r="54" ht="12.75" customHeight="1">
      <c r="A54" s="29"/>
      <c r="B54" s="29"/>
      <c r="C54" s="29"/>
      <c r="D54" s="29"/>
      <c r="E54" s="69"/>
      <c r="F54" s="69"/>
      <c r="G54" s="69"/>
      <c r="H54" s="69"/>
      <c r="I54" s="69"/>
      <c r="J54" s="69"/>
      <c r="K54" s="69"/>
      <c r="L54" s="69"/>
      <c r="M54" s="29"/>
      <c r="N54" s="29"/>
      <c r="O54" s="29"/>
      <c r="P54" s="29"/>
      <c r="Q54" s="29"/>
      <c r="R54" s="29"/>
      <c r="S54" s="29"/>
      <c r="T54" s="29"/>
      <c r="U54" s="72"/>
      <c r="V54" s="72"/>
      <c r="W54" s="72"/>
      <c r="X54" s="72"/>
      <c r="Y54" s="72"/>
      <c r="Z54" s="29"/>
      <c r="AA54" s="29"/>
      <c r="AB54" s="29"/>
      <c r="AC54" s="29"/>
      <c r="AD54" s="75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72"/>
      <c r="BN54" s="72"/>
      <c r="BO54" s="29"/>
    </row>
    <row r="55" ht="12.75" customHeight="1">
      <c r="A55" s="29"/>
      <c r="B55" s="29"/>
      <c r="C55" s="29"/>
      <c r="D55" s="29"/>
      <c r="E55" s="69"/>
      <c r="F55" s="69"/>
      <c r="G55" s="69"/>
      <c r="H55" s="69"/>
      <c r="I55" s="69"/>
      <c r="J55" s="69"/>
      <c r="K55" s="69"/>
      <c r="L55" s="69"/>
      <c r="M55" s="29"/>
      <c r="N55" s="29"/>
      <c r="O55" s="29"/>
      <c r="P55" s="29"/>
      <c r="Q55" s="29"/>
      <c r="R55" s="29"/>
      <c r="S55" s="29"/>
      <c r="T55" s="29"/>
      <c r="U55" s="72"/>
      <c r="V55" s="72"/>
      <c r="W55" s="72"/>
      <c r="X55" s="72"/>
      <c r="Y55" s="72"/>
      <c r="Z55" s="29"/>
      <c r="AA55" s="29"/>
      <c r="AB55" s="29"/>
      <c r="AC55" s="29"/>
      <c r="AD55" s="75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72"/>
      <c r="BN55" s="72"/>
      <c r="BO55" s="29"/>
    </row>
    <row r="56" ht="12.75" customHeight="1">
      <c r="A56" s="29"/>
      <c r="B56" s="29"/>
      <c r="C56" s="29"/>
      <c r="D56" s="29"/>
      <c r="E56" s="69"/>
      <c r="F56" s="69"/>
      <c r="G56" s="69"/>
      <c r="H56" s="69"/>
      <c r="I56" s="69"/>
      <c r="J56" s="69"/>
      <c r="K56" s="69"/>
      <c r="L56" s="69"/>
      <c r="M56" s="29"/>
      <c r="N56" s="29"/>
      <c r="O56" s="29"/>
      <c r="P56" s="29"/>
      <c r="Q56" s="29"/>
      <c r="R56" s="29"/>
      <c r="S56" s="29"/>
      <c r="T56" s="29"/>
      <c r="U56" s="72"/>
      <c r="V56" s="72"/>
      <c r="W56" s="72"/>
      <c r="X56" s="72"/>
      <c r="Y56" s="72"/>
      <c r="Z56" s="29"/>
      <c r="AA56" s="29"/>
      <c r="AB56" s="29"/>
      <c r="AC56" s="29"/>
      <c r="AD56" s="75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72"/>
      <c r="BN56" s="72"/>
      <c r="BO56" s="29"/>
    </row>
    <row r="57" ht="12.75" customHeight="1">
      <c r="A57" s="29"/>
      <c r="B57" s="29"/>
      <c r="C57" s="29"/>
      <c r="D57" s="29"/>
      <c r="E57" s="69"/>
      <c r="F57" s="69"/>
      <c r="G57" s="69"/>
      <c r="H57" s="69"/>
      <c r="I57" s="69"/>
      <c r="J57" s="69"/>
      <c r="K57" s="69"/>
      <c r="L57" s="69"/>
      <c r="M57" s="29"/>
      <c r="N57" s="29"/>
      <c r="O57" s="29"/>
      <c r="P57" s="29"/>
      <c r="Q57" s="29"/>
      <c r="R57" s="29"/>
      <c r="S57" s="29"/>
      <c r="T57" s="29"/>
      <c r="U57" s="72"/>
      <c r="V57" s="72"/>
      <c r="W57" s="72"/>
      <c r="X57" s="72"/>
      <c r="Y57" s="72"/>
      <c r="Z57" s="29"/>
      <c r="AA57" s="29"/>
      <c r="AB57" s="29"/>
      <c r="AC57" s="29"/>
      <c r="AD57" s="75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72"/>
      <c r="BN57" s="72"/>
      <c r="BO57" s="29"/>
    </row>
    <row r="58" ht="12.75" customHeight="1">
      <c r="A58" s="29"/>
      <c r="B58" s="29"/>
      <c r="C58" s="29"/>
      <c r="D58" s="29"/>
      <c r="E58" s="69"/>
      <c r="F58" s="69"/>
      <c r="G58" s="69"/>
      <c r="H58" s="69"/>
      <c r="I58" s="69"/>
      <c r="J58" s="69"/>
      <c r="K58" s="69"/>
      <c r="L58" s="69"/>
      <c r="M58" s="29"/>
      <c r="N58" s="29"/>
      <c r="O58" s="29"/>
      <c r="P58" s="29"/>
      <c r="Q58" s="29"/>
      <c r="R58" s="29"/>
      <c r="S58" s="29"/>
      <c r="T58" s="29"/>
      <c r="U58" s="72"/>
      <c r="V58" s="72"/>
      <c r="W58" s="72"/>
      <c r="X58" s="72"/>
      <c r="Y58" s="72"/>
      <c r="Z58" s="29"/>
      <c r="AA58" s="29"/>
      <c r="AB58" s="29"/>
      <c r="AC58" s="29"/>
      <c r="AD58" s="75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72"/>
      <c r="BN58" s="72"/>
      <c r="BO58" s="29"/>
    </row>
    <row r="59" ht="12.75" customHeight="1">
      <c r="A59" s="29"/>
      <c r="B59" s="29"/>
      <c r="C59" s="29"/>
      <c r="D59" s="29"/>
      <c r="E59" s="69"/>
      <c r="F59" s="69"/>
      <c r="G59" s="69"/>
      <c r="H59" s="69"/>
      <c r="I59" s="69"/>
      <c r="J59" s="69"/>
      <c r="K59" s="69"/>
      <c r="L59" s="69"/>
      <c r="M59" s="29"/>
      <c r="N59" s="29"/>
      <c r="O59" s="29"/>
      <c r="P59" s="29"/>
      <c r="Q59" s="29"/>
      <c r="R59" s="29"/>
      <c r="S59" s="29"/>
      <c r="T59" s="29"/>
      <c r="U59" s="72"/>
      <c r="V59" s="72"/>
      <c r="W59" s="72"/>
      <c r="X59" s="72"/>
      <c r="Y59" s="72"/>
      <c r="Z59" s="29"/>
      <c r="AA59" s="29"/>
      <c r="AB59" s="29"/>
      <c r="AC59" s="29"/>
      <c r="AD59" s="75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72"/>
      <c r="BN59" s="72"/>
      <c r="BO59" s="29"/>
    </row>
    <row r="60" ht="12.75" customHeight="1">
      <c r="A60" s="29"/>
      <c r="B60" s="29"/>
      <c r="C60" s="29"/>
      <c r="D60" s="29"/>
      <c r="E60" s="69"/>
      <c r="F60" s="69"/>
      <c r="G60" s="69"/>
      <c r="H60" s="69"/>
      <c r="I60" s="69"/>
      <c r="J60" s="69"/>
      <c r="K60" s="69"/>
      <c r="L60" s="69"/>
      <c r="M60" s="29"/>
      <c r="N60" s="29"/>
      <c r="O60" s="29"/>
      <c r="P60" s="29"/>
      <c r="Q60" s="29"/>
      <c r="R60" s="29"/>
      <c r="S60" s="29"/>
      <c r="T60" s="29"/>
      <c r="U60" s="72"/>
      <c r="V60" s="72"/>
      <c r="W60" s="72"/>
      <c r="X60" s="72"/>
      <c r="Y60" s="72"/>
      <c r="Z60" s="29"/>
      <c r="AA60" s="29"/>
      <c r="AB60" s="29"/>
      <c r="AC60" s="29"/>
      <c r="AD60" s="75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72"/>
      <c r="BN60" s="72"/>
      <c r="BO60" s="29"/>
    </row>
    <row r="61" ht="12.75" customHeight="1">
      <c r="A61" s="29"/>
      <c r="B61" s="29"/>
      <c r="C61" s="29"/>
      <c r="D61" s="29"/>
      <c r="E61" s="69"/>
      <c r="F61" s="69"/>
      <c r="G61" s="69"/>
      <c r="H61" s="69"/>
      <c r="I61" s="69"/>
      <c r="J61" s="69"/>
      <c r="K61" s="69"/>
      <c r="L61" s="69"/>
      <c r="M61" s="29"/>
      <c r="N61" s="29"/>
      <c r="O61" s="29"/>
      <c r="P61" s="29"/>
      <c r="Q61" s="29"/>
      <c r="R61" s="29"/>
      <c r="S61" s="29"/>
      <c r="T61" s="29"/>
      <c r="U61" s="72"/>
      <c r="V61" s="72"/>
      <c r="W61" s="72"/>
      <c r="X61" s="72"/>
      <c r="Y61" s="72"/>
      <c r="Z61" s="29"/>
      <c r="AA61" s="29"/>
      <c r="AB61" s="29"/>
      <c r="AC61" s="29"/>
      <c r="AD61" s="75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72"/>
      <c r="BN61" s="72"/>
      <c r="BO61" s="29"/>
    </row>
    <row r="62" ht="12.75" customHeight="1">
      <c r="A62" s="29"/>
      <c r="B62" s="29"/>
      <c r="C62" s="29"/>
      <c r="D62" s="29"/>
      <c r="E62" s="69"/>
      <c r="F62" s="69"/>
      <c r="G62" s="69"/>
      <c r="H62" s="69"/>
      <c r="I62" s="69"/>
      <c r="J62" s="69"/>
      <c r="K62" s="69"/>
      <c r="L62" s="69"/>
      <c r="M62" s="29"/>
      <c r="N62" s="29"/>
      <c r="O62" s="29"/>
      <c r="P62" s="29"/>
      <c r="Q62" s="29"/>
      <c r="R62" s="29"/>
      <c r="S62" s="29"/>
      <c r="T62" s="29"/>
      <c r="U62" s="72"/>
      <c r="V62" s="72"/>
      <c r="W62" s="72"/>
      <c r="X62" s="72"/>
      <c r="Y62" s="72"/>
      <c r="Z62" s="29"/>
      <c r="AA62" s="29"/>
      <c r="AB62" s="29"/>
      <c r="AC62" s="29"/>
      <c r="AD62" s="75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72"/>
      <c r="BN62" s="72"/>
      <c r="BO62" s="29"/>
    </row>
    <row r="63" ht="12.75" customHeight="1">
      <c r="A63" s="29"/>
      <c r="B63" s="29"/>
      <c r="C63" s="29"/>
      <c r="D63" s="29"/>
      <c r="E63" s="69"/>
      <c r="F63" s="69"/>
      <c r="G63" s="69"/>
      <c r="H63" s="69"/>
      <c r="I63" s="69"/>
      <c r="J63" s="69"/>
      <c r="K63" s="69"/>
      <c r="L63" s="69"/>
      <c r="M63" s="29"/>
      <c r="N63" s="29"/>
      <c r="O63" s="29"/>
      <c r="P63" s="29"/>
      <c r="Q63" s="29"/>
      <c r="R63" s="29"/>
      <c r="S63" s="29"/>
      <c r="T63" s="29"/>
      <c r="U63" s="72"/>
      <c r="V63" s="72"/>
      <c r="W63" s="72"/>
      <c r="X63" s="72"/>
      <c r="Y63" s="72"/>
      <c r="Z63" s="29"/>
      <c r="AA63" s="29"/>
      <c r="AB63" s="29"/>
      <c r="AC63" s="29"/>
      <c r="AD63" s="75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72"/>
      <c r="BN63" s="72"/>
      <c r="BO63" s="29"/>
    </row>
    <row r="64" ht="12.75" customHeight="1">
      <c r="A64" s="29"/>
      <c r="B64" s="29"/>
      <c r="C64" s="29"/>
      <c r="D64" s="29"/>
      <c r="E64" s="69"/>
      <c r="F64" s="69"/>
      <c r="G64" s="69"/>
      <c r="H64" s="69"/>
      <c r="I64" s="69"/>
      <c r="J64" s="69"/>
      <c r="K64" s="69"/>
      <c r="L64" s="69"/>
      <c r="M64" s="29"/>
      <c r="N64" s="29"/>
      <c r="O64" s="29"/>
      <c r="P64" s="29"/>
      <c r="Q64" s="29"/>
      <c r="R64" s="29"/>
      <c r="S64" s="29"/>
      <c r="T64" s="29"/>
      <c r="U64" s="72"/>
      <c r="V64" s="72"/>
      <c r="W64" s="72"/>
      <c r="X64" s="72"/>
      <c r="Y64" s="72"/>
      <c r="Z64" s="29"/>
      <c r="AA64" s="29"/>
      <c r="AB64" s="29"/>
      <c r="AC64" s="29"/>
      <c r="AD64" s="75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72"/>
      <c r="BN64" s="72"/>
      <c r="BO64" s="29"/>
    </row>
    <row r="65" ht="12.75" customHeight="1">
      <c r="A65" s="29"/>
      <c r="B65" s="29"/>
      <c r="C65" s="29"/>
      <c r="D65" s="29"/>
      <c r="E65" s="69"/>
      <c r="F65" s="69"/>
      <c r="G65" s="69"/>
      <c r="H65" s="69"/>
      <c r="I65" s="69"/>
      <c r="J65" s="69"/>
      <c r="K65" s="69"/>
      <c r="L65" s="69"/>
      <c r="M65" s="29"/>
      <c r="N65" s="29"/>
      <c r="O65" s="29"/>
      <c r="P65" s="29"/>
      <c r="Q65" s="29"/>
      <c r="R65" s="29"/>
      <c r="S65" s="29"/>
      <c r="T65" s="29"/>
      <c r="U65" s="72"/>
      <c r="V65" s="72"/>
      <c r="W65" s="72"/>
      <c r="X65" s="72"/>
      <c r="Y65" s="72"/>
      <c r="Z65" s="29"/>
      <c r="AA65" s="29"/>
      <c r="AB65" s="29"/>
      <c r="AC65" s="29"/>
      <c r="AD65" s="75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72"/>
      <c r="BN65" s="72"/>
      <c r="BO65" s="29"/>
    </row>
    <row r="66" ht="12.75" customHeight="1">
      <c r="A66" s="29"/>
      <c r="B66" s="29"/>
      <c r="C66" s="29"/>
      <c r="D66" s="29"/>
      <c r="E66" s="69"/>
      <c r="F66" s="69"/>
      <c r="G66" s="69"/>
      <c r="H66" s="69"/>
      <c r="I66" s="69"/>
      <c r="J66" s="69"/>
      <c r="K66" s="69"/>
      <c r="L66" s="69"/>
      <c r="M66" s="29"/>
      <c r="N66" s="29"/>
      <c r="O66" s="29"/>
      <c r="P66" s="29"/>
      <c r="Q66" s="29"/>
      <c r="R66" s="29"/>
      <c r="S66" s="29"/>
      <c r="T66" s="29"/>
      <c r="U66" s="72"/>
      <c r="V66" s="72"/>
      <c r="W66" s="72"/>
      <c r="X66" s="72"/>
      <c r="Y66" s="72"/>
      <c r="Z66" s="29"/>
      <c r="AA66" s="29"/>
      <c r="AB66" s="29"/>
      <c r="AC66" s="29"/>
      <c r="AD66" s="75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72"/>
      <c r="BN66" s="72"/>
      <c r="BO66" s="29"/>
    </row>
    <row r="67" ht="12.75" customHeight="1">
      <c r="A67" s="29"/>
      <c r="B67" s="29"/>
      <c r="C67" s="29"/>
      <c r="D67" s="29"/>
      <c r="E67" s="69"/>
      <c r="F67" s="69"/>
      <c r="G67" s="69"/>
      <c r="H67" s="69"/>
      <c r="I67" s="69"/>
      <c r="J67" s="69"/>
      <c r="K67" s="69"/>
      <c r="L67" s="69"/>
      <c r="M67" s="29"/>
      <c r="N67" s="29"/>
      <c r="O67" s="29"/>
      <c r="P67" s="29"/>
      <c r="Q67" s="29"/>
      <c r="R67" s="29"/>
      <c r="S67" s="29"/>
      <c r="T67" s="29"/>
      <c r="U67" s="72"/>
      <c r="V67" s="72"/>
      <c r="W67" s="72"/>
      <c r="X67" s="72"/>
      <c r="Y67" s="72"/>
      <c r="Z67" s="29"/>
      <c r="AA67" s="29"/>
      <c r="AB67" s="29"/>
      <c r="AC67" s="29"/>
      <c r="AD67" s="75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72"/>
      <c r="BN67" s="72"/>
      <c r="BO67" s="29"/>
    </row>
    <row r="68" ht="12.75" customHeight="1">
      <c r="A68" s="29"/>
      <c r="B68" s="29"/>
      <c r="C68" s="29"/>
      <c r="D68" s="29"/>
      <c r="E68" s="69"/>
      <c r="F68" s="69"/>
      <c r="G68" s="69"/>
      <c r="H68" s="69"/>
      <c r="I68" s="69"/>
      <c r="J68" s="69"/>
      <c r="K68" s="69"/>
      <c r="L68" s="69"/>
      <c r="M68" s="29"/>
      <c r="N68" s="29"/>
      <c r="O68" s="29"/>
      <c r="P68" s="29"/>
      <c r="Q68" s="29"/>
      <c r="R68" s="29"/>
      <c r="S68" s="29"/>
      <c r="T68" s="29"/>
      <c r="U68" s="72"/>
      <c r="V68" s="72"/>
      <c r="W68" s="72"/>
      <c r="X68" s="72"/>
      <c r="Y68" s="72"/>
      <c r="Z68" s="29"/>
      <c r="AA68" s="29"/>
      <c r="AB68" s="29"/>
      <c r="AC68" s="29"/>
      <c r="AD68" s="75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72"/>
      <c r="BN68" s="72"/>
      <c r="BO68" s="29"/>
    </row>
    <row r="69" ht="12.75" customHeight="1">
      <c r="A69" s="29"/>
      <c r="B69" s="29"/>
      <c r="C69" s="29"/>
      <c r="D69" s="29"/>
      <c r="E69" s="69"/>
      <c r="F69" s="69"/>
      <c r="G69" s="69"/>
      <c r="H69" s="69"/>
      <c r="I69" s="69"/>
      <c r="J69" s="69"/>
      <c r="K69" s="69"/>
      <c r="L69" s="69"/>
      <c r="M69" s="29"/>
      <c r="N69" s="29"/>
      <c r="O69" s="29"/>
      <c r="P69" s="29"/>
      <c r="Q69" s="29"/>
      <c r="R69" s="29"/>
      <c r="S69" s="29"/>
      <c r="T69" s="29"/>
      <c r="U69" s="72"/>
      <c r="V69" s="72"/>
      <c r="W69" s="72"/>
      <c r="X69" s="72"/>
      <c r="Y69" s="72"/>
      <c r="Z69" s="29"/>
      <c r="AA69" s="29"/>
      <c r="AB69" s="29"/>
      <c r="AC69" s="29"/>
      <c r="AD69" s="75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72"/>
      <c r="BN69" s="72"/>
      <c r="BO69" s="29"/>
    </row>
    <row r="70" ht="12.75" customHeight="1">
      <c r="A70" s="29"/>
      <c r="B70" s="29"/>
      <c r="C70" s="29"/>
      <c r="D70" s="29"/>
      <c r="E70" s="69"/>
      <c r="F70" s="69"/>
      <c r="G70" s="69"/>
      <c r="H70" s="69"/>
      <c r="I70" s="69"/>
      <c r="J70" s="69"/>
      <c r="K70" s="69"/>
      <c r="L70" s="69"/>
      <c r="M70" s="29"/>
      <c r="N70" s="29"/>
      <c r="O70" s="29"/>
      <c r="P70" s="29"/>
      <c r="Q70" s="29"/>
      <c r="R70" s="29"/>
      <c r="S70" s="29"/>
      <c r="T70" s="29"/>
      <c r="U70" s="72"/>
      <c r="V70" s="72"/>
      <c r="W70" s="72"/>
      <c r="X70" s="72"/>
      <c r="Y70" s="72"/>
      <c r="Z70" s="29"/>
      <c r="AA70" s="29"/>
      <c r="AB70" s="29"/>
      <c r="AC70" s="29"/>
      <c r="AD70" s="75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72"/>
      <c r="BN70" s="72"/>
      <c r="BO70" s="29"/>
    </row>
    <row r="71" ht="12.75" customHeight="1">
      <c r="A71" s="29"/>
      <c r="B71" s="29"/>
      <c r="C71" s="29"/>
      <c r="D71" s="29"/>
      <c r="E71" s="69"/>
      <c r="F71" s="69"/>
      <c r="G71" s="69"/>
      <c r="H71" s="69"/>
      <c r="I71" s="69"/>
      <c r="J71" s="69"/>
      <c r="K71" s="69"/>
      <c r="L71" s="69"/>
      <c r="M71" s="29"/>
      <c r="N71" s="29"/>
      <c r="O71" s="29"/>
      <c r="P71" s="29"/>
      <c r="Q71" s="29"/>
      <c r="R71" s="29"/>
      <c r="S71" s="29"/>
      <c r="T71" s="29"/>
      <c r="U71" s="72"/>
      <c r="V71" s="72"/>
      <c r="W71" s="72"/>
      <c r="X71" s="72"/>
      <c r="Y71" s="72"/>
      <c r="Z71" s="29"/>
      <c r="AA71" s="29"/>
      <c r="AB71" s="29"/>
      <c r="AC71" s="29"/>
      <c r="AD71" s="75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72"/>
      <c r="BN71" s="72"/>
      <c r="BO71" s="29"/>
    </row>
    <row r="72" ht="12.75" customHeight="1">
      <c r="A72" s="29"/>
      <c r="B72" s="29"/>
      <c r="C72" s="29"/>
      <c r="D72" s="29"/>
      <c r="E72" s="69"/>
      <c r="F72" s="69"/>
      <c r="G72" s="69"/>
      <c r="H72" s="69"/>
      <c r="I72" s="69"/>
      <c r="J72" s="69"/>
      <c r="K72" s="69"/>
      <c r="L72" s="69"/>
      <c r="M72" s="29"/>
      <c r="N72" s="29"/>
      <c r="O72" s="29"/>
      <c r="P72" s="29"/>
      <c r="Q72" s="29"/>
      <c r="R72" s="29"/>
      <c r="S72" s="29"/>
      <c r="T72" s="29"/>
      <c r="U72" s="72"/>
      <c r="V72" s="72"/>
      <c r="W72" s="72"/>
      <c r="X72" s="72"/>
      <c r="Y72" s="72"/>
      <c r="Z72" s="29"/>
      <c r="AA72" s="29"/>
      <c r="AB72" s="29"/>
      <c r="AC72" s="29"/>
      <c r="AD72" s="75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72"/>
      <c r="BN72" s="72"/>
      <c r="BO72" s="29"/>
    </row>
    <row r="73" ht="12.75" customHeight="1">
      <c r="A73" s="29"/>
      <c r="B73" s="29"/>
      <c r="C73" s="29"/>
      <c r="D73" s="29"/>
      <c r="E73" s="69"/>
      <c r="F73" s="69"/>
      <c r="G73" s="69"/>
      <c r="H73" s="69"/>
      <c r="I73" s="69"/>
      <c r="J73" s="69"/>
      <c r="K73" s="69"/>
      <c r="L73" s="69"/>
      <c r="M73" s="29"/>
      <c r="N73" s="29"/>
      <c r="O73" s="29"/>
      <c r="P73" s="29"/>
      <c r="Q73" s="29"/>
      <c r="R73" s="29"/>
      <c r="S73" s="29"/>
      <c r="T73" s="29"/>
      <c r="U73" s="72"/>
      <c r="V73" s="72"/>
      <c r="W73" s="72"/>
      <c r="X73" s="72"/>
      <c r="Y73" s="72"/>
      <c r="Z73" s="29"/>
      <c r="AA73" s="29"/>
      <c r="AB73" s="29"/>
      <c r="AC73" s="29"/>
      <c r="AD73" s="75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72"/>
      <c r="BN73" s="72"/>
      <c r="BO73" s="29"/>
    </row>
    <row r="74" ht="12.75" customHeight="1">
      <c r="A74" s="29"/>
      <c r="B74" s="29"/>
      <c r="C74" s="29"/>
      <c r="D74" s="29"/>
      <c r="E74" s="69"/>
      <c r="F74" s="69"/>
      <c r="G74" s="69"/>
      <c r="H74" s="69"/>
      <c r="I74" s="69"/>
      <c r="J74" s="69"/>
      <c r="K74" s="69"/>
      <c r="L74" s="69"/>
      <c r="M74" s="29"/>
      <c r="N74" s="29"/>
      <c r="O74" s="29"/>
      <c r="P74" s="29"/>
      <c r="Q74" s="29"/>
      <c r="R74" s="29"/>
      <c r="S74" s="29"/>
      <c r="T74" s="29"/>
      <c r="U74" s="72"/>
      <c r="V74" s="72"/>
      <c r="W74" s="72"/>
      <c r="X74" s="72"/>
      <c r="Y74" s="72"/>
      <c r="Z74" s="29"/>
      <c r="AA74" s="29"/>
      <c r="AB74" s="29"/>
      <c r="AC74" s="29"/>
      <c r="AD74" s="75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72"/>
      <c r="BN74" s="72"/>
      <c r="BO74" s="29"/>
    </row>
    <row r="75" ht="12.75" customHeight="1">
      <c r="A75" s="29"/>
      <c r="B75" s="29"/>
      <c r="C75" s="29"/>
      <c r="D75" s="29"/>
      <c r="E75" s="69"/>
      <c r="F75" s="69"/>
      <c r="G75" s="69"/>
      <c r="H75" s="69"/>
      <c r="I75" s="69"/>
      <c r="J75" s="69"/>
      <c r="K75" s="69"/>
      <c r="L75" s="69"/>
      <c r="M75" s="29"/>
      <c r="N75" s="29"/>
      <c r="O75" s="29"/>
      <c r="P75" s="29"/>
      <c r="Q75" s="29"/>
      <c r="R75" s="29"/>
      <c r="S75" s="29"/>
      <c r="T75" s="29"/>
      <c r="U75" s="72"/>
      <c r="V75" s="72"/>
      <c r="W75" s="72"/>
      <c r="X75" s="72"/>
      <c r="Y75" s="72"/>
      <c r="Z75" s="29"/>
      <c r="AA75" s="29"/>
      <c r="AB75" s="29"/>
      <c r="AC75" s="29"/>
      <c r="AD75" s="75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72"/>
      <c r="BN75" s="72"/>
      <c r="BO75" s="29"/>
    </row>
    <row r="76" ht="12.75" customHeight="1">
      <c r="A76" s="29"/>
      <c r="B76" s="29"/>
      <c r="C76" s="29"/>
      <c r="D76" s="29"/>
      <c r="E76" s="69"/>
      <c r="F76" s="69"/>
      <c r="G76" s="69"/>
      <c r="H76" s="69"/>
      <c r="I76" s="69"/>
      <c r="J76" s="69"/>
      <c r="K76" s="69"/>
      <c r="L76" s="69"/>
      <c r="M76" s="29"/>
      <c r="N76" s="29"/>
      <c r="O76" s="29"/>
      <c r="P76" s="29"/>
      <c r="Q76" s="29"/>
      <c r="R76" s="29"/>
      <c r="S76" s="29"/>
      <c r="T76" s="29"/>
      <c r="U76" s="72"/>
      <c r="V76" s="72"/>
      <c r="W76" s="72"/>
      <c r="X76" s="72"/>
      <c r="Y76" s="72"/>
      <c r="Z76" s="29"/>
      <c r="AA76" s="29"/>
      <c r="AB76" s="29"/>
      <c r="AC76" s="29"/>
      <c r="AD76" s="75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72"/>
      <c r="BN76" s="72"/>
      <c r="BO76" s="29"/>
    </row>
    <row r="77" ht="12.75" customHeight="1">
      <c r="A77" s="29"/>
      <c r="B77" s="29"/>
      <c r="C77" s="29"/>
      <c r="D77" s="29"/>
      <c r="E77" s="69"/>
      <c r="F77" s="69"/>
      <c r="G77" s="69"/>
      <c r="H77" s="69"/>
      <c r="I77" s="69"/>
      <c r="J77" s="69"/>
      <c r="K77" s="69"/>
      <c r="L77" s="69"/>
      <c r="M77" s="29"/>
      <c r="N77" s="29"/>
      <c r="O77" s="29"/>
      <c r="P77" s="29"/>
      <c r="Q77" s="29"/>
      <c r="R77" s="29"/>
      <c r="S77" s="29"/>
      <c r="T77" s="29"/>
      <c r="U77" s="72"/>
      <c r="V77" s="72"/>
      <c r="W77" s="72"/>
      <c r="X77" s="72"/>
      <c r="Y77" s="72"/>
      <c r="Z77" s="29"/>
      <c r="AA77" s="29"/>
      <c r="AB77" s="29"/>
      <c r="AC77" s="29"/>
      <c r="AD77" s="75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72"/>
      <c r="BN77" s="72"/>
      <c r="BO77" s="29"/>
    </row>
    <row r="78" ht="12.75" customHeight="1">
      <c r="A78" s="29"/>
      <c r="B78" s="29"/>
      <c r="C78" s="29"/>
      <c r="D78" s="29"/>
      <c r="E78" s="69"/>
      <c r="F78" s="69"/>
      <c r="G78" s="69"/>
      <c r="H78" s="69"/>
      <c r="I78" s="69"/>
      <c r="J78" s="69"/>
      <c r="K78" s="69"/>
      <c r="L78" s="69"/>
      <c r="M78" s="29"/>
      <c r="N78" s="29"/>
      <c r="O78" s="29"/>
      <c r="P78" s="29"/>
      <c r="Q78" s="29"/>
      <c r="R78" s="29"/>
      <c r="S78" s="29"/>
      <c r="T78" s="29"/>
      <c r="U78" s="72"/>
      <c r="V78" s="72"/>
      <c r="W78" s="72"/>
      <c r="X78" s="72"/>
      <c r="Y78" s="72"/>
      <c r="Z78" s="29"/>
      <c r="AA78" s="29"/>
      <c r="AB78" s="29"/>
      <c r="AC78" s="29"/>
      <c r="AD78" s="75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72"/>
      <c r="BN78" s="72"/>
      <c r="BO78" s="29"/>
    </row>
    <row r="79" ht="12.75" customHeight="1">
      <c r="A79" s="29"/>
      <c r="B79" s="29"/>
      <c r="C79" s="29"/>
      <c r="D79" s="29"/>
      <c r="E79" s="69"/>
      <c r="F79" s="69"/>
      <c r="G79" s="69"/>
      <c r="H79" s="69"/>
      <c r="I79" s="69"/>
      <c r="J79" s="69"/>
      <c r="K79" s="69"/>
      <c r="L79" s="69"/>
      <c r="M79" s="29"/>
      <c r="N79" s="29"/>
      <c r="O79" s="29"/>
      <c r="P79" s="29"/>
      <c r="Q79" s="29"/>
      <c r="R79" s="29"/>
      <c r="S79" s="29"/>
      <c r="T79" s="29"/>
      <c r="U79" s="72"/>
      <c r="V79" s="72"/>
      <c r="W79" s="72"/>
      <c r="X79" s="72"/>
      <c r="Y79" s="72"/>
      <c r="Z79" s="29"/>
      <c r="AA79" s="29"/>
      <c r="AB79" s="29"/>
      <c r="AC79" s="29"/>
      <c r="AD79" s="75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72"/>
      <c r="BN79" s="72"/>
      <c r="BO79" s="29"/>
    </row>
    <row r="80" ht="12.75" customHeight="1">
      <c r="A80" s="29"/>
      <c r="B80" s="29"/>
      <c r="C80" s="29"/>
      <c r="D80" s="29"/>
      <c r="E80" s="69"/>
      <c r="F80" s="69"/>
      <c r="G80" s="69"/>
      <c r="H80" s="69"/>
      <c r="I80" s="69"/>
      <c r="J80" s="69"/>
      <c r="K80" s="69"/>
      <c r="L80" s="69"/>
      <c r="M80" s="29"/>
      <c r="N80" s="29"/>
      <c r="O80" s="29"/>
      <c r="P80" s="29"/>
      <c r="Q80" s="29"/>
      <c r="R80" s="29"/>
      <c r="S80" s="29"/>
      <c r="T80" s="29"/>
      <c r="U80" s="72"/>
      <c r="V80" s="72"/>
      <c r="W80" s="72"/>
      <c r="X80" s="72"/>
      <c r="Y80" s="72"/>
      <c r="Z80" s="29"/>
      <c r="AA80" s="29"/>
      <c r="AB80" s="29"/>
      <c r="AC80" s="29"/>
      <c r="AD80" s="75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72"/>
      <c r="BN80" s="72"/>
      <c r="BO80" s="29"/>
    </row>
    <row r="81" ht="12.75" customHeight="1">
      <c r="A81" s="29"/>
      <c r="B81" s="29"/>
      <c r="C81" s="29"/>
      <c r="D81" s="29"/>
      <c r="E81" s="69"/>
      <c r="F81" s="69"/>
      <c r="G81" s="69"/>
      <c r="H81" s="69"/>
      <c r="I81" s="69"/>
      <c r="J81" s="69"/>
      <c r="K81" s="69"/>
      <c r="L81" s="69"/>
      <c r="M81" s="29"/>
      <c r="N81" s="29"/>
      <c r="O81" s="29"/>
      <c r="P81" s="29"/>
      <c r="Q81" s="29"/>
      <c r="R81" s="29"/>
      <c r="S81" s="29"/>
      <c r="T81" s="29"/>
      <c r="U81" s="72"/>
      <c r="V81" s="72"/>
      <c r="W81" s="72"/>
      <c r="X81" s="72"/>
      <c r="Y81" s="72"/>
      <c r="Z81" s="29"/>
      <c r="AA81" s="29"/>
      <c r="AB81" s="29"/>
      <c r="AC81" s="29"/>
      <c r="AD81" s="75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72"/>
      <c r="BN81" s="72"/>
      <c r="BO81" s="29"/>
    </row>
    <row r="82" ht="12.75" customHeight="1">
      <c r="A82" s="29"/>
      <c r="B82" s="29"/>
      <c r="C82" s="29"/>
      <c r="D82" s="29"/>
      <c r="E82" s="69"/>
      <c r="F82" s="69"/>
      <c r="G82" s="69"/>
      <c r="H82" s="69"/>
      <c r="I82" s="69"/>
      <c r="J82" s="69"/>
      <c r="K82" s="69"/>
      <c r="L82" s="69"/>
      <c r="M82" s="29"/>
      <c r="N82" s="29"/>
      <c r="O82" s="29"/>
      <c r="P82" s="29"/>
      <c r="Q82" s="29"/>
      <c r="R82" s="29"/>
      <c r="S82" s="29"/>
      <c r="T82" s="29"/>
      <c r="U82" s="72"/>
      <c r="V82" s="72"/>
      <c r="W82" s="72"/>
      <c r="X82" s="72"/>
      <c r="Y82" s="72"/>
      <c r="Z82" s="29"/>
      <c r="AA82" s="29"/>
      <c r="AB82" s="29"/>
      <c r="AC82" s="29"/>
      <c r="AD82" s="75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72"/>
      <c r="BN82" s="72"/>
      <c r="BO82" s="29"/>
    </row>
    <row r="83" ht="12.75" customHeight="1">
      <c r="A83" s="29"/>
      <c r="B83" s="29"/>
      <c r="C83" s="29"/>
      <c r="D83" s="29"/>
      <c r="E83" s="69"/>
      <c r="F83" s="69"/>
      <c r="G83" s="69"/>
      <c r="H83" s="69"/>
      <c r="I83" s="69"/>
      <c r="J83" s="69"/>
      <c r="K83" s="69"/>
      <c r="L83" s="69"/>
      <c r="M83" s="29"/>
      <c r="N83" s="29"/>
      <c r="O83" s="29"/>
      <c r="P83" s="29"/>
      <c r="Q83" s="29"/>
      <c r="R83" s="29"/>
      <c r="S83" s="29"/>
      <c r="T83" s="29"/>
      <c r="U83" s="72"/>
      <c r="V83" s="72"/>
      <c r="W83" s="72"/>
      <c r="X83" s="72"/>
      <c r="Y83" s="72"/>
      <c r="Z83" s="29"/>
      <c r="AA83" s="29"/>
      <c r="AB83" s="29"/>
      <c r="AC83" s="29"/>
      <c r="AD83" s="75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72"/>
      <c r="BN83" s="72"/>
      <c r="BO83" s="29"/>
    </row>
    <row r="84" ht="12.75" customHeight="1">
      <c r="A84" s="29"/>
      <c r="B84" s="29"/>
      <c r="C84" s="29"/>
      <c r="D84" s="29"/>
      <c r="E84" s="69"/>
      <c r="F84" s="69"/>
      <c r="G84" s="69"/>
      <c r="H84" s="69"/>
      <c r="I84" s="69"/>
      <c r="J84" s="69"/>
      <c r="K84" s="69"/>
      <c r="L84" s="69"/>
      <c r="M84" s="29"/>
      <c r="N84" s="29"/>
      <c r="O84" s="29"/>
      <c r="P84" s="29"/>
      <c r="Q84" s="29"/>
      <c r="R84" s="29"/>
      <c r="S84" s="29"/>
      <c r="T84" s="29"/>
      <c r="U84" s="72"/>
      <c r="V84" s="72"/>
      <c r="W84" s="72"/>
      <c r="X84" s="72"/>
      <c r="Y84" s="72"/>
      <c r="Z84" s="29"/>
      <c r="AA84" s="29"/>
      <c r="AB84" s="29"/>
      <c r="AC84" s="29"/>
      <c r="AD84" s="75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72"/>
      <c r="BN84" s="72"/>
      <c r="BO84" s="29"/>
    </row>
    <row r="85" ht="12.75" customHeight="1">
      <c r="A85" s="29"/>
      <c r="B85" s="29"/>
      <c r="C85" s="29"/>
      <c r="D85" s="29"/>
      <c r="E85" s="69"/>
      <c r="F85" s="69"/>
      <c r="G85" s="69"/>
      <c r="H85" s="69"/>
      <c r="I85" s="69"/>
      <c r="J85" s="69"/>
      <c r="K85" s="69"/>
      <c r="L85" s="69"/>
      <c r="M85" s="29"/>
      <c r="N85" s="29"/>
      <c r="O85" s="29"/>
      <c r="P85" s="29"/>
      <c r="Q85" s="29"/>
      <c r="R85" s="29"/>
      <c r="S85" s="29"/>
      <c r="T85" s="29"/>
      <c r="U85" s="72"/>
      <c r="V85" s="72"/>
      <c r="W85" s="72"/>
      <c r="X85" s="72"/>
      <c r="Y85" s="72"/>
      <c r="Z85" s="29"/>
      <c r="AA85" s="29"/>
      <c r="AB85" s="29"/>
      <c r="AC85" s="29"/>
      <c r="AD85" s="75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72"/>
      <c r="BN85" s="72"/>
      <c r="BO85" s="29"/>
    </row>
    <row r="86" ht="12.75" customHeight="1">
      <c r="A86" s="29"/>
      <c r="B86" s="29"/>
      <c r="C86" s="29"/>
      <c r="D86" s="29"/>
      <c r="E86" s="69"/>
      <c r="F86" s="69"/>
      <c r="G86" s="69"/>
      <c r="H86" s="69"/>
      <c r="I86" s="69"/>
      <c r="J86" s="69"/>
      <c r="K86" s="69"/>
      <c r="L86" s="69"/>
      <c r="M86" s="29"/>
      <c r="N86" s="29"/>
      <c r="O86" s="29"/>
      <c r="P86" s="29"/>
      <c r="Q86" s="29"/>
      <c r="R86" s="29"/>
      <c r="S86" s="29"/>
      <c r="T86" s="29"/>
      <c r="U86" s="72"/>
      <c r="V86" s="72"/>
      <c r="W86" s="72"/>
      <c r="X86" s="72"/>
      <c r="Y86" s="72"/>
      <c r="Z86" s="29"/>
      <c r="AA86" s="29"/>
      <c r="AB86" s="29"/>
      <c r="AC86" s="29"/>
      <c r="AD86" s="75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72"/>
      <c r="BN86" s="72"/>
      <c r="BO86" s="29"/>
    </row>
    <row r="87" ht="12.75" customHeight="1">
      <c r="A87" s="29"/>
      <c r="B87" s="29"/>
      <c r="C87" s="29"/>
      <c r="D87" s="29"/>
      <c r="E87" s="69"/>
      <c r="F87" s="69"/>
      <c r="G87" s="69"/>
      <c r="H87" s="69"/>
      <c r="I87" s="69"/>
      <c r="J87" s="69"/>
      <c r="K87" s="69"/>
      <c r="L87" s="69"/>
      <c r="M87" s="29"/>
      <c r="N87" s="29"/>
      <c r="O87" s="29"/>
      <c r="P87" s="29"/>
      <c r="Q87" s="29"/>
      <c r="R87" s="29"/>
      <c r="S87" s="29"/>
      <c r="T87" s="29"/>
      <c r="U87" s="72"/>
      <c r="V87" s="72"/>
      <c r="W87" s="72"/>
      <c r="X87" s="72"/>
      <c r="Y87" s="72"/>
      <c r="Z87" s="29"/>
      <c r="AA87" s="29"/>
      <c r="AB87" s="29"/>
      <c r="AC87" s="29"/>
      <c r="AD87" s="75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72"/>
      <c r="BN87" s="72"/>
      <c r="BO87" s="29"/>
    </row>
    <row r="88" ht="12.75" customHeight="1">
      <c r="A88" s="29"/>
      <c r="B88" s="29"/>
      <c r="C88" s="29"/>
      <c r="D88" s="29"/>
      <c r="E88" s="69"/>
      <c r="F88" s="69"/>
      <c r="G88" s="69"/>
      <c r="H88" s="69"/>
      <c r="I88" s="69"/>
      <c r="J88" s="69"/>
      <c r="K88" s="69"/>
      <c r="L88" s="69"/>
      <c r="M88" s="29"/>
      <c r="N88" s="29"/>
      <c r="O88" s="29"/>
      <c r="P88" s="29"/>
      <c r="Q88" s="29"/>
      <c r="R88" s="29"/>
      <c r="S88" s="29"/>
      <c r="T88" s="29"/>
      <c r="U88" s="72"/>
      <c r="V88" s="72"/>
      <c r="W88" s="72"/>
      <c r="X88" s="72"/>
      <c r="Y88" s="72"/>
      <c r="Z88" s="29"/>
      <c r="AA88" s="29"/>
      <c r="AB88" s="29"/>
      <c r="AC88" s="29"/>
      <c r="AD88" s="75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72"/>
      <c r="BN88" s="72"/>
      <c r="BO88" s="29"/>
    </row>
    <row r="89" ht="12.75" customHeight="1">
      <c r="A89" s="29"/>
      <c r="B89" s="29"/>
      <c r="C89" s="29"/>
      <c r="D89" s="29"/>
      <c r="E89" s="69"/>
      <c r="F89" s="69"/>
      <c r="G89" s="69"/>
      <c r="H89" s="69"/>
      <c r="I89" s="69"/>
      <c r="J89" s="69"/>
      <c r="K89" s="69"/>
      <c r="L89" s="69"/>
      <c r="M89" s="29"/>
      <c r="N89" s="29"/>
      <c r="O89" s="29"/>
      <c r="P89" s="29"/>
      <c r="Q89" s="29"/>
      <c r="R89" s="29"/>
      <c r="S89" s="29"/>
      <c r="T89" s="29"/>
      <c r="U89" s="72"/>
      <c r="V89" s="72"/>
      <c r="W89" s="72"/>
      <c r="X89" s="72"/>
      <c r="Y89" s="72"/>
      <c r="Z89" s="29"/>
      <c r="AA89" s="29"/>
      <c r="AB89" s="29"/>
      <c r="AC89" s="29"/>
      <c r="AD89" s="75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72"/>
      <c r="BN89" s="72"/>
      <c r="BO89" s="29"/>
    </row>
    <row r="90" ht="12.75" customHeight="1">
      <c r="A90" s="29"/>
      <c r="B90" s="29"/>
      <c r="C90" s="29"/>
      <c r="D90" s="29"/>
      <c r="E90" s="69"/>
      <c r="F90" s="69"/>
      <c r="G90" s="69"/>
      <c r="H90" s="69"/>
      <c r="I90" s="69"/>
      <c r="J90" s="69"/>
      <c r="K90" s="69"/>
      <c r="L90" s="69"/>
      <c r="M90" s="29"/>
      <c r="N90" s="29"/>
      <c r="O90" s="29"/>
      <c r="P90" s="29"/>
      <c r="Q90" s="29"/>
      <c r="R90" s="29"/>
      <c r="S90" s="29"/>
      <c r="T90" s="29"/>
      <c r="U90" s="72"/>
      <c r="V90" s="72"/>
      <c r="W90" s="72"/>
      <c r="X90" s="72"/>
      <c r="Y90" s="72"/>
      <c r="Z90" s="29"/>
      <c r="AA90" s="29"/>
      <c r="AB90" s="29"/>
      <c r="AC90" s="29"/>
      <c r="AD90" s="75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72"/>
      <c r="BN90" s="72"/>
      <c r="BO90" s="29"/>
    </row>
    <row r="91" ht="12.75" customHeight="1">
      <c r="A91" s="29"/>
      <c r="B91" s="29"/>
      <c r="C91" s="29"/>
      <c r="D91" s="29"/>
      <c r="E91" s="69"/>
      <c r="F91" s="69"/>
      <c r="G91" s="69"/>
      <c r="H91" s="69"/>
      <c r="I91" s="69"/>
      <c r="J91" s="69"/>
      <c r="K91" s="69"/>
      <c r="L91" s="69"/>
      <c r="M91" s="29"/>
      <c r="N91" s="29"/>
      <c r="O91" s="29"/>
      <c r="P91" s="29"/>
      <c r="Q91" s="29"/>
      <c r="R91" s="29"/>
      <c r="S91" s="29"/>
      <c r="T91" s="29"/>
      <c r="U91" s="72"/>
      <c r="V91" s="72"/>
      <c r="W91" s="72"/>
      <c r="X91" s="72"/>
      <c r="Y91" s="72"/>
      <c r="Z91" s="29"/>
      <c r="AA91" s="29"/>
      <c r="AB91" s="29"/>
      <c r="AC91" s="29"/>
      <c r="AD91" s="75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72"/>
      <c r="BN91" s="72"/>
      <c r="BO91" s="29"/>
    </row>
    <row r="92" ht="12.75" customHeight="1">
      <c r="A92" s="29"/>
      <c r="B92" s="29"/>
      <c r="C92" s="29"/>
      <c r="D92" s="29"/>
      <c r="E92" s="69"/>
      <c r="F92" s="69"/>
      <c r="G92" s="69"/>
      <c r="H92" s="69"/>
      <c r="I92" s="69"/>
      <c r="J92" s="69"/>
      <c r="K92" s="69"/>
      <c r="L92" s="69"/>
      <c r="M92" s="29"/>
      <c r="N92" s="29"/>
      <c r="O92" s="29"/>
      <c r="P92" s="29"/>
      <c r="Q92" s="29"/>
      <c r="R92" s="29"/>
      <c r="S92" s="29"/>
      <c r="T92" s="29"/>
      <c r="U92" s="72"/>
      <c r="V92" s="72"/>
      <c r="W92" s="72"/>
      <c r="X92" s="72"/>
      <c r="Y92" s="72"/>
      <c r="Z92" s="29"/>
      <c r="AA92" s="29"/>
      <c r="AB92" s="29"/>
      <c r="AC92" s="29"/>
      <c r="AD92" s="75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72"/>
      <c r="BN92" s="72"/>
      <c r="BO92" s="29"/>
    </row>
    <row r="93" ht="12.75" customHeight="1">
      <c r="A93" s="29"/>
      <c r="B93" s="29"/>
      <c r="C93" s="29"/>
      <c r="D93" s="29"/>
      <c r="E93" s="69"/>
      <c r="F93" s="69"/>
      <c r="G93" s="69"/>
      <c r="H93" s="69"/>
      <c r="I93" s="69"/>
      <c r="J93" s="69"/>
      <c r="K93" s="69"/>
      <c r="L93" s="69"/>
      <c r="M93" s="29"/>
      <c r="N93" s="29"/>
      <c r="O93" s="29"/>
      <c r="P93" s="29"/>
      <c r="Q93" s="29"/>
      <c r="R93" s="29"/>
      <c r="S93" s="29"/>
      <c r="T93" s="29"/>
      <c r="U93" s="72"/>
      <c r="V93" s="72"/>
      <c r="W93" s="72"/>
      <c r="X93" s="72"/>
      <c r="Y93" s="72"/>
      <c r="Z93" s="29"/>
      <c r="AA93" s="29"/>
      <c r="AB93" s="29"/>
      <c r="AC93" s="29"/>
      <c r="AD93" s="75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72"/>
      <c r="BN93" s="72"/>
      <c r="BO93" s="29"/>
    </row>
    <row r="94" ht="12.75" customHeight="1">
      <c r="A94" s="29"/>
      <c r="B94" s="29"/>
      <c r="C94" s="29"/>
      <c r="D94" s="29"/>
      <c r="E94" s="69"/>
      <c r="F94" s="69"/>
      <c r="G94" s="69"/>
      <c r="H94" s="69"/>
      <c r="I94" s="69"/>
      <c r="J94" s="69"/>
      <c r="K94" s="69"/>
      <c r="L94" s="69"/>
      <c r="M94" s="29"/>
      <c r="N94" s="29"/>
      <c r="O94" s="29"/>
      <c r="P94" s="29"/>
      <c r="Q94" s="29"/>
      <c r="R94" s="29"/>
      <c r="S94" s="29"/>
      <c r="T94" s="29"/>
      <c r="U94" s="72"/>
      <c r="V94" s="72"/>
      <c r="W94" s="72"/>
      <c r="X94" s="72"/>
      <c r="Y94" s="72"/>
      <c r="Z94" s="29"/>
      <c r="AA94" s="29"/>
      <c r="AB94" s="29"/>
      <c r="AC94" s="29"/>
      <c r="AD94" s="75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72"/>
      <c r="BN94" s="72"/>
      <c r="BO94" s="29"/>
    </row>
    <row r="95" ht="12.75" customHeight="1">
      <c r="A95" s="29"/>
      <c r="B95" s="29"/>
      <c r="C95" s="29"/>
      <c r="D95" s="29"/>
      <c r="E95" s="69"/>
      <c r="F95" s="69"/>
      <c r="G95" s="69"/>
      <c r="H95" s="69"/>
      <c r="I95" s="69"/>
      <c r="J95" s="69"/>
      <c r="K95" s="69"/>
      <c r="L95" s="69"/>
      <c r="M95" s="29"/>
      <c r="N95" s="29"/>
      <c r="O95" s="29"/>
      <c r="P95" s="29"/>
      <c r="Q95" s="29"/>
      <c r="R95" s="29"/>
      <c r="S95" s="29"/>
      <c r="T95" s="29"/>
      <c r="U95" s="72"/>
      <c r="V95" s="72"/>
      <c r="W95" s="72"/>
      <c r="X95" s="72"/>
      <c r="Y95" s="72"/>
      <c r="Z95" s="29"/>
      <c r="AA95" s="29"/>
      <c r="AB95" s="29"/>
      <c r="AC95" s="29"/>
      <c r="AD95" s="75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72"/>
      <c r="BN95" s="72"/>
      <c r="BO95" s="29"/>
    </row>
    <row r="96" ht="12.75" customHeight="1">
      <c r="A96" s="29"/>
      <c r="B96" s="29"/>
      <c r="C96" s="29"/>
      <c r="D96" s="29"/>
      <c r="E96" s="69"/>
      <c r="F96" s="69"/>
      <c r="G96" s="69"/>
      <c r="H96" s="69"/>
      <c r="I96" s="69"/>
      <c r="J96" s="69"/>
      <c r="K96" s="69"/>
      <c r="L96" s="69"/>
      <c r="M96" s="29"/>
      <c r="N96" s="29"/>
      <c r="O96" s="29"/>
      <c r="P96" s="29"/>
      <c r="Q96" s="29"/>
      <c r="R96" s="29"/>
      <c r="S96" s="29"/>
      <c r="T96" s="29"/>
      <c r="U96" s="72"/>
      <c r="V96" s="72"/>
      <c r="W96" s="72"/>
      <c r="X96" s="72"/>
      <c r="Y96" s="72"/>
      <c r="Z96" s="29"/>
      <c r="AA96" s="29"/>
      <c r="AB96" s="29"/>
      <c r="AC96" s="29"/>
      <c r="AD96" s="75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72"/>
      <c r="BN96" s="72"/>
      <c r="BO96" s="29"/>
    </row>
    <row r="97" ht="12.75" customHeight="1">
      <c r="A97" s="29"/>
      <c r="B97" s="29"/>
      <c r="C97" s="29"/>
      <c r="D97" s="29"/>
      <c r="E97" s="69"/>
      <c r="F97" s="69"/>
      <c r="G97" s="69"/>
      <c r="H97" s="69"/>
      <c r="I97" s="69"/>
      <c r="J97" s="69"/>
      <c r="K97" s="69"/>
      <c r="L97" s="69"/>
      <c r="M97" s="29"/>
      <c r="N97" s="29"/>
      <c r="O97" s="29"/>
      <c r="P97" s="29"/>
      <c r="Q97" s="29"/>
      <c r="R97" s="29"/>
      <c r="S97" s="29"/>
      <c r="T97" s="29"/>
      <c r="U97" s="72"/>
      <c r="V97" s="72"/>
      <c r="W97" s="72"/>
      <c r="X97" s="72"/>
      <c r="Y97" s="72"/>
      <c r="Z97" s="29"/>
      <c r="AA97" s="29"/>
      <c r="AB97" s="29"/>
      <c r="AC97" s="29"/>
      <c r="AD97" s="75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72"/>
      <c r="BN97" s="72"/>
      <c r="BO97" s="29"/>
    </row>
    <row r="98" ht="12.75" customHeight="1">
      <c r="A98" s="29"/>
      <c r="B98" s="29"/>
      <c r="C98" s="29"/>
      <c r="D98" s="29"/>
      <c r="E98" s="69"/>
      <c r="F98" s="69"/>
      <c r="G98" s="69"/>
      <c r="H98" s="69"/>
      <c r="I98" s="69"/>
      <c r="J98" s="69"/>
      <c r="K98" s="69"/>
      <c r="L98" s="69"/>
      <c r="M98" s="29"/>
      <c r="N98" s="29"/>
      <c r="O98" s="29"/>
      <c r="P98" s="29"/>
      <c r="Q98" s="29"/>
      <c r="R98" s="29"/>
      <c r="S98" s="29"/>
      <c r="T98" s="29"/>
      <c r="U98" s="72"/>
      <c r="V98" s="72"/>
      <c r="W98" s="72"/>
      <c r="X98" s="72"/>
      <c r="Y98" s="72"/>
      <c r="Z98" s="29"/>
      <c r="AA98" s="29"/>
      <c r="AB98" s="29"/>
      <c r="AC98" s="29"/>
      <c r="AD98" s="75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72"/>
      <c r="BN98" s="72"/>
      <c r="BO98" s="29"/>
    </row>
    <row r="99" ht="12.75" customHeight="1">
      <c r="A99" s="29"/>
      <c r="B99" s="29"/>
      <c r="C99" s="29"/>
      <c r="D99" s="29"/>
      <c r="E99" s="69"/>
      <c r="F99" s="69"/>
      <c r="G99" s="69"/>
      <c r="H99" s="69"/>
      <c r="I99" s="69"/>
      <c r="J99" s="69"/>
      <c r="K99" s="69"/>
      <c r="L99" s="69"/>
      <c r="M99" s="29"/>
      <c r="N99" s="29"/>
      <c r="O99" s="29"/>
      <c r="P99" s="29"/>
      <c r="Q99" s="29"/>
      <c r="R99" s="29"/>
      <c r="S99" s="29"/>
      <c r="T99" s="29"/>
      <c r="U99" s="72"/>
      <c r="V99" s="72"/>
      <c r="W99" s="72"/>
      <c r="X99" s="72"/>
      <c r="Y99" s="72"/>
      <c r="Z99" s="29"/>
      <c r="AA99" s="29"/>
      <c r="AB99" s="29"/>
      <c r="AC99" s="29"/>
      <c r="AD99" s="75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72"/>
      <c r="BN99" s="72"/>
      <c r="BO99" s="29"/>
    </row>
    <row r="100" ht="12.75" customHeight="1">
      <c r="A100" s="29"/>
      <c r="B100" s="29"/>
      <c r="C100" s="29"/>
      <c r="D100" s="29"/>
      <c r="E100" s="69"/>
      <c r="F100" s="69"/>
      <c r="G100" s="69"/>
      <c r="H100" s="69"/>
      <c r="I100" s="69"/>
      <c r="J100" s="69"/>
      <c r="K100" s="69"/>
      <c r="L100" s="69"/>
      <c r="M100" s="29"/>
      <c r="N100" s="29"/>
      <c r="O100" s="29"/>
      <c r="P100" s="29"/>
      <c r="Q100" s="29"/>
      <c r="R100" s="29"/>
      <c r="S100" s="29"/>
      <c r="T100" s="29"/>
      <c r="U100" s="72"/>
      <c r="V100" s="72"/>
      <c r="W100" s="72"/>
      <c r="X100" s="72"/>
      <c r="Y100" s="72"/>
      <c r="Z100" s="29"/>
      <c r="AA100" s="29"/>
      <c r="AB100" s="29"/>
      <c r="AC100" s="29"/>
      <c r="AD100" s="75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72"/>
      <c r="BN100" s="72"/>
      <c r="BO100" s="29"/>
    </row>
    <row r="101" ht="12.75" customHeight="1">
      <c r="A101" s="29"/>
      <c r="B101" s="29"/>
      <c r="C101" s="29"/>
      <c r="D101" s="29"/>
      <c r="E101" s="69"/>
      <c r="F101" s="69"/>
      <c r="G101" s="69"/>
      <c r="H101" s="69"/>
      <c r="I101" s="69"/>
      <c r="J101" s="69"/>
      <c r="K101" s="69"/>
      <c r="L101" s="69"/>
      <c r="M101" s="29"/>
      <c r="N101" s="29"/>
      <c r="O101" s="29"/>
      <c r="P101" s="29"/>
      <c r="Q101" s="29"/>
      <c r="R101" s="29"/>
      <c r="S101" s="29"/>
      <c r="T101" s="29"/>
      <c r="U101" s="72"/>
      <c r="V101" s="72"/>
      <c r="W101" s="72"/>
      <c r="X101" s="72"/>
      <c r="Y101" s="72"/>
      <c r="Z101" s="29"/>
      <c r="AA101" s="29"/>
      <c r="AB101" s="29"/>
      <c r="AC101" s="29"/>
      <c r="AD101" s="75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72"/>
      <c r="BN101" s="72"/>
      <c r="BO101" s="29"/>
    </row>
    <row r="102" ht="12.75" customHeight="1">
      <c r="A102" s="29"/>
      <c r="B102" s="29"/>
      <c r="C102" s="29"/>
      <c r="D102" s="29"/>
      <c r="E102" s="69"/>
      <c r="F102" s="69"/>
      <c r="G102" s="69"/>
      <c r="H102" s="69"/>
      <c r="I102" s="69"/>
      <c r="J102" s="69"/>
      <c r="K102" s="69"/>
      <c r="L102" s="69"/>
      <c r="M102" s="29"/>
      <c r="N102" s="29"/>
      <c r="O102" s="29"/>
      <c r="P102" s="29"/>
      <c r="Q102" s="29"/>
      <c r="R102" s="29"/>
      <c r="S102" s="29"/>
      <c r="T102" s="29"/>
      <c r="U102" s="72"/>
      <c r="V102" s="72"/>
      <c r="W102" s="72"/>
      <c r="X102" s="72"/>
      <c r="Y102" s="72"/>
      <c r="Z102" s="29"/>
      <c r="AA102" s="29"/>
      <c r="AB102" s="29"/>
      <c r="AC102" s="29"/>
      <c r="AD102" s="75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72"/>
      <c r="BN102" s="72"/>
      <c r="BO102" s="29"/>
    </row>
    <row r="103" ht="12.75" customHeight="1">
      <c r="A103" s="29"/>
      <c r="B103" s="29"/>
      <c r="C103" s="29"/>
      <c r="D103" s="29"/>
      <c r="E103" s="69"/>
      <c r="F103" s="69"/>
      <c r="G103" s="69"/>
      <c r="H103" s="69"/>
      <c r="I103" s="69"/>
      <c r="J103" s="69"/>
      <c r="K103" s="69"/>
      <c r="L103" s="69"/>
      <c r="M103" s="29"/>
      <c r="N103" s="29"/>
      <c r="O103" s="29"/>
      <c r="P103" s="29"/>
      <c r="Q103" s="29"/>
      <c r="R103" s="29"/>
      <c r="S103" s="29"/>
      <c r="T103" s="29"/>
      <c r="U103" s="72"/>
      <c r="V103" s="72"/>
      <c r="W103" s="72"/>
      <c r="X103" s="72"/>
      <c r="Y103" s="72"/>
      <c r="Z103" s="29"/>
      <c r="AA103" s="29"/>
      <c r="AB103" s="29"/>
      <c r="AC103" s="29"/>
      <c r="AD103" s="75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72"/>
      <c r="BN103" s="72"/>
      <c r="BO103" s="29"/>
    </row>
    <row r="104" ht="12.75" customHeight="1">
      <c r="A104" s="29"/>
      <c r="B104" s="29"/>
      <c r="C104" s="29"/>
      <c r="D104" s="29"/>
      <c r="E104" s="69"/>
      <c r="F104" s="69"/>
      <c r="G104" s="69"/>
      <c r="H104" s="69"/>
      <c r="I104" s="69"/>
      <c r="J104" s="69"/>
      <c r="K104" s="69"/>
      <c r="L104" s="69"/>
      <c r="M104" s="29"/>
      <c r="N104" s="29"/>
      <c r="O104" s="29"/>
      <c r="P104" s="29"/>
      <c r="Q104" s="29"/>
      <c r="R104" s="29"/>
      <c r="S104" s="29"/>
      <c r="T104" s="29"/>
      <c r="U104" s="72"/>
      <c r="V104" s="72"/>
      <c r="W104" s="72"/>
      <c r="X104" s="72"/>
      <c r="Y104" s="72"/>
      <c r="Z104" s="29"/>
      <c r="AA104" s="29"/>
      <c r="AB104" s="29"/>
      <c r="AC104" s="29"/>
      <c r="AD104" s="75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72"/>
      <c r="BN104" s="72"/>
      <c r="BO104" s="29"/>
    </row>
    <row r="105" ht="12.75" customHeight="1">
      <c r="A105" s="29"/>
      <c r="B105" s="29"/>
      <c r="C105" s="29"/>
      <c r="D105" s="29"/>
      <c r="E105" s="69"/>
      <c r="F105" s="69"/>
      <c r="G105" s="69"/>
      <c r="H105" s="69"/>
      <c r="I105" s="69"/>
      <c r="J105" s="69"/>
      <c r="K105" s="69"/>
      <c r="L105" s="69"/>
      <c r="M105" s="29"/>
      <c r="N105" s="29"/>
      <c r="O105" s="29"/>
      <c r="P105" s="29"/>
      <c r="Q105" s="29"/>
      <c r="R105" s="29"/>
      <c r="S105" s="29"/>
      <c r="T105" s="29"/>
      <c r="U105" s="72"/>
      <c r="V105" s="72"/>
      <c r="W105" s="72"/>
      <c r="X105" s="72"/>
      <c r="Y105" s="72"/>
      <c r="Z105" s="29"/>
      <c r="AA105" s="29"/>
      <c r="AB105" s="29"/>
      <c r="AC105" s="29"/>
      <c r="AD105" s="75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72"/>
      <c r="BN105" s="72"/>
      <c r="BO105" s="29"/>
    </row>
    <row r="106" ht="12.75" customHeight="1">
      <c r="A106" s="29"/>
      <c r="B106" s="29"/>
      <c r="C106" s="29"/>
      <c r="D106" s="29"/>
      <c r="E106" s="69"/>
      <c r="F106" s="69"/>
      <c r="G106" s="69"/>
      <c r="H106" s="69"/>
      <c r="I106" s="69"/>
      <c r="J106" s="69"/>
      <c r="K106" s="69"/>
      <c r="L106" s="69"/>
      <c r="M106" s="29"/>
      <c r="N106" s="29"/>
      <c r="O106" s="29"/>
      <c r="P106" s="29"/>
      <c r="Q106" s="29"/>
      <c r="R106" s="29"/>
      <c r="S106" s="29"/>
      <c r="T106" s="29"/>
      <c r="U106" s="72"/>
      <c r="V106" s="72"/>
      <c r="W106" s="72"/>
      <c r="X106" s="72"/>
      <c r="Y106" s="72"/>
      <c r="Z106" s="29"/>
      <c r="AA106" s="29"/>
      <c r="AB106" s="29"/>
      <c r="AC106" s="29"/>
      <c r="AD106" s="75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72"/>
      <c r="BN106" s="72"/>
      <c r="BO106" s="29"/>
    </row>
    <row r="107" ht="12.75" customHeight="1">
      <c r="A107" s="29"/>
      <c r="B107" s="29"/>
      <c r="C107" s="29"/>
      <c r="D107" s="29"/>
      <c r="E107" s="69"/>
      <c r="F107" s="69"/>
      <c r="G107" s="69"/>
      <c r="H107" s="69"/>
      <c r="I107" s="69"/>
      <c r="J107" s="69"/>
      <c r="K107" s="69"/>
      <c r="L107" s="69"/>
      <c r="M107" s="29"/>
      <c r="N107" s="29"/>
      <c r="O107" s="29"/>
      <c r="P107" s="29"/>
      <c r="Q107" s="29"/>
      <c r="R107" s="29"/>
      <c r="S107" s="29"/>
      <c r="T107" s="29"/>
      <c r="U107" s="72"/>
      <c r="V107" s="72"/>
      <c r="W107" s="72"/>
      <c r="X107" s="72"/>
      <c r="Y107" s="72"/>
      <c r="Z107" s="29"/>
      <c r="AA107" s="29"/>
      <c r="AB107" s="29"/>
      <c r="AC107" s="29"/>
      <c r="AD107" s="75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72"/>
      <c r="BN107" s="72"/>
      <c r="BO107" s="29"/>
    </row>
    <row r="108" ht="12.75" customHeight="1">
      <c r="A108" s="29"/>
      <c r="B108" s="29"/>
      <c r="C108" s="29"/>
      <c r="D108" s="29"/>
      <c r="E108" s="69"/>
      <c r="F108" s="69"/>
      <c r="G108" s="69"/>
      <c r="H108" s="69"/>
      <c r="I108" s="69"/>
      <c r="J108" s="69"/>
      <c r="K108" s="69"/>
      <c r="L108" s="69"/>
      <c r="M108" s="29"/>
      <c r="N108" s="29"/>
      <c r="O108" s="29"/>
      <c r="P108" s="29"/>
      <c r="Q108" s="29"/>
      <c r="R108" s="29"/>
      <c r="S108" s="29"/>
      <c r="T108" s="29"/>
      <c r="U108" s="72"/>
      <c r="V108" s="72"/>
      <c r="W108" s="72"/>
      <c r="X108" s="72"/>
      <c r="Y108" s="72"/>
      <c r="Z108" s="29"/>
      <c r="AA108" s="29"/>
      <c r="AB108" s="29"/>
      <c r="AC108" s="29"/>
      <c r="AD108" s="75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72"/>
      <c r="BN108" s="72"/>
      <c r="BO108" s="29"/>
    </row>
    <row r="109" ht="12.75" customHeight="1">
      <c r="A109" s="29"/>
      <c r="B109" s="29"/>
      <c r="C109" s="29"/>
      <c r="D109" s="29"/>
      <c r="E109" s="69"/>
      <c r="F109" s="69"/>
      <c r="G109" s="69"/>
      <c r="H109" s="69"/>
      <c r="I109" s="69"/>
      <c r="J109" s="69"/>
      <c r="K109" s="69"/>
      <c r="L109" s="69"/>
      <c r="M109" s="29"/>
      <c r="N109" s="29"/>
      <c r="O109" s="29"/>
      <c r="P109" s="29"/>
      <c r="Q109" s="29"/>
      <c r="R109" s="29"/>
      <c r="S109" s="29"/>
      <c r="T109" s="29"/>
      <c r="U109" s="72"/>
      <c r="V109" s="72"/>
      <c r="W109" s="72"/>
      <c r="X109" s="72"/>
      <c r="Y109" s="72"/>
      <c r="Z109" s="29"/>
      <c r="AA109" s="29"/>
      <c r="AB109" s="29"/>
      <c r="AC109" s="29"/>
      <c r="AD109" s="75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72"/>
      <c r="BN109" s="72"/>
      <c r="BO109" s="29"/>
    </row>
    <row r="110" ht="12.75" customHeight="1">
      <c r="A110" s="29"/>
      <c r="B110" s="29"/>
      <c r="C110" s="29"/>
      <c r="D110" s="29"/>
      <c r="E110" s="69"/>
      <c r="F110" s="69"/>
      <c r="G110" s="69"/>
      <c r="H110" s="69"/>
      <c r="I110" s="69"/>
      <c r="J110" s="69"/>
      <c r="K110" s="69"/>
      <c r="L110" s="69"/>
      <c r="M110" s="29"/>
      <c r="N110" s="29"/>
      <c r="O110" s="29"/>
      <c r="P110" s="29"/>
      <c r="Q110" s="29"/>
      <c r="R110" s="29"/>
      <c r="S110" s="29"/>
      <c r="T110" s="29"/>
      <c r="U110" s="72"/>
      <c r="V110" s="72"/>
      <c r="W110" s="72"/>
      <c r="X110" s="72"/>
      <c r="Y110" s="72"/>
      <c r="Z110" s="29"/>
      <c r="AA110" s="29"/>
      <c r="AB110" s="29"/>
      <c r="AC110" s="29"/>
      <c r="AD110" s="75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72"/>
      <c r="BN110" s="72"/>
      <c r="BO110" s="29"/>
    </row>
    <row r="111" ht="12.75" customHeight="1">
      <c r="A111" s="29"/>
      <c r="B111" s="29"/>
      <c r="C111" s="29"/>
      <c r="D111" s="29"/>
      <c r="E111" s="69"/>
      <c r="F111" s="69"/>
      <c r="G111" s="69"/>
      <c r="H111" s="69"/>
      <c r="I111" s="69"/>
      <c r="J111" s="69"/>
      <c r="K111" s="69"/>
      <c r="L111" s="69"/>
      <c r="M111" s="29"/>
      <c r="N111" s="29"/>
      <c r="O111" s="29"/>
      <c r="P111" s="29"/>
      <c r="Q111" s="29"/>
      <c r="R111" s="29"/>
      <c r="S111" s="29"/>
      <c r="T111" s="29"/>
      <c r="U111" s="72"/>
      <c r="V111" s="72"/>
      <c r="W111" s="72"/>
      <c r="X111" s="72"/>
      <c r="Y111" s="72"/>
      <c r="Z111" s="29"/>
      <c r="AA111" s="29"/>
      <c r="AB111" s="29"/>
      <c r="AC111" s="29"/>
      <c r="AD111" s="75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72"/>
      <c r="BN111" s="72"/>
      <c r="BO111" s="29"/>
    </row>
    <row r="112" ht="12.75" customHeight="1">
      <c r="A112" s="29"/>
      <c r="B112" s="29"/>
      <c r="C112" s="29"/>
      <c r="D112" s="29"/>
      <c r="E112" s="69"/>
      <c r="F112" s="69"/>
      <c r="G112" s="69"/>
      <c r="H112" s="69"/>
      <c r="I112" s="69"/>
      <c r="J112" s="69"/>
      <c r="K112" s="69"/>
      <c r="L112" s="69"/>
      <c r="M112" s="29"/>
      <c r="N112" s="29"/>
      <c r="O112" s="29"/>
      <c r="P112" s="29"/>
      <c r="Q112" s="29"/>
      <c r="R112" s="29"/>
      <c r="S112" s="29"/>
      <c r="T112" s="29"/>
      <c r="U112" s="72"/>
      <c r="V112" s="72"/>
      <c r="W112" s="72"/>
      <c r="X112" s="72"/>
      <c r="Y112" s="72"/>
      <c r="Z112" s="29"/>
      <c r="AA112" s="29"/>
      <c r="AB112" s="29"/>
      <c r="AC112" s="29"/>
      <c r="AD112" s="75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72"/>
      <c r="BN112" s="72"/>
      <c r="BO112" s="29"/>
    </row>
    <row r="113" ht="12.75" customHeight="1">
      <c r="A113" s="29"/>
      <c r="B113" s="29"/>
      <c r="C113" s="29"/>
      <c r="D113" s="29"/>
      <c r="E113" s="69"/>
      <c r="F113" s="69"/>
      <c r="G113" s="69"/>
      <c r="H113" s="69"/>
      <c r="I113" s="69"/>
      <c r="J113" s="69"/>
      <c r="K113" s="69"/>
      <c r="L113" s="69"/>
      <c r="M113" s="29"/>
      <c r="N113" s="29"/>
      <c r="O113" s="29"/>
      <c r="P113" s="29"/>
      <c r="Q113" s="29"/>
      <c r="R113" s="29"/>
      <c r="S113" s="29"/>
      <c r="T113" s="29"/>
      <c r="U113" s="72"/>
      <c r="V113" s="72"/>
      <c r="W113" s="72"/>
      <c r="X113" s="72"/>
      <c r="Y113" s="72"/>
      <c r="Z113" s="29"/>
      <c r="AA113" s="29"/>
      <c r="AB113" s="29"/>
      <c r="AC113" s="29"/>
      <c r="AD113" s="75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72"/>
      <c r="BN113" s="72"/>
      <c r="BO113" s="29"/>
    </row>
    <row r="114" ht="12.75" customHeight="1">
      <c r="A114" s="29"/>
      <c r="B114" s="29"/>
      <c r="C114" s="29"/>
      <c r="D114" s="29"/>
      <c r="E114" s="69"/>
      <c r="F114" s="69"/>
      <c r="G114" s="69"/>
      <c r="H114" s="69"/>
      <c r="I114" s="69"/>
      <c r="J114" s="69"/>
      <c r="K114" s="69"/>
      <c r="L114" s="69"/>
      <c r="M114" s="29"/>
      <c r="N114" s="29"/>
      <c r="O114" s="29"/>
      <c r="P114" s="29"/>
      <c r="Q114" s="29"/>
      <c r="R114" s="29"/>
      <c r="S114" s="29"/>
      <c r="T114" s="29"/>
      <c r="U114" s="72"/>
      <c r="V114" s="72"/>
      <c r="W114" s="72"/>
      <c r="X114" s="72"/>
      <c r="Y114" s="72"/>
      <c r="Z114" s="29"/>
      <c r="AA114" s="29"/>
      <c r="AB114" s="29"/>
      <c r="AC114" s="29"/>
      <c r="AD114" s="75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72"/>
      <c r="BN114" s="72"/>
      <c r="BO114" s="29"/>
    </row>
    <row r="115" ht="12.75" customHeight="1">
      <c r="A115" s="29"/>
      <c r="B115" s="29"/>
      <c r="C115" s="29"/>
      <c r="D115" s="29"/>
      <c r="E115" s="69"/>
      <c r="F115" s="69"/>
      <c r="G115" s="69"/>
      <c r="H115" s="69"/>
      <c r="I115" s="69"/>
      <c r="J115" s="69"/>
      <c r="K115" s="69"/>
      <c r="L115" s="69"/>
      <c r="M115" s="29"/>
      <c r="N115" s="29"/>
      <c r="O115" s="29"/>
      <c r="P115" s="29"/>
      <c r="Q115" s="29"/>
      <c r="R115" s="29"/>
      <c r="S115" s="29"/>
      <c r="T115" s="29"/>
      <c r="U115" s="72"/>
      <c r="V115" s="72"/>
      <c r="W115" s="72"/>
      <c r="X115" s="72"/>
      <c r="Y115" s="72"/>
      <c r="Z115" s="29"/>
      <c r="AA115" s="29"/>
      <c r="AB115" s="29"/>
      <c r="AC115" s="29"/>
      <c r="AD115" s="75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72"/>
      <c r="BN115" s="72"/>
      <c r="BO115" s="29"/>
    </row>
    <row r="116" ht="12.75" customHeight="1">
      <c r="A116" s="29"/>
      <c r="B116" s="29"/>
      <c r="C116" s="29"/>
      <c r="D116" s="29"/>
      <c r="E116" s="69"/>
      <c r="F116" s="69"/>
      <c r="G116" s="69"/>
      <c r="H116" s="69"/>
      <c r="I116" s="69"/>
      <c r="J116" s="69"/>
      <c r="K116" s="69"/>
      <c r="L116" s="69"/>
      <c r="M116" s="29"/>
      <c r="N116" s="29"/>
      <c r="O116" s="29"/>
      <c r="P116" s="29"/>
      <c r="Q116" s="29"/>
      <c r="R116" s="29"/>
      <c r="S116" s="29"/>
      <c r="T116" s="29"/>
      <c r="U116" s="72"/>
      <c r="V116" s="72"/>
      <c r="W116" s="72"/>
      <c r="X116" s="72"/>
      <c r="Y116" s="72"/>
      <c r="Z116" s="29"/>
      <c r="AA116" s="29"/>
      <c r="AB116" s="29"/>
      <c r="AC116" s="29"/>
      <c r="AD116" s="75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72"/>
      <c r="BN116" s="72"/>
      <c r="BO116" s="29"/>
    </row>
    <row r="117" ht="12.75" customHeight="1">
      <c r="A117" s="29"/>
      <c r="B117" s="29"/>
      <c r="C117" s="29"/>
      <c r="D117" s="29"/>
      <c r="E117" s="69"/>
      <c r="F117" s="69"/>
      <c r="G117" s="69"/>
      <c r="H117" s="69"/>
      <c r="I117" s="69"/>
      <c r="J117" s="69"/>
      <c r="K117" s="69"/>
      <c r="L117" s="69"/>
      <c r="M117" s="29"/>
      <c r="N117" s="29"/>
      <c r="O117" s="29"/>
      <c r="P117" s="29"/>
      <c r="Q117" s="29"/>
      <c r="R117" s="29"/>
      <c r="S117" s="29"/>
      <c r="T117" s="29"/>
      <c r="U117" s="72"/>
      <c r="V117" s="72"/>
      <c r="W117" s="72"/>
      <c r="X117" s="72"/>
      <c r="Y117" s="72"/>
      <c r="Z117" s="29"/>
      <c r="AA117" s="29"/>
      <c r="AB117" s="29"/>
      <c r="AC117" s="29"/>
      <c r="AD117" s="75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72"/>
      <c r="BN117" s="72"/>
      <c r="BO117" s="29"/>
    </row>
    <row r="118" ht="12.75" customHeight="1">
      <c r="A118" s="29"/>
      <c r="B118" s="29"/>
      <c r="C118" s="29"/>
      <c r="D118" s="29"/>
      <c r="E118" s="69"/>
      <c r="F118" s="69"/>
      <c r="G118" s="69"/>
      <c r="H118" s="69"/>
      <c r="I118" s="69"/>
      <c r="J118" s="69"/>
      <c r="K118" s="69"/>
      <c r="L118" s="69"/>
      <c r="M118" s="29"/>
      <c r="N118" s="29"/>
      <c r="O118" s="29"/>
      <c r="P118" s="29"/>
      <c r="Q118" s="29"/>
      <c r="R118" s="29"/>
      <c r="S118" s="29"/>
      <c r="T118" s="29"/>
      <c r="U118" s="72"/>
      <c r="V118" s="72"/>
      <c r="W118" s="72"/>
      <c r="X118" s="72"/>
      <c r="Y118" s="72"/>
      <c r="Z118" s="29"/>
      <c r="AA118" s="29"/>
      <c r="AB118" s="29"/>
      <c r="AC118" s="29"/>
      <c r="AD118" s="75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72"/>
      <c r="BN118" s="72"/>
      <c r="BO118" s="29"/>
    </row>
    <row r="119" ht="12.75" customHeight="1">
      <c r="A119" s="29"/>
      <c r="B119" s="29"/>
      <c r="C119" s="29"/>
      <c r="D119" s="29"/>
      <c r="E119" s="69"/>
      <c r="F119" s="69"/>
      <c r="G119" s="69"/>
      <c r="H119" s="69"/>
      <c r="I119" s="69"/>
      <c r="J119" s="69"/>
      <c r="K119" s="69"/>
      <c r="L119" s="69"/>
      <c r="M119" s="29"/>
      <c r="N119" s="29"/>
      <c r="O119" s="29"/>
      <c r="P119" s="29"/>
      <c r="Q119" s="29"/>
      <c r="R119" s="29"/>
      <c r="S119" s="29"/>
      <c r="T119" s="29"/>
      <c r="U119" s="72"/>
      <c r="V119" s="72"/>
      <c r="W119" s="72"/>
      <c r="X119" s="72"/>
      <c r="Y119" s="72"/>
      <c r="Z119" s="29"/>
      <c r="AA119" s="29"/>
      <c r="AB119" s="29"/>
      <c r="AC119" s="29"/>
      <c r="AD119" s="75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72"/>
      <c r="BN119" s="72"/>
      <c r="BO119" s="29"/>
    </row>
    <row r="120" ht="12.75" customHeight="1">
      <c r="A120" s="29"/>
      <c r="B120" s="29"/>
      <c r="C120" s="29"/>
      <c r="D120" s="29"/>
      <c r="E120" s="69"/>
      <c r="F120" s="69"/>
      <c r="G120" s="69"/>
      <c r="H120" s="69"/>
      <c r="I120" s="69"/>
      <c r="J120" s="69"/>
      <c r="K120" s="69"/>
      <c r="L120" s="69"/>
      <c r="M120" s="29"/>
      <c r="N120" s="29"/>
      <c r="O120" s="29"/>
      <c r="P120" s="29"/>
      <c r="Q120" s="29"/>
      <c r="R120" s="29"/>
      <c r="S120" s="29"/>
      <c r="T120" s="29"/>
      <c r="U120" s="72"/>
      <c r="V120" s="72"/>
      <c r="W120" s="72"/>
      <c r="X120" s="72"/>
      <c r="Y120" s="72"/>
      <c r="Z120" s="29"/>
      <c r="AA120" s="29"/>
      <c r="AB120" s="29"/>
      <c r="AC120" s="29"/>
      <c r="AD120" s="75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72"/>
      <c r="BN120" s="72"/>
      <c r="BO120" s="29"/>
    </row>
    <row r="121" ht="12.75" customHeight="1">
      <c r="A121" s="29"/>
      <c r="B121" s="29"/>
      <c r="C121" s="29"/>
      <c r="D121" s="29"/>
      <c r="E121" s="69"/>
      <c r="F121" s="69"/>
      <c r="G121" s="69"/>
      <c r="H121" s="69"/>
      <c r="I121" s="69"/>
      <c r="J121" s="69"/>
      <c r="K121" s="69"/>
      <c r="L121" s="69"/>
      <c r="M121" s="29"/>
      <c r="N121" s="29"/>
      <c r="O121" s="29"/>
      <c r="P121" s="29"/>
      <c r="Q121" s="29"/>
      <c r="R121" s="29"/>
      <c r="S121" s="29"/>
      <c r="T121" s="29"/>
      <c r="U121" s="72"/>
      <c r="V121" s="72"/>
      <c r="W121" s="72"/>
      <c r="X121" s="72"/>
      <c r="Y121" s="72"/>
      <c r="Z121" s="29"/>
      <c r="AA121" s="29"/>
      <c r="AB121" s="29"/>
      <c r="AC121" s="29"/>
      <c r="AD121" s="75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72"/>
      <c r="BN121" s="72"/>
      <c r="BO121" s="29"/>
    </row>
    <row r="122" ht="12.75" customHeight="1">
      <c r="A122" s="29"/>
      <c r="B122" s="29"/>
      <c r="C122" s="29"/>
      <c r="D122" s="29"/>
      <c r="E122" s="69"/>
      <c r="F122" s="69"/>
      <c r="G122" s="69"/>
      <c r="H122" s="69"/>
      <c r="I122" s="69"/>
      <c r="J122" s="69"/>
      <c r="K122" s="69"/>
      <c r="L122" s="69"/>
      <c r="M122" s="29"/>
      <c r="N122" s="29"/>
      <c r="O122" s="29"/>
      <c r="P122" s="29"/>
      <c r="Q122" s="29"/>
      <c r="R122" s="29"/>
      <c r="S122" s="29"/>
      <c r="T122" s="29"/>
      <c r="U122" s="72"/>
      <c r="V122" s="72"/>
      <c r="W122" s="72"/>
      <c r="X122" s="72"/>
      <c r="Y122" s="72"/>
      <c r="Z122" s="29"/>
      <c r="AA122" s="29"/>
      <c r="AB122" s="29"/>
      <c r="AC122" s="29"/>
      <c r="AD122" s="75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72"/>
      <c r="BN122" s="72"/>
      <c r="BO122" s="29"/>
    </row>
    <row r="123" ht="12.75" customHeight="1">
      <c r="A123" s="29"/>
      <c r="B123" s="29"/>
      <c r="C123" s="29"/>
      <c r="D123" s="29"/>
      <c r="E123" s="69"/>
      <c r="F123" s="69"/>
      <c r="G123" s="69"/>
      <c r="H123" s="69"/>
      <c r="I123" s="69"/>
      <c r="J123" s="69"/>
      <c r="K123" s="69"/>
      <c r="L123" s="69"/>
      <c r="M123" s="29"/>
      <c r="N123" s="29"/>
      <c r="O123" s="29"/>
      <c r="P123" s="29"/>
      <c r="Q123" s="29"/>
      <c r="R123" s="29"/>
      <c r="S123" s="29"/>
      <c r="T123" s="29"/>
      <c r="U123" s="72"/>
      <c r="V123" s="72"/>
      <c r="W123" s="72"/>
      <c r="X123" s="72"/>
      <c r="Y123" s="72"/>
      <c r="Z123" s="29"/>
      <c r="AA123" s="29"/>
      <c r="AB123" s="29"/>
      <c r="AC123" s="29"/>
      <c r="AD123" s="75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72"/>
      <c r="BN123" s="72"/>
      <c r="BO123" s="29"/>
    </row>
    <row r="124" ht="12.75" customHeight="1">
      <c r="A124" s="29"/>
      <c r="B124" s="29"/>
      <c r="C124" s="29"/>
      <c r="D124" s="29"/>
      <c r="E124" s="69"/>
      <c r="F124" s="69"/>
      <c r="G124" s="69"/>
      <c r="H124" s="69"/>
      <c r="I124" s="69"/>
      <c r="J124" s="69"/>
      <c r="K124" s="69"/>
      <c r="L124" s="69"/>
      <c r="M124" s="29"/>
      <c r="N124" s="29"/>
      <c r="O124" s="29"/>
      <c r="P124" s="29"/>
      <c r="Q124" s="29"/>
      <c r="R124" s="29"/>
      <c r="S124" s="29"/>
      <c r="T124" s="29"/>
      <c r="U124" s="72"/>
      <c r="V124" s="72"/>
      <c r="W124" s="72"/>
      <c r="X124" s="72"/>
      <c r="Y124" s="72"/>
      <c r="Z124" s="29"/>
      <c r="AA124" s="29"/>
      <c r="AB124" s="29"/>
      <c r="AC124" s="29"/>
      <c r="AD124" s="75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72"/>
      <c r="BN124" s="72"/>
      <c r="BO124" s="29"/>
    </row>
    <row r="125" ht="12.75" customHeight="1">
      <c r="A125" s="29"/>
      <c r="B125" s="29"/>
      <c r="C125" s="29"/>
      <c r="D125" s="29"/>
      <c r="E125" s="69"/>
      <c r="F125" s="69"/>
      <c r="G125" s="69"/>
      <c r="H125" s="69"/>
      <c r="I125" s="69"/>
      <c r="J125" s="69"/>
      <c r="K125" s="69"/>
      <c r="L125" s="69"/>
      <c r="M125" s="29"/>
      <c r="N125" s="29"/>
      <c r="O125" s="29"/>
      <c r="P125" s="29"/>
      <c r="Q125" s="29"/>
      <c r="R125" s="29"/>
      <c r="S125" s="29"/>
      <c r="T125" s="29"/>
      <c r="U125" s="72"/>
      <c r="V125" s="72"/>
      <c r="W125" s="72"/>
      <c r="X125" s="72"/>
      <c r="Y125" s="72"/>
      <c r="Z125" s="29"/>
      <c r="AA125" s="29"/>
      <c r="AB125" s="29"/>
      <c r="AC125" s="29"/>
      <c r="AD125" s="75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72"/>
      <c r="BN125" s="72"/>
      <c r="BO125" s="29"/>
    </row>
    <row r="126" ht="12.75" customHeight="1">
      <c r="A126" s="29"/>
      <c r="B126" s="29"/>
      <c r="C126" s="29"/>
      <c r="D126" s="29"/>
      <c r="E126" s="69"/>
      <c r="F126" s="69"/>
      <c r="G126" s="69"/>
      <c r="H126" s="69"/>
      <c r="I126" s="69"/>
      <c r="J126" s="69"/>
      <c r="K126" s="69"/>
      <c r="L126" s="69"/>
      <c r="M126" s="29"/>
      <c r="N126" s="29"/>
      <c r="O126" s="29"/>
      <c r="P126" s="29"/>
      <c r="Q126" s="29"/>
      <c r="R126" s="29"/>
      <c r="S126" s="29"/>
      <c r="T126" s="29"/>
      <c r="U126" s="72"/>
      <c r="V126" s="72"/>
      <c r="W126" s="72"/>
      <c r="X126" s="72"/>
      <c r="Y126" s="72"/>
      <c r="Z126" s="29"/>
      <c r="AA126" s="29"/>
      <c r="AB126" s="29"/>
      <c r="AC126" s="29"/>
      <c r="AD126" s="75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72"/>
      <c r="BN126" s="72"/>
      <c r="BO126" s="29"/>
    </row>
    <row r="127" ht="12.75" customHeight="1">
      <c r="A127" s="29"/>
      <c r="B127" s="29"/>
      <c r="C127" s="29"/>
      <c r="D127" s="29"/>
      <c r="E127" s="69"/>
      <c r="F127" s="69"/>
      <c r="G127" s="69"/>
      <c r="H127" s="69"/>
      <c r="I127" s="69"/>
      <c r="J127" s="69"/>
      <c r="K127" s="69"/>
      <c r="L127" s="69"/>
      <c r="M127" s="29"/>
      <c r="N127" s="29"/>
      <c r="O127" s="29"/>
      <c r="P127" s="29"/>
      <c r="Q127" s="29"/>
      <c r="R127" s="29"/>
      <c r="S127" s="29"/>
      <c r="T127" s="29"/>
      <c r="U127" s="72"/>
      <c r="V127" s="72"/>
      <c r="W127" s="72"/>
      <c r="X127" s="72"/>
      <c r="Y127" s="72"/>
      <c r="Z127" s="29"/>
      <c r="AA127" s="29"/>
      <c r="AB127" s="29"/>
      <c r="AC127" s="29"/>
      <c r="AD127" s="75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72"/>
      <c r="BN127" s="72"/>
      <c r="BO127" s="29"/>
    </row>
    <row r="128" ht="12.75" customHeight="1">
      <c r="A128" s="29"/>
      <c r="B128" s="29"/>
      <c r="C128" s="29"/>
      <c r="D128" s="29"/>
      <c r="E128" s="69"/>
      <c r="F128" s="69"/>
      <c r="G128" s="69"/>
      <c r="H128" s="69"/>
      <c r="I128" s="69"/>
      <c r="J128" s="69"/>
      <c r="K128" s="69"/>
      <c r="L128" s="69"/>
      <c r="M128" s="29"/>
      <c r="N128" s="29"/>
      <c r="O128" s="29"/>
      <c r="P128" s="29"/>
      <c r="Q128" s="29"/>
      <c r="R128" s="29"/>
      <c r="S128" s="29"/>
      <c r="T128" s="29"/>
      <c r="U128" s="72"/>
      <c r="V128" s="72"/>
      <c r="W128" s="72"/>
      <c r="X128" s="72"/>
      <c r="Y128" s="72"/>
      <c r="Z128" s="29"/>
      <c r="AA128" s="29"/>
      <c r="AB128" s="29"/>
      <c r="AC128" s="29"/>
      <c r="AD128" s="75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72"/>
      <c r="BN128" s="72"/>
      <c r="BO128" s="29"/>
    </row>
    <row r="129" ht="12.75" customHeight="1">
      <c r="A129" s="29"/>
      <c r="B129" s="29"/>
      <c r="C129" s="29"/>
      <c r="D129" s="29"/>
      <c r="E129" s="69"/>
      <c r="F129" s="69"/>
      <c r="G129" s="69"/>
      <c r="H129" s="69"/>
      <c r="I129" s="69"/>
      <c r="J129" s="69"/>
      <c r="K129" s="69"/>
      <c r="L129" s="69"/>
      <c r="M129" s="29"/>
      <c r="N129" s="29"/>
      <c r="O129" s="29"/>
      <c r="P129" s="29"/>
      <c r="Q129" s="29"/>
      <c r="R129" s="29"/>
      <c r="S129" s="29"/>
      <c r="T129" s="29"/>
      <c r="U129" s="72"/>
      <c r="V129" s="72"/>
      <c r="W129" s="72"/>
      <c r="X129" s="72"/>
      <c r="Y129" s="72"/>
      <c r="Z129" s="29"/>
      <c r="AA129" s="29"/>
      <c r="AB129" s="29"/>
      <c r="AC129" s="29"/>
      <c r="AD129" s="75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72"/>
      <c r="BN129" s="72"/>
      <c r="BO129" s="29"/>
    </row>
    <row r="130" ht="12.75" customHeight="1">
      <c r="A130" s="29"/>
      <c r="B130" s="29"/>
      <c r="C130" s="29"/>
      <c r="D130" s="29"/>
      <c r="E130" s="69"/>
      <c r="F130" s="69"/>
      <c r="G130" s="69"/>
      <c r="H130" s="69"/>
      <c r="I130" s="69"/>
      <c r="J130" s="69"/>
      <c r="K130" s="69"/>
      <c r="L130" s="69"/>
      <c r="M130" s="29"/>
      <c r="N130" s="29"/>
      <c r="O130" s="29"/>
      <c r="P130" s="29"/>
      <c r="Q130" s="29"/>
      <c r="R130" s="29"/>
      <c r="S130" s="29"/>
      <c r="T130" s="29"/>
      <c r="U130" s="72"/>
      <c r="V130" s="72"/>
      <c r="W130" s="72"/>
      <c r="X130" s="72"/>
      <c r="Y130" s="72"/>
      <c r="Z130" s="29"/>
      <c r="AA130" s="29"/>
      <c r="AB130" s="29"/>
      <c r="AC130" s="29"/>
      <c r="AD130" s="75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72"/>
      <c r="BN130" s="72"/>
      <c r="BO130" s="29"/>
    </row>
    <row r="131" ht="12.75" customHeight="1">
      <c r="A131" s="29"/>
      <c r="B131" s="29"/>
      <c r="C131" s="29"/>
      <c r="D131" s="29"/>
      <c r="E131" s="69"/>
      <c r="F131" s="69"/>
      <c r="G131" s="69"/>
      <c r="H131" s="69"/>
      <c r="I131" s="69"/>
      <c r="J131" s="69"/>
      <c r="K131" s="69"/>
      <c r="L131" s="69"/>
      <c r="M131" s="29"/>
      <c r="N131" s="29"/>
      <c r="O131" s="29"/>
      <c r="P131" s="29"/>
      <c r="Q131" s="29"/>
      <c r="R131" s="29"/>
      <c r="S131" s="29"/>
      <c r="T131" s="29"/>
      <c r="U131" s="72"/>
      <c r="V131" s="72"/>
      <c r="W131" s="72"/>
      <c r="X131" s="72"/>
      <c r="Y131" s="72"/>
      <c r="Z131" s="29"/>
      <c r="AA131" s="29"/>
      <c r="AB131" s="29"/>
      <c r="AC131" s="29"/>
      <c r="AD131" s="75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72"/>
      <c r="BN131" s="72"/>
      <c r="BO131" s="29"/>
    </row>
    <row r="132" ht="12.75" customHeight="1">
      <c r="A132" s="29"/>
      <c r="B132" s="29"/>
      <c r="C132" s="29"/>
      <c r="D132" s="29"/>
      <c r="E132" s="69"/>
      <c r="F132" s="69"/>
      <c r="G132" s="69"/>
      <c r="H132" s="69"/>
      <c r="I132" s="69"/>
      <c r="J132" s="69"/>
      <c r="K132" s="69"/>
      <c r="L132" s="69"/>
      <c r="M132" s="29"/>
      <c r="N132" s="29"/>
      <c r="O132" s="29"/>
      <c r="P132" s="29"/>
      <c r="Q132" s="29"/>
      <c r="R132" s="29"/>
      <c r="S132" s="29"/>
      <c r="T132" s="29"/>
      <c r="U132" s="72"/>
      <c r="V132" s="72"/>
      <c r="W132" s="72"/>
      <c r="X132" s="72"/>
      <c r="Y132" s="72"/>
      <c r="Z132" s="29"/>
      <c r="AA132" s="29"/>
      <c r="AB132" s="29"/>
      <c r="AC132" s="29"/>
      <c r="AD132" s="75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72"/>
      <c r="BN132" s="72"/>
      <c r="BO132" s="29"/>
    </row>
    <row r="133" ht="12.75" customHeight="1">
      <c r="A133" s="29"/>
      <c r="B133" s="29"/>
      <c r="C133" s="29"/>
      <c r="D133" s="29"/>
      <c r="E133" s="69"/>
      <c r="F133" s="69"/>
      <c r="G133" s="69"/>
      <c r="H133" s="69"/>
      <c r="I133" s="69"/>
      <c r="J133" s="69"/>
      <c r="K133" s="69"/>
      <c r="L133" s="69"/>
      <c r="M133" s="29"/>
      <c r="N133" s="29"/>
      <c r="O133" s="29"/>
      <c r="P133" s="29"/>
      <c r="Q133" s="29"/>
      <c r="R133" s="29"/>
      <c r="S133" s="29"/>
      <c r="T133" s="29"/>
      <c r="U133" s="72"/>
      <c r="V133" s="72"/>
      <c r="W133" s="72"/>
      <c r="X133" s="72"/>
      <c r="Y133" s="72"/>
      <c r="Z133" s="29"/>
      <c r="AA133" s="29"/>
      <c r="AB133" s="29"/>
      <c r="AC133" s="29"/>
      <c r="AD133" s="75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72"/>
      <c r="BN133" s="72"/>
      <c r="BO133" s="29"/>
    </row>
    <row r="134" ht="12.75" customHeight="1">
      <c r="A134" s="29"/>
      <c r="B134" s="29"/>
      <c r="C134" s="29"/>
      <c r="D134" s="29"/>
      <c r="E134" s="69"/>
      <c r="F134" s="69"/>
      <c r="G134" s="69"/>
      <c r="H134" s="69"/>
      <c r="I134" s="69"/>
      <c r="J134" s="69"/>
      <c r="K134" s="69"/>
      <c r="L134" s="69"/>
      <c r="M134" s="29"/>
      <c r="N134" s="29"/>
      <c r="O134" s="29"/>
      <c r="P134" s="29"/>
      <c r="Q134" s="29"/>
      <c r="R134" s="29"/>
      <c r="S134" s="29"/>
      <c r="T134" s="29"/>
      <c r="U134" s="72"/>
      <c r="V134" s="72"/>
      <c r="W134" s="72"/>
      <c r="X134" s="72"/>
      <c r="Y134" s="72"/>
      <c r="Z134" s="29"/>
      <c r="AA134" s="29"/>
      <c r="AB134" s="29"/>
      <c r="AC134" s="29"/>
      <c r="AD134" s="75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72"/>
      <c r="BN134" s="72"/>
      <c r="BO134" s="29"/>
    </row>
    <row r="135" ht="12.75" customHeight="1">
      <c r="A135" s="29"/>
      <c r="B135" s="29"/>
      <c r="C135" s="29"/>
      <c r="D135" s="29"/>
      <c r="E135" s="69"/>
      <c r="F135" s="69"/>
      <c r="G135" s="69"/>
      <c r="H135" s="69"/>
      <c r="I135" s="69"/>
      <c r="J135" s="69"/>
      <c r="K135" s="69"/>
      <c r="L135" s="69"/>
      <c r="M135" s="29"/>
      <c r="N135" s="29"/>
      <c r="O135" s="29"/>
      <c r="P135" s="29"/>
      <c r="Q135" s="29"/>
      <c r="R135" s="29"/>
      <c r="S135" s="29"/>
      <c r="T135" s="29"/>
      <c r="U135" s="72"/>
      <c r="V135" s="72"/>
      <c r="W135" s="72"/>
      <c r="X135" s="72"/>
      <c r="Y135" s="72"/>
      <c r="Z135" s="29"/>
      <c r="AA135" s="29"/>
      <c r="AB135" s="29"/>
      <c r="AC135" s="29"/>
      <c r="AD135" s="75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72"/>
      <c r="BN135" s="72"/>
      <c r="BO135" s="29"/>
    </row>
    <row r="136" ht="12.75" customHeight="1">
      <c r="A136" s="29"/>
      <c r="B136" s="29"/>
      <c r="C136" s="29"/>
      <c r="D136" s="29"/>
      <c r="E136" s="69"/>
      <c r="F136" s="69"/>
      <c r="G136" s="69"/>
      <c r="H136" s="69"/>
      <c r="I136" s="69"/>
      <c r="J136" s="69"/>
      <c r="K136" s="69"/>
      <c r="L136" s="69"/>
      <c r="M136" s="29"/>
      <c r="N136" s="29"/>
      <c r="O136" s="29"/>
      <c r="P136" s="29"/>
      <c r="Q136" s="29"/>
      <c r="R136" s="29"/>
      <c r="S136" s="29"/>
      <c r="T136" s="29"/>
      <c r="U136" s="72"/>
      <c r="V136" s="72"/>
      <c r="W136" s="72"/>
      <c r="X136" s="72"/>
      <c r="Y136" s="72"/>
      <c r="Z136" s="29"/>
      <c r="AA136" s="29"/>
      <c r="AB136" s="29"/>
      <c r="AC136" s="29"/>
      <c r="AD136" s="75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72"/>
      <c r="BN136" s="72"/>
      <c r="BO136" s="29"/>
    </row>
    <row r="137" ht="12.75" customHeight="1">
      <c r="A137" s="29"/>
      <c r="B137" s="29"/>
      <c r="C137" s="29"/>
      <c r="D137" s="29"/>
      <c r="E137" s="69"/>
      <c r="F137" s="69"/>
      <c r="G137" s="69"/>
      <c r="H137" s="69"/>
      <c r="I137" s="69"/>
      <c r="J137" s="69"/>
      <c r="K137" s="69"/>
      <c r="L137" s="69"/>
      <c r="M137" s="29"/>
      <c r="N137" s="29"/>
      <c r="O137" s="29"/>
      <c r="P137" s="29"/>
      <c r="Q137" s="29"/>
      <c r="R137" s="29"/>
      <c r="S137" s="29"/>
      <c r="T137" s="29"/>
      <c r="U137" s="72"/>
      <c r="V137" s="72"/>
      <c r="W137" s="72"/>
      <c r="X137" s="72"/>
      <c r="Y137" s="72"/>
      <c r="Z137" s="29"/>
      <c r="AA137" s="29"/>
      <c r="AB137" s="29"/>
      <c r="AC137" s="29"/>
      <c r="AD137" s="75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72"/>
      <c r="BN137" s="72"/>
      <c r="BO137" s="29"/>
    </row>
    <row r="138" ht="12.75" customHeight="1">
      <c r="A138" s="29"/>
      <c r="B138" s="29"/>
      <c r="C138" s="29"/>
      <c r="D138" s="29"/>
      <c r="E138" s="69"/>
      <c r="F138" s="69"/>
      <c r="G138" s="69"/>
      <c r="H138" s="69"/>
      <c r="I138" s="69"/>
      <c r="J138" s="69"/>
      <c r="K138" s="69"/>
      <c r="L138" s="69"/>
      <c r="M138" s="29"/>
      <c r="N138" s="29"/>
      <c r="O138" s="29"/>
      <c r="P138" s="29"/>
      <c r="Q138" s="29"/>
      <c r="R138" s="29"/>
      <c r="S138" s="29"/>
      <c r="T138" s="29"/>
      <c r="U138" s="72"/>
      <c r="V138" s="72"/>
      <c r="W138" s="72"/>
      <c r="X138" s="72"/>
      <c r="Y138" s="72"/>
      <c r="Z138" s="29"/>
      <c r="AA138" s="29"/>
      <c r="AB138" s="29"/>
      <c r="AC138" s="29"/>
      <c r="AD138" s="75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72"/>
      <c r="BN138" s="72"/>
      <c r="BO138" s="29"/>
    </row>
    <row r="139" ht="12.75" customHeight="1">
      <c r="A139" s="29"/>
      <c r="B139" s="29"/>
      <c r="C139" s="29"/>
      <c r="D139" s="29"/>
      <c r="E139" s="69"/>
      <c r="F139" s="69"/>
      <c r="G139" s="69"/>
      <c r="H139" s="69"/>
      <c r="I139" s="69"/>
      <c r="J139" s="69"/>
      <c r="K139" s="69"/>
      <c r="L139" s="69"/>
      <c r="M139" s="29"/>
      <c r="N139" s="29"/>
      <c r="O139" s="29"/>
      <c r="P139" s="29"/>
      <c r="Q139" s="29"/>
      <c r="R139" s="29"/>
      <c r="S139" s="29"/>
      <c r="T139" s="29"/>
      <c r="U139" s="72"/>
      <c r="V139" s="72"/>
      <c r="W139" s="72"/>
      <c r="X139" s="72"/>
      <c r="Y139" s="72"/>
      <c r="Z139" s="29"/>
      <c r="AA139" s="29"/>
      <c r="AB139" s="29"/>
      <c r="AC139" s="29"/>
      <c r="AD139" s="75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72"/>
      <c r="BN139" s="72"/>
      <c r="BO139" s="29"/>
    </row>
    <row r="140" ht="12.75" customHeight="1">
      <c r="A140" s="29"/>
      <c r="B140" s="29"/>
      <c r="C140" s="29"/>
      <c r="D140" s="29"/>
      <c r="E140" s="69"/>
      <c r="F140" s="69"/>
      <c r="G140" s="69"/>
      <c r="H140" s="69"/>
      <c r="I140" s="69"/>
      <c r="J140" s="69"/>
      <c r="K140" s="69"/>
      <c r="L140" s="69"/>
      <c r="M140" s="29"/>
      <c r="N140" s="29"/>
      <c r="O140" s="29"/>
      <c r="P140" s="29"/>
      <c r="Q140" s="29"/>
      <c r="R140" s="29"/>
      <c r="S140" s="29"/>
      <c r="T140" s="29"/>
      <c r="U140" s="72"/>
      <c r="V140" s="72"/>
      <c r="W140" s="72"/>
      <c r="X140" s="72"/>
      <c r="Y140" s="72"/>
      <c r="Z140" s="29"/>
      <c r="AA140" s="29"/>
      <c r="AB140" s="29"/>
      <c r="AC140" s="29"/>
      <c r="AD140" s="75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72"/>
      <c r="BN140" s="72"/>
      <c r="BO140" s="29"/>
    </row>
    <row r="141" ht="12.75" customHeight="1">
      <c r="A141" s="29"/>
      <c r="B141" s="29"/>
      <c r="C141" s="29"/>
      <c r="D141" s="29"/>
      <c r="E141" s="69"/>
      <c r="F141" s="69"/>
      <c r="G141" s="69"/>
      <c r="H141" s="69"/>
      <c r="I141" s="69"/>
      <c r="J141" s="69"/>
      <c r="K141" s="69"/>
      <c r="L141" s="69"/>
      <c r="M141" s="29"/>
      <c r="N141" s="29"/>
      <c r="O141" s="29"/>
      <c r="P141" s="29"/>
      <c r="Q141" s="29"/>
      <c r="R141" s="29"/>
      <c r="S141" s="29"/>
      <c r="T141" s="29"/>
      <c r="U141" s="72"/>
      <c r="V141" s="72"/>
      <c r="W141" s="72"/>
      <c r="X141" s="72"/>
      <c r="Y141" s="72"/>
      <c r="Z141" s="29"/>
      <c r="AA141" s="29"/>
      <c r="AB141" s="29"/>
      <c r="AC141" s="29"/>
      <c r="AD141" s="75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72"/>
      <c r="BN141" s="72"/>
      <c r="BO141" s="29"/>
    </row>
    <row r="142" ht="12.75" customHeight="1">
      <c r="A142" s="29"/>
      <c r="B142" s="29"/>
      <c r="C142" s="29"/>
      <c r="D142" s="29"/>
      <c r="E142" s="69"/>
      <c r="F142" s="69"/>
      <c r="G142" s="69"/>
      <c r="H142" s="69"/>
      <c r="I142" s="69"/>
      <c r="J142" s="69"/>
      <c r="K142" s="69"/>
      <c r="L142" s="69"/>
      <c r="M142" s="29"/>
      <c r="N142" s="29"/>
      <c r="O142" s="29"/>
      <c r="P142" s="29"/>
      <c r="Q142" s="29"/>
      <c r="R142" s="29"/>
      <c r="S142" s="29"/>
      <c r="T142" s="29"/>
      <c r="U142" s="72"/>
      <c r="V142" s="72"/>
      <c r="W142" s="72"/>
      <c r="X142" s="72"/>
      <c r="Y142" s="72"/>
      <c r="Z142" s="29"/>
      <c r="AA142" s="29"/>
      <c r="AB142" s="29"/>
      <c r="AC142" s="29"/>
      <c r="AD142" s="75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72"/>
      <c r="BN142" s="72"/>
      <c r="BO142" s="29"/>
    </row>
    <row r="143" ht="12.75" customHeight="1">
      <c r="A143" s="29"/>
      <c r="B143" s="29"/>
      <c r="C143" s="29"/>
      <c r="D143" s="29"/>
      <c r="E143" s="69"/>
      <c r="F143" s="69"/>
      <c r="G143" s="69"/>
      <c r="H143" s="69"/>
      <c r="I143" s="69"/>
      <c r="J143" s="69"/>
      <c r="K143" s="69"/>
      <c r="L143" s="69"/>
      <c r="M143" s="29"/>
      <c r="N143" s="29"/>
      <c r="O143" s="29"/>
      <c r="P143" s="29"/>
      <c r="Q143" s="29"/>
      <c r="R143" s="29"/>
      <c r="S143" s="29"/>
      <c r="T143" s="29"/>
      <c r="U143" s="72"/>
      <c r="V143" s="72"/>
      <c r="W143" s="72"/>
      <c r="X143" s="72"/>
      <c r="Y143" s="72"/>
      <c r="Z143" s="29"/>
      <c r="AA143" s="29"/>
      <c r="AB143" s="29"/>
      <c r="AC143" s="29"/>
      <c r="AD143" s="75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72"/>
      <c r="BN143" s="72"/>
      <c r="BO143" s="29"/>
    </row>
    <row r="144" ht="12.75" customHeight="1">
      <c r="A144" s="29"/>
      <c r="B144" s="29"/>
      <c r="C144" s="29"/>
      <c r="D144" s="29"/>
      <c r="E144" s="69"/>
      <c r="F144" s="69"/>
      <c r="G144" s="69"/>
      <c r="H144" s="69"/>
      <c r="I144" s="69"/>
      <c r="J144" s="69"/>
      <c r="K144" s="69"/>
      <c r="L144" s="69"/>
      <c r="M144" s="29"/>
      <c r="N144" s="29"/>
      <c r="O144" s="29"/>
      <c r="P144" s="29"/>
      <c r="Q144" s="29"/>
      <c r="R144" s="29"/>
      <c r="S144" s="29"/>
      <c r="T144" s="29"/>
      <c r="U144" s="72"/>
      <c r="V144" s="72"/>
      <c r="W144" s="72"/>
      <c r="X144" s="72"/>
      <c r="Y144" s="72"/>
      <c r="Z144" s="29"/>
      <c r="AA144" s="29"/>
      <c r="AB144" s="29"/>
      <c r="AC144" s="29"/>
      <c r="AD144" s="75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72"/>
      <c r="BN144" s="72"/>
      <c r="BO144" s="29"/>
    </row>
    <row r="145" ht="12.75" customHeight="1">
      <c r="A145" s="29"/>
      <c r="B145" s="29"/>
      <c r="C145" s="29"/>
      <c r="D145" s="29"/>
      <c r="E145" s="69"/>
      <c r="F145" s="69"/>
      <c r="G145" s="69"/>
      <c r="H145" s="69"/>
      <c r="I145" s="69"/>
      <c r="J145" s="69"/>
      <c r="K145" s="69"/>
      <c r="L145" s="69"/>
      <c r="M145" s="29"/>
      <c r="N145" s="29"/>
      <c r="O145" s="29"/>
      <c r="P145" s="29"/>
      <c r="Q145" s="29"/>
      <c r="R145" s="29"/>
      <c r="S145" s="29"/>
      <c r="T145" s="29"/>
      <c r="U145" s="72"/>
      <c r="V145" s="72"/>
      <c r="W145" s="72"/>
      <c r="X145" s="72"/>
      <c r="Y145" s="72"/>
      <c r="Z145" s="29"/>
      <c r="AA145" s="29"/>
      <c r="AB145" s="29"/>
      <c r="AC145" s="29"/>
      <c r="AD145" s="75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72"/>
      <c r="BN145" s="72"/>
      <c r="BO145" s="29"/>
    </row>
    <row r="146" ht="12.75" customHeight="1">
      <c r="A146" s="29"/>
      <c r="B146" s="29"/>
      <c r="C146" s="29"/>
      <c r="D146" s="29"/>
      <c r="E146" s="69"/>
      <c r="F146" s="69"/>
      <c r="G146" s="69"/>
      <c r="H146" s="69"/>
      <c r="I146" s="69"/>
      <c r="J146" s="69"/>
      <c r="K146" s="69"/>
      <c r="L146" s="69"/>
      <c r="M146" s="29"/>
      <c r="N146" s="29"/>
      <c r="O146" s="29"/>
      <c r="P146" s="29"/>
      <c r="Q146" s="29"/>
      <c r="R146" s="29"/>
      <c r="S146" s="29"/>
      <c r="T146" s="29"/>
      <c r="U146" s="72"/>
      <c r="V146" s="72"/>
      <c r="W146" s="72"/>
      <c r="X146" s="72"/>
      <c r="Y146" s="72"/>
      <c r="Z146" s="29"/>
      <c r="AA146" s="29"/>
      <c r="AB146" s="29"/>
      <c r="AC146" s="29"/>
      <c r="AD146" s="75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72"/>
      <c r="BN146" s="72"/>
      <c r="BO146" s="29"/>
    </row>
    <row r="147" ht="12.75" customHeight="1">
      <c r="A147" s="29"/>
      <c r="B147" s="29"/>
      <c r="C147" s="29"/>
      <c r="D147" s="29"/>
      <c r="E147" s="69"/>
      <c r="F147" s="69"/>
      <c r="G147" s="69"/>
      <c r="H147" s="69"/>
      <c r="I147" s="69"/>
      <c r="J147" s="69"/>
      <c r="K147" s="69"/>
      <c r="L147" s="69"/>
      <c r="M147" s="29"/>
      <c r="N147" s="29"/>
      <c r="O147" s="29"/>
      <c r="P147" s="29"/>
      <c r="Q147" s="29"/>
      <c r="R147" s="29"/>
      <c r="S147" s="29"/>
      <c r="T147" s="29"/>
      <c r="U147" s="72"/>
      <c r="V147" s="72"/>
      <c r="W147" s="72"/>
      <c r="X147" s="72"/>
      <c r="Y147" s="72"/>
      <c r="Z147" s="29"/>
      <c r="AA147" s="29"/>
      <c r="AB147" s="29"/>
      <c r="AC147" s="29"/>
      <c r="AD147" s="75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72"/>
      <c r="BN147" s="72"/>
      <c r="BO147" s="29"/>
    </row>
    <row r="148" ht="12.75" customHeight="1">
      <c r="A148" s="29"/>
      <c r="B148" s="29"/>
      <c r="C148" s="29"/>
      <c r="D148" s="29"/>
      <c r="E148" s="69"/>
      <c r="F148" s="69"/>
      <c r="G148" s="69"/>
      <c r="H148" s="69"/>
      <c r="I148" s="69"/>
      <c r="J148" s="69"/>
      <c r="K148" s="69"/>
      <c r="L148" s="69"/>
      <c r="M148" s="29"/>
      <c r="N148" s="29"/>
      <c r="O148" s="29"/>
      <c r="P148" s="29"/>
      <c r="Q148" s="29"/>
      <c r="R148" s="29"/>
      <c r="S148" s="29"/>
      <c r="T148" s="29"/>
      <c r="U148" s="72"/>
      <c r="V148" s="72"/>
      <c r="W148" s="72"/>
      <c r="X148" s="72"/>
      <c r="Y148" s="72"/>
      <c r="Z148" s="29"/>
      <c r="AA148" s="29"/>
      <c r="AB148" s="29"/>
      <c r="AC148" s="29"/>
      <c r="AD148" s="75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72"/>
      <c r="BN148" s="72"/>
      <c r="BO148" s="29"/>
    </row>
    <row r="149" ht="12.75" customHeight="1">
      <c r="A149" s="29"/>
      <c r="B149" s="29"/>
      <c r="C149" s="29"/>
      <c r="D149" s="29"/>
      <c r="E149" s="69"/>
      <c r="F149" s="69"/>
      <c r="G149" s="69"/>
      <c r="H149" s="69"/>
      <c r="I149" s="69"/>
      <c r="J149" s="69"/>
      <c r="K149" s="69"/>
      <c r="L149" s="69"/>
      <c r="M149" s="29"/>
      <c r="N149" s="29"/>
      <c r="O149" s="29"/>
      <c r="P149" s="29"/>
      <c r="Q149" s="29"/>
      <c r="R149" s="29"/>
      <c r="S149" s="29"/>
      <c r="T149" s="29"/>
      <c r="U149" s="72"/>
      <c r="V149" s="72"/>
      <c r="W149" s="72"/>
      <c r="X149" s="72"/>
      <c r="Y149" s="72"/>
      <c r="Z149" s="29"/>
      <c r="AA149" s="29"/>
      <c r="AB149" s="29"/>
      <c r="AC149" s="29"/>
      <c r="AD149" s="75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72"/>
      <c r="BN149" s="72"/>
      <c r="BO149" s="29"/>
    </row>
    <row r="150" ht="12.75" customHeight="1">
      <c r="A150" s="29"/>
      <c r="B150" s="29"/>
      <c r="C150" s="29"/>
      <c r="D150" s="29"/>
      <c r="E150" s="69"/>
      <c r="F150" s="69"/>
      <c r="G150" s="69"/>
      <c r="H150" s="69"/>
      <c r="I150" s="69"/>
      <c r="J150" s="69"/>
      <c r="K150" s="69"/>
      <c r="L150" s="69"/>
      <c r="M150" s="29"/>
      <c r="N150" s="29"/>
      <c r="O150" s="29"/>
      <c r="P150" s="29"/>
      <c r="Q150" s="29"/>
      <c r="R150" s="29"/>
      <c r="S150" s="29"/>
      <c r="T150" s="29"/>
      <c r="U150" s="72"/>
      <c r="V150" s="72"/>
      <c r="W150" s="72"/>
      <c r="X150" s="72"/>
      <c r="Y150" s="72"/>
      <c r="Z150" s="29"/>
      <c r="AA150" s="29"/>
      <c r="AB150" s="29"/>
      <c r="AC150" s="29"/>
      <c r="AD150" s="75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72"/>
      <c r="BN150" s="72"/>
      <c r="BO150" s="29"/>
    </row>
    <row r="151" ht="12.75" customHeight="1">
      <c r="A151" s="29"/>
      <c r="B151" s="29"/>
      <c r="C151" s="29"/>
      <c r="D151" s="29"/>
      <c r="E151" s="69"/>
      <c r="F151" s="69"/>
      <c r="G151" s="69"/>
      <c r="H151" s="69"/>
      <c r="I151" s="69"/>
      <c r="J151" s="69"/>
      <c r="K151" s="69"/>
      <c r="L151" s="69"/>
      <c r="M151" s="29"/>
      <c r="N151" s="29"/>
      <c r="O151" s="29"/>
      <c r="P151" s="29"/>
      <c r="Q151" s="29"/>
      <c r="R151" s="29"/>
      <c r="S151" s="29"/>
      <c r="T151" s="29"/>
      <c r="U151" s="72"/>
      <c r="V151" s="72"/>
      <c r="W151" s="72"/>
      <c r="X151" s="72"/>
      <c r="Y151" s="72"/>
      <c r="Z151" s="29"/>
      <c r="AA151" s="29"/>
      <c r="AB151" s="29"/>
      <c r="AC151" s="29"/>
      <c r="AD151" s="75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72"/>
      <c r="BN151" s="72"/>
      <c r="BO151" s="29"/>
    </row>
    <row r="152" ht="12.75" customHeight="1">
      <c r="A152" s="29"/>
      <c r="B152" s="29"/>
      <c r="C152" s="29"/>
      <c r="D152" s="29"/>
      <c r="E152" s="69"/>
      <c r="F152" s="69"/>
      <c r="G152" s="69"/>
      <c r="H152" s="69"/>
      <c r="I152" s="69"/>
      <c r="J152" s="69"/>
      <c r="K152" s="69"/>
      <c r="L152" s="69"/>
      <c r="M152" s="29"/>
      <c r="N152" s="29"/>
      <c r="O152" s="29"/>
      <c r="P152" s="29"/>
      <c r="Q152" s="29"/>
      <c r="R152" s="29"/>
      <c r="S152" s="29"/>
      <c r="T152" s="29"/>
      <c r="U152" s="72"/>
      <c r="V152" s="72"/>
      <c r="W152" s="72"/>
      <c r="X152" s="72"/>
      <c r="Y152" s="72"/>
      <c r="Z152" s="29"/>
      <c r="AA152" s="29"/>
      <c r="AB152" s="29"/>
      <c r="AC152" s="29"/>
      <c r="AD152" s="75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72"/>
      <c r="BN152" s="72"/>
      <c r="BO152" s="29"/>
    </row>
    <row r="153" ht="12.75" customHeight="1">
      <c r="A153" s="29"/>
      <c r="B153" s="29"/>
      <c r="C153" s="29"/>
      <c r="D153" s="29"/>
      <c r="E153" s="69"/>
      <c r="F153" s="69"/>
      <c r="G153" s="69"/>
      <c r="H153" s="69"/>
      <c r="I153" s="69"/>
      <c r="J153" s="69"/>
      <c r="K153" s="69"/>
      <c r="L153" s="69"/>
      <c r="M153" s="29"/>
      <c r="N153" s="29"/>
      <c r="O153" s="29"/>
      <c r="P153" s="29"/>
      <c r="Q153" s="29"/>
      <c r="R153" s="29"/>
      <c r="S153" s="29"/>
      <c r="T153" s="29"/>
      <c r="U153" s="72"/>
      <c r="V153" s="72"/>
      <c r="W153" s="72"/>
      <c r="X153" s="72"/>
      <c r="Y153" s="72"/>
      <c r="Z153" s="29"/>
      <c r="AA153" s="29"/>
      <c r="AB153" s="29"/>
      <c r="AC153" s="29"/>
      <c r="AD153" s="75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72"/>
      <c r="BN153" s="72"/>
      <c r="BO153" s="29"/>
    </row>
    <row r="154" ht="12.75" customHeight="1">
      <c r="A154" s="29"/>
      <c r="B154" s="29"/>
      <c r="C154" s="29"/>
      <c r="D154" s="29"/>
      <c r="E154" s="69"/>
      <c r="F154" s="69"/>
      <c r="G154" s="69"/>
      <c r="H154" s="69"/>
      <c r="I154" s="69"/>
      <c r="J154" s="69"/>
      <c r="K154" s="69"/>
      <c r="L154" s="69"/>
      <c r="M154" s="29"/>
      <c r="N154" s="29"/>
      <c r="O154" s="29"/>
      <c r="P154" s="29"/>
      <c r="Q154" s="29"/>
      <c r="R154" s="29"/>
      <c r="S154" s="29"/>
      <c r="T154" s="29"/>
      <c r="U154" s="72"/>
      <c r="V154" s="72"/>
      <c r="W154" s="72"/>
      <c r="X154" s="72"/>
      <c r="Y154" s="72"/>
      <c r="Z154" s="29"/>
      <c r="AA154" s="29"/>
      <c r="AB154" s="29"/>
      <c r="AC154" s="29"/>
      <c r="AD154" s="75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72"/>
      <c r="BN154" s="72"/>
      <c r="BO154" s="29"/>
    </row>
    <row r="155" ht="12.75" customHeight="1">
      <c r="A155" s="29"/>
      <c r="B155" s="29"/>
      <c r="C155" s="29"/>
      <c r="D155" s="29"/>
      <c r="E155" s="69"/>
      <c r="F155" s="69"/>
      <c r="G155" s="69"/>
      <c r="H155" s="69"/>
      <c r="I155" s="69"/>
      <c r="J155" s="69"/>
      <c r="K155" s="69"/>
      <c r="L155" s="69"/>
      <c r="M155" s="29"/>
      <c r="N155" s="29"/>
      <c r="O155" s="29"/>
      <c r="P155" s="29"/>
      <c r="Q155" s="29"/>
      <c r="R155" s="29"/>
      <c r="S155" s="29"/>
      <c r="T155" s="29"/>
      <c r="U155" s="72"/>
      <c r="V155" s="72"/>
      <c r="W155" s="72"/>
      <c r="X155" s="72"/>
      <c r="Y155" s="72"/>
      <c r="Z155" s="29"/>
      <c r="AA155" s="29"/>
      <c r="AB155" s="29"/>
      <c r="AC155" s="29"/>
      <c r="AD155" s="75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72"/>
      <c r="BN155" s="72"/>
      <c r="BO155" s="29"/>
    </row>
    <row r="156" ht="12.75" customHeight="1">
      <c r="A156" s="29"/>
      <c r="B156" s="29"/>
      <c r="C156" s="29"/>
      <c r="D156" s="29"/>
      <c r="E156" s="69"/>
      <c r="F156" s="69"/>
      <c r="G156" s="69"/>
      <c r="H156" s="69"/>
      <c r="I156" s="69"/>
      <c r="J156" s="69"/>
      <c r="K156" s="69"/>
      <c r="L156" s="69"/>
      <c r="M156" s="29"/>
      <c r="N156" s="29"/>
      <c r="O156" s="29"/>
      <c r="P156" s="29"/>
      <c r="Q156" s="29"/>
      <c r="R156" s="29"/>
      <c r="S156" s="29"/>
      <c r="T156" s="29"/>
      <c r="U156" s="72"/>
      <c r="V156" s="72"/>
      <c r="W156" s="72"/>
      <c r="X156" s="72"/>
      <c r="Y156" s="72"/>
      <c r="Z156" s="29"/>
      <c r="AA156" s="29"/>
      <c r="AB156" s="29"/>
      <c r="AC156" s="29"/>
      <c r="AD156" s="75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72"/>
      <c r="BN156" s="72"/>
      <c r="BO156" s="29"/>
    </row>
    <row r="157" ht="12.75" customHeight="1">
      <c r="A157" s="29"/>
      <c r="B157" s="29"/>
      <c r="C157" s="29"/>
      <c r="D157" s="29"/>
      <c r="E157" s="69"/>
      <c r="F157" s="69"/>
      <c r="G157" s="69"/>
      <c r="H157" s="69"/>
      <c r="I157" s="69"/>
      <c r="J157" s="69"/>
      <c r="K157" s="69"/>
      <c r="L157" s="69"/>
      <c r="M157" s="29"/>
      <c r="N157" s="29"/>
      <c r="O157" s="29"/>
      <c r="P157" s="29"/>
      <c r="Q157" s="29"/>
      <c r="R157" s="29"/>
      <c r="S157" s="29"/>
      <c r="T157" s="29"/>
      <c r="U157" s="72"/>
      <c r="V157" s="72"/>
      <c r="W157" s="72"/>
      <c r="X157" s="72"/>
      <c r="Y157" s="72"/>
      <c r="Z157" s="29"/>
      <c r="AA157" s="29"/>
      <c r="AB157" s="29"/>
      <c r="AC157" s="29"/>
      <c r="AD157" s="75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72"/>
      <c r="BN157" s="72"/>
      <c r="BO157" s="29"/>
    </row>
    <row r="158" ht="12.75" customHeight="1">
      <c r="A158" s="29"/>
      <c r="B158" s="29"/>
      <c r="C158" s="29"/>
      <c r="D158" s="29"/>
      <c r="E158" s="69"/>
      <c r="F158" s="69"/>
      <c r="G158" s="69"/>
      <c r="H158" s="69"/>
      <c r="I158" s="69"/>
      <c r="J158" s="69"/>
      <c r="K158" s="69"/>
      <c r="L158" s="69"/>
      <c r="M158" s="29"/>
      <c r="N158" s="29"/>
      <c r="O158" s="29"/>
      <c r="P158" s="29"/>
      <c r="Q158" s="29"/>
      <c r="R158" s="29"/>
      <c r="S158" s="29"/>
      <c r="T158" s="29"/>
      <c r="U158" s="72"/>
      <c r="V158" s="72"/>
      <c r="W158" s="72"/>
      <c r="X158" s="72"/>
      <c r="Y158" s="72"/>
      <c r="Z158" s="29"/>
      <c r="AA158" s="29"/>
      <c r="AB158" s="29"/>
      <c r="AC158" s="29"/>
      <c r="AD158" s="75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72"/>
      <c r="BN158" s="72"/>
      <c r="BO158" s="29"/>
    </row>
    <row r="159" ht="12.75" customHeight="1">
      <c r="A159" s="29"/>
      <c r="B159" s="29"/>
      <c r="C159" s="29"/>
      <c r="D159" s="29"/>
      <c r="E159" s="69"/>
      <c r="F159" s="69"/>
      <c r="G159" s="69"/>
      <c r="H159" s="69"/>
      <c r="I159" s="69"/>
      <c r="J159" s="69"/>
      <c r="K159" s="69"/>
      <c r="L159" s="69"/>
      <c r="M159" s="29"/>
      <c r="N159" s="29"/>
      <c r="O159" s="29"/>
      <c r="P159" s="29"/>
      <c r="Q159" s="29"/>
      <c r="R159" s="29"/>
      <c r="S159" s="29"/>
      <c r="T159" s="29"/>
      <c r="U159" s="72"/>
      <c r="V159" s="72"/>
      <c r="W159" s="72"/>
      <c r="X159" s="72"/>
      <c r="Y159" s="72"/>
      <c r="Z159" s="29"/>
      <c r="AA159" s="29"/>
      <c r="AB159" s="29"/>
      <c r="AC159" s="29"/>
      <c r="AD159" s="75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72"/>
      <c r="BN159" s="72"/>
      <c r="BO159" s="29"/>
    </row>
    <row r="160" ht="12.75" customHeight="1">
      <c r="A160" s="29"/>
      <c r="B160" s="29"/>
      <c r="C160" s="29"/>
      <c r="D160" s="29"/>
      <c r="E160" s="69"/>
      <c r="F160" s="69"/>
      <c r="G160" s="69"/>
      <c r="H160" s="69"/>
      <c r="I160" s="69"/>
      <c r="J160" s="69"/>
      <c r="K160" s="69"/>
      <c r="L160" s="69"/>
      <c r="M160" s="29"/>
      <c r="N160" s="29"/>
      <c r="O160" s="29"/>
      <c r="P160" s="29"/>
      <c r="Q160" s="29"/>
      <c r="R160" s="29"/>
      <c r="S160" s="29"/>
      <c r="T160" s="29"/>
      <c r="U160" s="72"/>
      <c r="V160" s="72"/>
      <c r="W160" s="72"/>
      <c r="X160" s="72"/>
      <c r="Y160" s="72"/>
      <c r="Z160" s="29"/>
      <c r="AA160" s="29"/>
      <c r="AB160" s="29"/>
      <c r="AC160" s="29"/>
      <c r="AD160" s="75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72"/>
      <c r="BN160" s="72"/>
      <c r="BO160" s="29"/>
    </row>
    <row r="161" ht="12.75" customHeight="1">
      <c r="A161" s="29"/>
      <c r="B161" s="29"/>
      <c r="C161" s="29"/>
      <c r="D161" s="29"/>
      <c r="E161" s="69"/>
      <c r="F161" s="69"/>
      <c r="G161" s="69"/>
      <c r="H161" s="69"/>
      <c r="I161" s="69"/>
      <c r="J161" s="69"/>
      <c r="K161" s="69"/>
      <c r="L161" s="69"/>
      <c r="M161" s="29"/>
      <c r="N161" s="29"/>
      <c r="O161" s="29"/>
      <c r="P161" s="29"/>
      <c r="Q161" s="29"/>
      <c r="R161" s="29"/>
      <c r="S161" s="29"/>
      <c r="T161" s="29"/>
      <c r="U161" s="72"/>
      <c r="V161" s="72"/>
      <c r="W161" s="72"/>
      <c r="X161" s="72"/>
      <c r="Y161" s="72"/>
      <c r="Z161" s="29"/>
      <c r="AA161" s="29"/>
      <c r="AB161" s="29"/>
      <c r="AC161" s="29"/>
      <c r="AD161" s="75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72"/>
      <c r="BN161" s="72"/>
      <c r="BO161" s="29"/>
    </row>
    <row r="162" ht="12.75" customHeight="1">
      <c r="A162" s="29"/>
      <c r="B162" s="29"/>
      <c r="C162" s="29"/>
      <c r="D162" s="29"/>
      <c r="E162" s="69"/>
      <c r="F162" s="69"/>
      <c r="G162" s="69"/>
      <c r="H162" s="69"/>
      <c r="I162" s="69"/>
      <c r="J162" s="69"/>
      <c r="K162" s="69"/>
      <c r="L162" s="69"/>
      <c r="M162" s="29"/>
      <c r="N162" s="29"/>
      <c r="O162" s="29"/>
      <c r="P162" s="29"/>
      <c r="Q162" s="29"/>
      <c r="R162" s="29"/>
      <c r="S162" s="29"/>
      <c r="T162" s="29"/>
      <c r="U162" s="72"/>
      <c r="V162" s="72"/>
      <c r="W162" s="72"/>
      <c r="X162" s="72"/>
      <c r="Y162" s="72"/>
      <c r="Z162" s="29"/>
      <c r="AA162" s="29"/>
      <c r="AB162" s="29"/>
      <c r="AC162" s="29"/>
      <c r="AD162" s="75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72"/>
      <c r="BN162" s="72"/>
      <c r="BO162" s="29"/>
    </row>
    <row r="163" ht="12.75" customHeight="1">
      <c r="A163" s="29"/>
      <c r="B163" s="29"/>
      <c r="C163" s="29"/>
      <c r="D163" s="29"/>
      <c r="E163" s="69"/>
      <c r="F163" s="69"/>
      <c r="G163" s="69"/>
      <c r="H163" s="69"/>
      <c r="I163" s="69"/>
      <c r="J163" s="69"/>
      <c r="K163" s="69"/>
      <c r="L163" s="69"/>
      <c r="M163" s="29"/>
      <c r="N163" s="29"/>
      <c r="O163" s="29"/>
      <c r="P163" s="29"/>
      <c r="Q163" s="29"/>
      <c r="R163" s="29"/>
      <c r="S163" s="29"/>
      <c r="T163" s="29"/>
      <c r="U163" s="72"/>
      <c r="V163" s="72"/>
      <c r="W163" s="72"/>
      <c r="X163" s="72"/>
      <c r="Y163" s="72"/>
      <c r="Z163" s="29"/>
      <c r="AA163" s="29"/>
      <c r="AB163" s="29"/>
      <c r="AC163" s="29"/>
      <c r="AD163" s="75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72"/>
      <c r="BN163" s="72"/>
      <c r="BO163" s="29"/>
    </row>
    <row r="164" ht="12.75" customHeight="1">
      <c r="A164" s="29"/>
      <c r="B164" s="29"/>
      <c r="C164" s="29"/>
      <c r="D164" s="29"/>
      <c r="E164" s="69"/>
      <c r="F164" s="69"/>
      <c r="G164" s="69"/>
      <c r="H164" s="69"/>
      <c r="I164" s="69"/>
      <c r="J164" s="69"/>
      <c r="K164" s="69"/>
      <c r="L164" s="69"/>
      <c r="M164" s="29"/>
      <c r="N164" s="29"/>
      <c r="O164" s="29"/>
      <c r="P164" s="29"/>
      <c r="Q164" s="29"/>
      <c r="R164" s="29"/>
      <c r="S164" s="29"/>
      <c r="T164" s="29"/>
      <c r="U164" s="72"/>
      <c r="V164" s="72"/>
      <c r="W164" s="72"/>
      <c r="X164" s="72"/>
      <c r="Y164" s="72"/>
      <c r="Z164" s="29"/>
      <c r="AA164" s="29"/>
      <c r="AB164" s="29"/>
      <c r="AC164" s="29"/>
      <c r="AD164" s="75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72"/>
      <c r="BN164" s="72"/>
      <c r="BO164" s="29"/>
    </row>
    <row r="165" ht="12.75" customHeight="1">
      <c r="A165" s="29"/>
      <c r="B165" s="29"/>
      <c r="C165" s="29"/>
      <c r="D165" s="29"/>
      <c r="E165" s="69"/>
      <c r="F165" s="69"/>
      <c r="G165" s="69"/>
      <c r="H165" s="69"/>
      <c r="I165" s="69"/>
      <c r="J165" s="69"/>
      <c r="K165" s="69"/>
      <c r="L165" s="69"/>
      <c r="M165" s="29"/>
      <c r="N165" s="29"/>
      <c r="O165" s="29"/>
      <c r="P165" s="29"/>
      <c r="Q165" s="29"/>
      <c r="R165" s="29"/>
      <c r="S165" s="29"/>
      <c r="T165" s="29"/>
      <c r="U165" s="72"/>
      <c r="V165" s="72"/>
      <c r="W165" s="72"/>
      <c r="X165" s="72"/>
      <c r="Y165" s="72"/>
      <c r="Z165" s="29"/>
      <c r="AA165" s="29"/>
      <c r="AB165" s="29"/>
      <c r="AC165" s="29"/>
      <c r="AD165" s="75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72"/>
      <c r="BN165" s="72"/>
      <c r="BO165" s="29"/>
    </row>
    <row r="166" ht="12.75" customHeight="1">
      <c r="A166" s="29"/>
      <c r="B166" s="29"/>
      <c r="C166" s="29"/>
      <c r="D166" s="29"/>
      <c r="E166" s="69"/>
      <c r="F166" s="69"/>
      <c r="G166" s="69"/>
      <c r="H166" s="69"/>
      <c r="I166" s="69"/>
      <c r="J166" s="69"/>
      <c r="K166" s="69"/>
      <c r="L166" s="69"/>
      <c r="M166" s="29"/>
      <c r="N166" s="29"/>
      <c r="O166" s="29"/>
      <c r="P166" s="29"/>
      <c r="Q166" s="29"/>
      <c r="R166" s="29"/>
      <c r="S166" s="29"/>
      <c r="T166" s="29"/>
      <c r="U166" s="72"/>
      <c r="V166" s="72"/>
      <c r="W166" s="72"/>
      <c r="X166" s="72"/>
      <c r="Y166" s="72"/>
      <c r="Z166" s="29"/>
      <c r="AA166" s="29"/>
      <c r="AB166" s="29"/>
      <c r="AC166" s="29"/>
      <c r="AD166" s="75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72"/>
      <c r="BN166" s="72"/>
      <c r="BO166" s="29"/>
    </row>
    <row r="167" ht="12.75" customHeight="1">
      <c r="A167" s="29"/>
      <c r="B167" s="29"/>
      <c r="C167" s="29"/>
      <c r="D167" s="29"/>
      <c r="E167" s="69"/>
      <c r="F167" s="69"/>
      <c r="G167" s="69"/>
      <c r="H167" s="69"/>
      <c r="I167" s="69"/>
      <c r="J167" s="69"/>
      <c r="K167" s="69"/>
      <c r="L167" s="69"/>
      <c r="M167" s="29"/>
      <c r="N167" s="29"/>
      <c r="O167" s="29"/>
      <c r="P167" s="29"/>
      <c r="Q167" s="29"/>
      <c r="R167" s="29"/>
      <c r="S167" s="29"/>
      <c r="T167" s="29"/>
      <c r="U167" s="72"/>
      <c r="V167" s="72"/>
      <c r="W167" s="72"/>
      <c r="X167" s="72"/>
      <c r="Y167" s="72"/>
      <c r="Z167" s="29"/>
      <c r="AA167" s="29"/>
      <c r="AB167" s="29"/>
      <c r="AC167" s="29"/>
      <c r="AD167" s="75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72"/>
      <c r="BN167" s="72"/>
      <c r="BO167" s="29"/>
    </row>
    <row r="168" ht="12.75" customHeight="1">
      <c r="A168" s="29"/>
      <c r="B168" s="29"/>
      <c r="C168" s="29"/>
      <c r="D168" s="29"/>
      <c r="E168" s="69"/>
      <c r="F168" s="69"/>
      <c r="G168" s="69"/>
      <c r="H168" s="69"/>
      <c r="I168" s="69"/>
      <c r="J168" s="69"/>
      <c r="K168" s="69"/>
      <c r="L168" s="69"/>
      <c r="M168" s="29"/>
      <c r="N168" s="29"/>
      <c r="O168" s="29"/>
      <c r="P168" s="29"/>
      <c r="Q168" s="29"/>
      <c r="R168" s="29"/>
      <c r="S168" s="29"/>
      <c r="T168" s="29"/>
      <c r="U168" s="72"/>
      <c r="V168" s="72"/>
      <c r="W168" s="72"/>
      <c r="X168" s="72"/>
      <c r="Y168" s="72"/>
      <c r="Z168" s="29"/>
      <c r="AA168" s="29"/>
      <c r="AB168" s="29"/>
      <c r="AC168" s="29"/>
      <c r="AD168" s="75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72"/>
      <c r="BN168" s="72"/>
      <c r="BO168" s="29"/>
    </row>
    <row r="169" ht="12.75" customHeight="1">
      <c r="A169" s="29"/>
      <c r="B169" s="29"/>
      <c r="C169" s="29"/>
      <c r="D169" s="29"/>
      <c r="E169" s="69"/>
      <c r="F169" s="69"/>
      <c r="G169" s="69"/>
      <c r="H169" s="69"/>
      <c r="I169" s="69"/>
      <c r="J169" s="69"/>
      <c r="K169" s="69"/>
      <c r="L169" s="69"/>
      <c r="M169" s="29"/>
      <c r="N169" s="29"/>
      <c r="O169" s="29"/>
      <c r="P169" s="29"/>
      <c r="Q169" s="29"/>
      <c r="R169" s="29"/>
      <c r="S169" s="29"/>
      <c r="T169" s="29"/>
      <c r="U169" s="72"/>
      <c r="V169" s="72"/>
      <c r="W169" s="72"/>
      <c r="X169" s="72"/>
      <c r="Y169" s="72"/>
      <c r="Z169" s="29"/>
      <c r="AA169" s="29"/>
      <c r="AB169" s="29"/>
      <c r="AC169" s="29"/>
      <c r="AD169" s="75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72"/>
      <c r="BN169" s="72"/>
      <c r="BO169" s="29"/>
    </row>
    <row r="170" ht="12.75" customHeight="1">
      <c r="A170" s="29"/>
      <c r="B170" s="29"/>
      <c r="C170" s="29"/>
      <c r="D170" s="29"/>
      <c r="E170" s="69"/>
      <c r="F170" s="69"/>
      <c r="G170" s="69"/>
      <c r="H170" s="69"/>
      <c r="I170" s="69"/>
      <c r="J170" s="69"/>
      <c r="K170" s="69"/>
      <c r="L170" s="69"/>
      <c r="M170" s="29"/>
      <c r="N170" s="29"/>
      <c r="O170" s="29"/>
      <c r="P170" s="29"/>
      <c r="Q170" s="29"/>
      <c r="R170" s="29"/>
      <c r="S170" s="29"/>
      <c r="T170" s="29"/>
      <c r="U170" s="72"/>
      <c r="V170" s="72"/>
      <c r="W170" s="72"/>
      <c r="X170" s="72"/>
      <c r="Y170" s="72"/>
      <c r="Z170" s="29"/>
      <c r="AA170" s="29"/>
      <c r="AB170" s="29"/>
      <c r="AC170" s="29"/>
      <c r="AD170" s="75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72"/>
      <c r="BN170" s="72"/>
      <c r="BO170" s="29"/>
    </row>
    <row r="171" ht="12.75" customHeight="1">
      <c r="A171" s="29"/>
      <c r="B171" s="29"/>
      <c r="C171" s="29"/>
      <c r="D171" s="29"/>
      <c r="E171" s="69"/>
      <c r="F171" s="69"/>
      <c r="G171" s="69"/>
      <c r="H171" s="69"/>
      <c r="I171" s="69"/>
      <c r="J171" s="69"/>
      <c r="K171" s="69"/>
      <c r="L171" s="69"/>
      <c r="M171" s="29"/>
      <c r="N171" s="29"/>
      <c r="O171" s="29"/>
      <c r="P171" s="29"/>
      <c r="Q171" s="29"/>
      <c r="R171" s="29"/>
      <c r="S171" s="29"/>
      <c r="T171" s="29"/>
      <c r="U171" s="72"/>
      <c r="V171" s="72"/>
      <c r="W171" s="72"/>
      <c r="X171" s="72"/>
      <c r="Y171" s="72"/>
      <c r="Z171" s="29"/>
      <c r="AA171" s="29"/>
      <c r="AB171" s="29"/>
      <c r="AC171" s="29"/>
      <c r="AD171" s="75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72"/>
      <c r="BN171" s="72"/>
      <c r="BO171" s="29"/>
    </row>
    <row r="172" ht="12.75" customHeight="1">
      <c r="A172" s="29"/>
      <c r="B172" s="29"/>
      <c r="C172" s="29"/>
      <c r="D172" s="29"/>
      <c r="E172" s="69"/>
      <c r="F172" s="69"/>
      <c r="G172" s="69"/>
      <c r="H172" s="69"/>
      <c r="I172" s="69"/>
      <c r="J172" s="69"/>
      <c r="K172" s="69"/>
      <c r="L172" s="69"/>
      <c r="M172" s="29"/>
      <c r="N172" s="29"/>
      <c r="O172" s="29"/>
      <c r="P172" s="29"/>
      <c r="Q172" s="29"/>
      <c r="R172" s="29"/>
      <c r="S172" s="29"/>
      <c r="T172" s="29"/>
      <c r="U172" s="72"/>
      <c r="V172" s="72"/>
      <c r="W172" s="72"/>
      <c r="X172" s="72"/>
      <c r="Y172" s="72"/>
      <c r="Z172" s="29"/>
      <c r="AA172" s="29"/>
      <c r="AB172" s="29"/>
      <c r="AC172" s="29"/>
      <c r="AD172" s="75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72"/>
      <c r="BN172" s="72"/>
      <c r="BO172" s="29"/>
    </row>
    <row r="173" ht="12.75" customHeight="1">
      <c r="A173" s="29"/>
      <c r="B173" s="29"/>
      <c r="C173" s="29"/>
      <c r="D173" s="29"/>
      <c r="E173" s="69"/>
      <c r="F173" s="69"/>
      <c r="G173" s="69"/>
      <c r="H173" s="69"/>
      <c r="I173" s="69"/>
      <c r="J173" s="69"/>
      <c r="K173" s="69"/>
      <c r="L173" s="69"/>
      <c r="M173" s="29"/>
      <c r="N173" s="29"/>
      <c r="O173" s="29"/>
      <c r="P173" s="29"/>
      <c r="Q173" s="29"/>
      <c r="R173" s="29"/>
      <c r="S173" s="29"/>
      <c r="T173" s="29"/>
      <c r="U173" s="72"/>
      <c r="V173" s="72"/>
      <c r="W173" s="72"/>
      <c r="X173" s="72"/>
      <c r="Y173" s="72"/>
      <c r="Z173" s="29"/>
      <c r="AA173" s="29"/>
      <c r="AB173" s="29"/>
      <c r="AC173" s="29"/>
      <c r="AD173" s="75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72"/>
      <c r="BN173" s="72"/>
      <c r="BO173" s="29"/>
    </row>
    <row r="174" ht="12.75" customHeight="1">
      <c r="A174" s="29"/>
      <c r="B174" s="29"/>
      <c r="C174" s="29"/>
      <c r="D174" s="29"/>
      <c r="E174" s="69"/>
      <c r="F174" s="69"/>
      <c r="G174" s="69"/>
      <c r="H174" s="69"/>
      <c r="I174" s="69"/>
      <c r="J174" s="69"/>
      <c r="K174" s="69"/>
      <c r="L174" s="69"/>
      <c r="M174" s="29"/>
      <c r="N174" s="29"/>
      <c r="O174" s="29"/>
      <c r="P174" s="29"/>
      <c r="Q174" s="29"/>
      <c r="R174" s="29"/>
      <c r="S174" s="29"/>
      <c r="T174" s="29"/>
      <c r="U174" s="72"/>
      <c r="V174" s="72"/>
      <c r="W174" s="72"/>
      <c r="X174" s="72"/>
      <c r="Y174" s="72"/>
      <c r="Z174" s="29"/>
      <c r="AA174" s="29"/>
      <c r="AB174" s="29"/>
      <c r="AC174" s="29"/>
      <c r="AD174" s="75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72"/>
      <c r="BN174" s="72"/>
      <c r="BO174" s="29"/>
    </row>
    <row r="175" ht="12.75" customHeight="1">
      <c r="A175" s="29"/>
      <c r="B175" s="29"/>
      <c r="C175" s="29"/>
      <c r="D175" s="29"/>
      <c r="E175" s="69"/>
      <c r="F175" s="69"/>
      <c r="G175" s="69"/>
      <c r="H175" s="69"/>
      <c r="I175" s="69"/>
      <c r="J175" s="69"/>
      <c r="K175" s="69"/>
      <c r="L175" s="69"/>
      <c r="M175" s="29"/>
      <c r="N175" s="29"/>
      <c r="O175" s="29"/>
      <c r="P175" s="29"/>
      <c r="Q175" s="29"/>
      <c r="R175" s="29"/>
      <c r="S175" s="29"/>
      <c r="T175" s="29"/>
      <c r="U175" s="72"/>
      <c r="V175" s="72"/>
      <c r="W175" s="72"/>
      <c r="X175" s="72"/>
      <c r="Y175" s="72"/>
      <c r="Z175" s="29"/>
      <c r="AA175" s="29"/>
      <c r="AB175" s="29"/>
      <c r="AC175" s="29"/>
      <c r="AD175" s="75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72"/>
      <c r="BN175" s="72"/>
      <c r="BO175" s="29"/>
    </row>
    <row r="176" ht="12.75" customHeight="1">
      <c r="A176" s="29"/>
      <c r="B176" s="29"/>
      <c r="C176" s="29"/>
      <c r="D176" s="29"/>
      <c r="E176" s="69"/>
      <c r="F176" s="69"/>
      <c r="G176" s="69"/>
      <c r="H176" s="69"/>
      <c r="I176" s="69"/>
      <c r="J176" s="69"/>
      <c r="K176" s="69"/>
      <c r="L176" s="69"/>
      <c r="M176" s="29"/>
      <c r="N176" s="29"/>
      <c r="O176" s="29"/>
      <c r="P176" s="29"/>
      <c r="Q176" s="29"/>
      <c r="R176" s="29"/>
      <c r="S176" s="29"/>
      <c r="T176" s="29"/>
      <c r="U176" s="72"/>
      <c r="V176" s="72"/>
      <c r="W176" s="72"/>
      <c r="X176" s="72"/>
      <c r="Y176" s="72"/>
      <c r="Z176" s="29"/>
      <c r="AA176" s="29"/>
      <c r="AB176" s="29"/>
      <c r="AC176" s="29"/>
      <c r="AD176" s="75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72"/>
      <c r="BN176" s="72"/>
      <c r="BO176" s="29"/>
    </row>
    <row r="177" ht="12.75" customHeight="1">
      <c r="A177" s="29"/>
      <c r="B177" s="29"/>
      <c r="C177" s="29"/>
      <c r="D177" s="29"/>
      <c r="E177" s="69"/>
      <c r="F177" s="69"/>
      <c r="G177" s="69"/>
      <c r="H177" s="69"/>
      <c r="I177" s="69"/>
      <c r="J177" s="69"/>
      <c r="K177" s="69"/>
      <c r="L177" s="69"/>
      <c r="M177" s="29"/>
      <c r="N177" s="29"/>
      <c r="O177" s="29"/>
      <c r="P177" s="29"/>
      <c r="Q177" s="29"/>
      <c r="R177" s="29"/>
      <c r="S177" s="29"/>
      <c r="T177" s="29"/>
      <c r="U177" s="72"/>
      <c r="V177" s="72"/>
      <c r="W177" s="72"/>
      <c r="X177" s="72"/>
      <c r="Y177" s="72"/>
      <c r="Z177" s="29"/>
      <c r="AA177" s="29"/>
      <c r="AB177" s="29"/>
      <c r="AC177" s="29"/>
      <c r="AD177" s="75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72"/>
      <c r="BN177" s="72"/>
      <c r="BO177" s="29"/>
    </row>
    <row r="178" ht="12.75" customHeight="1">
      <c r="A178" s="29"/>
      <c r="B178" s="29"/>
      <c r="C178" s="29"/>
      <c r="D178" s="29"/>
      <c r="E178" s="69"/>
      <c r="F178" s="69"/>
      <c r="G178" s="69"/>
      <c r="H178" s="69"/>
      <c r="I178" s="69"/>
      <c r="J178" s="69"/>
      <c r="K178" s="69"/>
      <c r="L178" s="69"/>
      <c r="M178" s="29"/>
      <c r="N178" s="29"/>
      <c r="O178" s="29"/>
      <c r="P178" s="29"/>
      <c r="Q178" s="29"/>
      <c r="R178" s="29"/>
      <c r="S178" s="29"/>
      <c r="T178" s="29"/>
      <c r="U178" s="72"/>
      <c r="V178" s="72"/>
      <c r="W178" s="72"/>
      <c r="X178" s="72"/>
      <c r="Y178" s="72"/>
      <c r="Z178" s="29"/>
      <c r="AA178" s="29"/>
      <c r="AB178" s="29"/>
      <c r="AC178" s="29"/>
      <c r="AD178" s="75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72"/>
      <c r="BN178" s="72"/>
      <c r="BO178" s="29"/>
    </row>
    <row r="179" ht="12.75" customHeight="1">
      <c r="A179" s="29"/>
      <c r="B179" s="29"/>
      <c r="C179" s="29"/>
      <c r="D179" s="29"/>
      <c r="E179" s="69"/>
      <c r="F179" s="69"/>
      <c r="G179" s="69"/>
      <c r="H179" s="69"/>
      <c r="I179" s="69"/>
      <c r="J179" s="69"/>
      <c r="K179" s="69"/>
      <c r="L179" s="69"/>
      <c r="M179" s="29"/>
      <c r="N179" s="29"/>
      <c r="O179" s="29"/>
      <c r="P179" s="29"/>
      <c r="Q179" s="29"/>
      <c r="R179" s="29"/>
      <c r="S179" s="29"/>
      <c r="T179" s="29"/>
      <c r="U179" s="72"/>
      <c r="V179" s="72"/>
      <c r="W179" s="72"/>
      <c r="X179" s="72"/>
      <c r="Y179" s="72"/>
      <c r="Z179" s="29"/>
      <c r="AA179" s="29"/>
      <c r="AB179" s="29"/>
      <c r="AC179" s="29"/>
      <c r="AD179" s="75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72"/>
      <c r="BN179" s="72"/>
      <c r="BO179" s="29"/>
    </row>
    <row r="180" ht="12.75" customHeight="1">
      <c r="A180" s="29"/>
      <c r="B180" s="29"/>
      <c r="C180" s="29"/>
      <c r="D180" s="29"/>
      <c r="E180" s="69"/>
      <c r="F180" s="69"/>
      <c r="G180" s="69"/>
      <c r="H180" s="69"/>
      <c r="I180" s="69"/>
      <c r="J180" s="69"/>
      <c r="K180" s="69"/>
      <c r="L180" s="69"/>
      <c r="M180" s="29"/>
      <c r="N180" s="29"/>
      <c r="O180" s="29"/>
      <c r="P180" s="29"/>
      <c r="Q180" s="29"/>
      <c r="R180" s="29"/>
      <c r="S180" s="29"/>
      <c r="T180" s="29"/>
      <c r="U180" s="72"/>
      <c r="V180" s="72"/>
      <c r="W180" s="72"/>
      <c r="X180" s="72"/>
      <c r="Y180" s="72"/>
      <c r="Z180" s="29"/>
      <c r="AA180" s="29"/>
      <c r="AB180" s="29"/>
      <c r="AC180" s="29"/>
      <c r="AD180" s="75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72"/>
      <c r="BN180" s="72"/>
      <c r="BO180" s="29"/>
    </row>
    <row r="181" ht="12.75" customHeight="1">
      <c r="A181" s="29"/>
      <c r="B181" s="29"/>
      <c r="C181" s="29"/>
      <c r="D181" s="29"/>
      <c r="E181" s="69"/>
      <c r="F181" s="69"/>
      <c r="G181" s="69"/>
      <c r="H181" s="69"/>
      <c r="I181" s="69"/>
      <c r="J181" s="69"/>
      <c r="K181" s="69"/>
      <c r="L181" s="69"/>
      <c r="M181" s="29"/>
      <c r="N181" s="29"/>
      <c r="O181" s="29"/>
      <c r="P181" s="29"/>
      <c r="Q181" s="29"/>
      <c r="R181" s="29"/>
      <c r="S181" s="29"/>
      <c r="T181" s="29"/>
      <c r="U181" s="72"/>
      <c r="V181" s="72"/>
      <c r="W181" s="72"/>
      <c r="X181" s="72"/>
      <c r="Y181" s="72"/>
      <c r="Z181" s="29"/>
      <c r="AA181" s="29"/>
      <c r="AB181" s="29"/>
      <c r="AC181" s="29"/>
      <c r="AD181" s="75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72"/>
      <c r="BN181" s="72"/>
      <c r="BO181" s="29"/>
    </row>
    <row r="182" ht="12.75" customHeight="1">
      <c r="A182" s="29"/>
      <c r="B182" s="29"/>
      <c r="C182" s="29"/>
      <c r="D182" s="29"/>
      <c r="E182" s="69"/>
      <c r="F182" s="69"/>
      <c r="G182" s="69"/>
      <c r="H182" s="69"/>
      <c r="I182" s="69"/>
      <c r="J182" s="69"/>
      <c r="K182" s="69"/>
      <c r="L182" s="69"/>
      <c r="M182" s="29"/>
      <c r="N182" s="29"/>
      <c r="O182" s="29"/>
      <c r="P182" s="29"/>
      <c r="Q182" s="29"/>
      <c r="R182" s="29"/>
      <c r="S182" s="29"/>
      <c r="T182" s="29"/>
      <c r="U182" s="72"/>
      <c r="V182" s="72"/>
      <c r="W182" s="72"/>
      <c r="X182" s="72"/>
      <c r="Y182" s="72"/>
      <c r="Z182" s="29"/>
      <c r="AA182" s="29"/>
      <c r="AB182" s="29"/>
      <c r="AC182" s="29"/>
      <c r="AD182" s="75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72"/>
      <c r="BN182" s="72"/>
      <c r="BO182" s="29"/>
    </row>
    <row r="183" ht="12.75" customHeight="1">
      <c r="A183" s="29"/>
      <c r="B183" s="29"/>
      <c r="C183" s="29"/>
      <c r="D183" s="29"/>
      <c r="E183" s="69"/>
      <c r="F183" s="69"/>
      <c r="G183" s="69"/>
      <c r="H183" s="69"/>
      <c r="I183" s="69"/>
      <c r="J183" s="69"/>
      <c r="K183" s="69"/>
      <c r="L183" s="69"/>
      <c r="M183" s="29"/>
      <c r="N183" s="29"/>
      <c r="O183" s="29"/>
      <c r="P183" s="29"/>
      <c r="Q183" s="29"/>
      <c r="R183" s="29"/>
      <c r="S183" s="29"/>
      <c r="T183" s="29"/>
      <c r="U183" s="72"/>
      <c r="V183" s="72"/>
      <c r="W183" s="72"/>
      <c r="X183" s="72"/>
      <c r="Y183" s="72"/>
      <c r="Z183" s="29"/>
      <c r="AA183" s="29"/>
      <c r="AB183" s="29"/>
      <c r="AC183" s="29"/>
      <c r="AD183" s="75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72"/>
      <c r="BN183" s="72"/>
      <c r="BO183" s="29"/>
    </row>
    <row r="184" ht="12.75" customHeight="1">
      <c r="A184" s="29"/>
      <c r="B184" s="29"/>
      <c r="C184" s="29"/>
      <c r="D184" s="29"/>
      <c r="E184" s="69"/>
      <c r="F184" s="69"/>
      <c r="G184" s="69"/>
      <c r="H184" s="69"/>
      <c r="I184" s="69"/>
      <c r="J184" s="69"/>
      <c r="K184" s="69"/>
      <c r="L184" s="69"/>
      <c r="M184" s="29"/>
      <c r="N184" s="29"/>
      <c r="O184" s="29"/>
      <c r="P184" s="29"/>
      <c r="Q184" s="29"/>
      <c r="R184" s="29"/>
      <c r="S184" s="29"/>
      <c r="T184" s="29"/>
      <c r="U184" s="72"/>
      <c r="V184" s="72"/>
      <c r="W184" s="72"/>
      <c r="X184" s="72"/>
      <c r="Y184" s="72"/>
      <c r="Z184" s="29"/>
      <c r="AA184" s="29"/>
      <c r="AB184" s="29"/>
      <c r="AC184" s="29"/>
      <c r="AD184" s="75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72"/>
      <c r="BN184" s="72"/>
      <c r="BO184" s="29"/>
    </row>
    <row r="185" ht="12.75" customHeight="1">
      <c r="A185" s="29"/>
      <c r="B185" s="29"/>
      <c r="C185" s="29"/>
      <c r="D185" s="29"/>
      <c r="E185" s="69"/>
      <c r="F185" s="69"/>
      <c r="G185" s="69"/>
      <c r="H185" s="69"/>
      <c r="I185" s="69"/>
      <c r="J185" s="69"/>
      <c r="K185" s="69"/>
      <c r="L185" s="69"/>
      <c r="M185" s="29"/>
      <c r="N185" s="29"/>
      <c r="O185" s="29"/>
      <c r="P185" s="29"/>
      <c r="Q185" s="29"/>
      <c r="R185" s="29"/>
      <c r="S185" s="29"/>
      <c r="T185" s="29"/>
      <c r="U185" s="72"/>
      <c r="V185" s="72"/>
      <c r="W185" s="72"/>
      <c r="X185" s="72"/>
      <c r="Y185" s="72"/>
      <c r="Z185" s="29"/>
      <c r="AA185" s="29"/>
      <c r="AB185" s="29"/>
      <c r="AC185" s="29"/>
      <c r="AD185" s="75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72"/>
      <c r="BN185" s="72"/>
      <c r="BO185" s="29"/>
    </row>
    <row r="186" ht="12.75" customHeight="1">
      <c r="A186" s="29"/>
      <c r="B186" s="29"/>
      <c r="C186" s="29"/>
      <c r="D186" s="29"/>
      <c r="E186" s="69"/>
      <c r="F186" s="69"/>
      <c r="G186" s="69"/>
      <c r="H186" s="69"/>
      <c r="I186" s="69"/>
      <c r="J186" s="69"/>
      <c r="K186" s="69"/>
      <c r="L186" s="69"/>
      <c r="M186" s="29"/>
      <c r="N186" s="29"/>
      <c r="O186" s="29"/>
      <c r="P186" s="29"/>
      <c r="Q186" s="29"/>
      <c r="R186" s="29"/>
      <c r="S186" s="29"/>
      <c r="T186" s="29"/>
      <c r="U186" s="72"/>
      <c r="V186" s="72"/>
      <c r="W186" s="72"/>
      <c r="X186" s="72"/>
      <c r="Y186" s="72"/>
      <c r="Z186" s="29"/>
      <c r="AA186" s="29"/>
      <c r="AB186" s="29"/>
      <c r="AC186" s="29"/>
      <c r="AD186" s="75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72"/>
      <c r="BN186" s="72"/>
      <c r="BO186" s="29"/>
    </row>
    <row r="187" ht="12.75" customHeight="1">
      <c r="A187" s="29"/>
      <c r="B187" s="29"/>
      <c r="C187" s="29"/>
      <c r="D187" s="29"/>
      <c r="E187" s="69"/>
      <c r="F187" s="69"/>
      <c r="G187" s="69"/>
      <c r="H187" s="69"/>
      <c r="I187" s="69"/>
      <c r="J187" s="69"/>
      <c r="K187" s="69"/>
      <c r="L187" s="69"/>
      <c r="M187" s="29"/>
      <c r="N187" s="29"/>
      <c r="O187" s="29"/>
      <c r="P187" s="29"/>
      <c r="Q187" s="29"/>
      <c r="R187" s="29"/>
      <c r="S187" s="29"/>
      <c r="T187" s="29"/>
      <c r="U187" s="72"/>
      <c r="V187" s="72"/>
      <c r="W187" s="72"/>
      <c r="X187" s="72"/>
      <c r="Y187" s="72"/>
      <c r="Z187" s="29"/>
      <c r="AA187" s="29"/>
      <c r="AB187" s="29"/>
      <c r="AC187" s="29"/>
      <c r="AD187" s="75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72"/>
      <c r="BN187" s="72"/>
      <c r="BO187" s="29"/>
    </row>
    <row r="188" ht="12.75" customHeight="1">
      <c r="A188" s="29"/>
      <c r="B188" s="29"/>
      <c r="C188" s="29"/>
      <c r="D188" s="29"/>
      <c r="E188" s="69"/>
      <c r="F188" s="69"/>
      <c r="G188" s="69"/>
      <c r="H188" s="69"/>
      <c r="I188" s="69"/>
      <c r="J188" s="69"/>
      <c r="K188" s="69"/>
      <c r="L188" s="69"/>
      <c r="M188" s="29"/>
      <c r="N188" s="29"/>
      <c r="O188" s="29"/>
      <c r="P188" s="29"/>
      <c r="Q188" s="29"/>
      <c r="R188" s="29"/>
      <c r="S188" s="29"/>
      <c r="T188" s="29"/>
      <c r="U188" s="72"/>
      <c r="V188" s="72"/>
      <c r="W188" s="72"/>
      <c r="X188" s="72"/>
      <c r="Y188" s="72"/>
      <c r="Z188" s="29"/>
      <c r="AA188" s="29"/>
      <c r="AB188" s="29"/>
      <c r="AC188" s="29"/>
      <c r="AD188" s="75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72"/>
      <c r="BN188" s="72"/>
      <c r="BO188" s="29"/>
    </row>
    <row r="189" ht="12.75" customHeight="1">
      <c r="A189" s="29"/>
      <c r="B189" s="29"/>
      <c r="C189" s="29"/>
      <c r="D189" s="29"/>
      <c r="E189" s="69"/>
      <c r="F189" s="69"/>
      <c r="G189" s="69"/>
      <c r="H189" s="69"/>
      <c r="I189" s="69"/>
      <c r="J189" s="69"/>
      <c r="K189" s="69"/>
      <c r="L189" s="69"/>
      <c r="M189" s="29"/>
      <c r="N189" s="29"/>
      <c r="O189" s="29"/>
      <c r="P189" s="29"/>
      <c r="Q189" s="29"/>
      <c r="R189" s="29"/>
      <c r="S189" s="29"/>
      <c r="T189" s="29"/>
      <c r="U189" s="72"/>
      <c r="V189" s="72"/>
      <c r="W189" s="72"/>
      <c r="X189" s="72"/>
      <c r="Y189" s="72"/>
      <c r="Z189" s="29"/>
      <c r="AA189" s="29"/>
      <c r="AB189" s="29"/>
      <c r="AC189" s="29"/>
      <c r="AD189" s="75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72"/>
      <c r="BN189" s="72"/>
      <c r="BO189" s="29"/>
    </row>
    <row r="190" ht="12.75" customHeight="1">
      <c r="A190" s="29"/>
      <c r="B190" s="29"/>
      <c r="C190" s="29"/>
      <c r="D190" s="29"/>
      <c r="E190" s="69"/>
      <c r="F190" s="69"/>
      <c r="G190" s="69"/>
      <c r="H190" s="69"/>
      <c r="I190" s="69"/>
      <c r="J190" s="69"/>
      <c r="K190" s="69"/>
      <c r="L190" s="69"/>
      <c r="M190" s="29"/>
      <c r="N190" s="29"/>
      <c r="O190" s="29"/>
      <c r="P190" s="29"/>
      <c r="Q190" s="29"/>
      <c r="R190" s="29"/>
      <c r="S190" s="29"/>
      <c r="T190" s="29"/>
      <c r="U190" s="72"/>
      <c r="V190" s="72"/>
      <c r="W190" s="72"/>
      <c r="X190" s="72"/>
      <c r="Y190" s="72"/>
      <c r="Z190" s="29"/>
      <c r="AA190" s="29"/>
      <c r="AB190" s="29"/>
      <c r="AC190" s="29"/>
      <c r="AD190" s="75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72"/>
      <c r="BN190" s="72"/>
      <c r="BO190" s="29"/>
    </row>
    <row r="191" ht="12.75" customHeight="1">
      <c r="A191" s="29"/>
      <c r="B191" s="29"/>
      <c r="C191" s="29"/>
      <c r="D191" s="29"/>
      <c r="E191" s="69"/>
      <c r="F191" s="69"/>
      <c r="G191" s="69"/>
      <c r="H191" s="69"/>
      <c r="I191" s="69"/>
      <c r="J191" s="69"/>
      <c r="K191" s="69"/>
      <c r="L191" s="69"/>
      <c r="M191" s="29"/>
      <c r="N191" s="29"/>
      <c r="O191" s="29"/>
      <c r="P191" s="29"/>
      <c r="Q191" s="29"/>
      <c r="R191" s="29"/>
      <c r="S191" s="29"/>
      <c r="T191" s="29"/>
      <c r="U191" s="72"/>
      <c r="V191" s="72"/>
      <c r="W191" s="72"/>
      <c r="X191" s="72"/>
      <c r="Y191" s="72"/>
      <c r="Z191" s="29"/>
      <c r="AA191" s="29"/>
      <c r="AB191" s="29"/>
      <c r="AC191" s="29"/>
      <c r="AD191" s="75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72"/>
      <c r="BN191" s="72"/>
      <c r="BO191" s="29"/>
    </row>
    <row r="192" ht="12.75" customHeight="1">
      <c r="A192" s="29"/>
      <c r="B192" s="29"/>
      <c r="C192" s="29"/>
      <c r="D192" s="29"/>
      <c r="E192" s="69"/>
      <c r="F192" s="69"/>
      <c r="G192" s="69"/>
      <c r="H192" s="69"/>
      <c r="I192" s="69"/>
      <c r="J192" s="69"/>
      <c r="K192" s="69"/>
      <c r="L192" s="69"/>
      <c r="M192" s="29"/>
      <c r="N192" s="29"/>
      <c r="O192" s="29"/>
      <c r="P192" s="29"/>
      <c r="Q192" s="29"/>
      <c r="R192" s="29"/>
      <c r="S192" s="29"/>
      <c r="T192" s="29"/>
      <c r="U192" s="72"/>
      <c r="V192" s="72"/>
      <c r="W192" s="72"/>
      <c r="X192" s="72"/>
      <c r="Y192" s="72"/>
      <c r="Z192" s="29"/>
      <c r="AA192" s="29"/>
      <c r="AB192" s="29"/>
      <c r="AC192" s="29"/>
      <c r="AD192" s="75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72"/>
      <c r="BN192" s="72"/>
      <c r="BO192" s="29"/>
    </row>
    <row r="193" ht="12.75" customHeight="1">
      <c r="A193" s="29"/>
      <c r="B193" s="29"/>
      <c r="C193" s="29"/>
      <c r="D193" s="29"/>
      <c r="E193" s="69"/>
      <c r="F193" s="69"/>
      <c r="G193" s="69"/>
      <c r="H193" s="69"/>
      <c r="I193" s="69"/>
      <c r="J193" s="69"/>
      <c r="K193" s="69"/>
      <c r="L193" s="69"/>
      <c r="M193" s="29"/>
      <c r="N193" s="29"/>
      <c r="O193" s="29"/>
      <c r="P193" s="29"/>
      <c r="Q193" s="29"/>
      <c r="R193" s="29"/>
      <c r="S193" s="29"/>
      <c r="T193" s="29"/>
      <c r="U193" s="72"/>
      <c r="V193" s="72"/>
      <c r="W193" s="72"/>
      <c r="X193" s="72"/>
      <c r="Y193" s="72"/>
      <c r="Z193" s="29"/>
      <c r="AA193" s="29"/>
      <c r="AB193" s="29"/>
      <c r="AC193" s="29"/>
      <c r="AD193" s="75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72"/>
      <c r="BN193" s="72"/>
      <c r="BO193" s="29"/>
    </row>
    <row r="194" ht="12.75" customHeight="1">
      <c r="A194" s="29"/>
      <c r="B194" s="29"/>
      <c r="C194" s="29"/>
      <c r="D194" s="29"/>
      <c r="E194" s="69"/>
      <c r="F194" s="69"/>
      <c r="G194" s="69"/>
      <c r="H194" s="69"/>
      <c r="I194" s="69"/>
      <c r="J194" s="69"/>
      <c r="K194" s="69"/>
      <c r="L194" s="69"/>
      <c r="M194" s="29"/>
      <c r="N194" s="29"/>
      <c r="O194" s="29"/>
      <c r="P194" s="29"/>
      <c r="Q194" s="29"/>
      <c r="R194" s="29"/>
      <c r="S194" s="29"/>
      <c r="T194" s="29"/>
      <c r="U194" s="72"/>
      <c r="V194" s="72"/>
      <c r="W194" s="72"/>
      <c r="X194" s="72"/>
      <c r="Y194" s="72"/>
      <c r="Z194" s="29"/>
      <c r="AA194" s="29"/>
      <c r="AB194" s="29"/>
      <c r="AC194" s="29"/>
      <c r="AD194" s="75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72"/>
      <c r="BN194" s="72"/>
      <c r="BO194" s="29"/>
    </row>
    <row r="195" ht="12.75" customHeight="1">
      <c r="A195" s="29"/>
      <c r="B195" s="29"/>
      <c r="C195" s="29"/>
      <c r="D195" s="29"/>
      <c r="E195" s="69"/>
      <c r="F195" s="69"/>
      <c r="G195" s="69"/>
      <c r="H195" s="69"/>
      <c r="I195" s="69"/>
      <c r="J195" s="69"/>
      <c r="K195" s="69"/>
      <c r="L195" s="69"/>
      <c r="M195" s="29"/>
      <c r="N195" s="29"/>
      <c r="O195" s="29"/>
      <c r="P195" s="29"/>
      <c r="Q195" s="29"/>
      <c r="R195" s="29"/>
      <c r="S195" s="29"/>
      <c r="T195" s="29"/>
      <c r="U195" s="72"/>
      <c r="V195" s="72"/>
      <c r="W195" s="72"/>
      <c r="X195" s="72"/>
      <c r="Y195" s="72"/>
      <c r="Z195" s="29"/>
      <c r="AA195" s="29"/>
      <c r="AB195" s="29"/>
      <c r="AC195" s="29"/>
      <c r="AD195" s="75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72"/>
      <c r="BN195" s="72"/>
      <c r="BO195" s="29"/>
    </row>
    <row r="196" ht="12.75" customHeight="1">
      <c r="A196" s="29"/>
      <c r="B196" s="29"/>
      <c r="C196" s="29"/>
      <c r="D196" s="29"/>
      <c r="E196" s="69"/>
      <c r="F196" s="69"/>
      <c r="G196" s="69"/>
      <c r="H196" s="69"/>
      <c r="I196" s="69"/>
      <c r="J196" s="69"/>
      <c r="K196" s="69"/>
      <c r="L196" s="69"/>
      <c r="M196" s="29"/>
      <c r="N196" s="29"/>
      <c r="O196" s="29"/>
      <c r="P196" s="29"/>
      <c r="Q196" s="29"/>
      <c r="R196" s="29"/>
      <c r="S196" s="29"/>
      <c r="T196" s="29"/>
      <c r="U196" s="72"/>
      <c r="V196" s="72"/>
      <c r="W196" s="72"/>
      <c r="X196" s="72"/>
      <c r="Y196" s="72"/>
      <c r="Z196" s="29"/>
      <c r="AA196" s="29"/>
      <c r="AB196" s="29"/>
      <c r="AC196" s="29"/>
      <c r="AD196" s="75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72"/>
      <c r="BN196" s="72"/>
      <c r="BO196" s="29"/>
    </row>
    <row r="197" ht="12.75" customHeight="1">
      <c r="A197" s="29"/>
      <c r="B197" s="29"/>
      <c r="C197" s="29"/>
      <c r="D197" s="29"/>
      <c r="E197" s="69"/>
      <c r="F197" s="69"/>
      <c r="G197" s="69"/>
      <c r="H197" s="69"/>
      <c r="I197" s="69"/>
      <c r="J197" s="69"/>
      <c r="K197" s="69"/>
      <c r="L197" s="69"/>
      <c r="M197" s="29"/>
      <c r="N197" s="29"/>
      <c r="O197" s="29"/>
      <c r="P197" s="29"/>
      <c r="Q197" s="29"/>
      <c r="R197" s="29"/>
      <c r="S197" s="29"/>
      <c r="T197" s="29"/>
      <c r="U197" s="72"/>
      <c r="V197" s="72"/>
      <c r="W197" s="72"/>
      <c r="X197" s="72"/>
      <c r="Y197" s="72"/>
      <c r="Z197" s="29"/>
      <c r="AA197" s="29"/>
      <c r="AB197" s="29"/>
      <c r="AC197" s="29"/>
      <c r="AD197" s="75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72"/>
      <c r="BN197" s="72"/>
      <c r="BO197" s="29"/>
    </row>
    <row r="198" ht="12.75" customHeight="1">
      <c r="A198" s="29"/>
      <c r="B198" s="29"/>
      <c r="C198" s="29"/>
      <c r="D198" s="29"/>
      <c r="E198" s="69"/>
      <c r="F198" s="69"/>
      <c r="G198" s="69"/>
      <c r="H198" s="69"/>
      <c r="I198" s="69"/>
      <c r="J198" s="69"/>
      <c r="K198" s="69"/>
      <c r="L198" s="69"/>
      <c r="M198" s="29"/>
      <c r="N198" s="29"/>
      <c r="O198" s="29"/>
      <c r="P198" s="29"/>
      <c r="Q198" s="29"/>
      <c r="R198" s="29"/>
      <c r="S198" s="29"/>
      <c r="T198" s="29"/>
      <c r="U198" s="72"/>
      <c r="V198" s="72"/>
      <c r="W198" s="72"/>
      <c r="X198" s="72"/>
      <c r="Y198" s="72"/>
      <c r="Z198" s="29"/>
      <c r="AA198" s="29"/>
      <c r="AB198" s="29"/>
      <c r="AC198" s="29"/>
      <c r="AD198" s="75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72"/>
      <c r="BN198" s="72"/>
      <c r="BO198" s="29"/>
    </row>
    <row r="199" ht="12.75" customHeight="1">
      <c r="A199" s="29"/>
      <c r="B199" s="29"/>
      <c r="C199" s="29"/>
      <c r="D199" s="29"/>
      <c r="E199" s="69"/>
      <c r="F199" s="69"/>
      <c r="G199" s="69"/>
      <c r="H199" s="69"/>
      <c r="I199" s="69"/>
      <c r="J199" s="69"/>
      <c r="K199" s="69"/>
      <c r="L199" s="69"/>
      <c r="M199" s="29"/>
      <c r="N199" s="29"/>
      <c r="O199" s="29"/>
      <c r="P199" s="29"/>
      <c r="Q199" s="29"/>
      <c r="R199" s="29"/>
      <c r="S199" s="29"/>
      <c r="T199" s="29"/>
      <c r="U199" s="72"/>
      <c r="V199" s="72"/>
      <c r="W199" s="72"/>
      <c r="X199" s="72"/>
      <c r="Y199" s="72"/>
      <c r="Z199" s="29"/>
      <c r="AA199" s="29"/>
      <c r="AB199" s="29"/>
      <c r="AC199" s="29"/>
      <c r="AD199" s="75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72"/>
      <c r="BN199" s="72"/>
      <c r="BO199" s="29"/>
    </row>
    <row r="200" ht="12.75" customHeight="1">
      <c r="A200" s="29"/>
      <c r="B200" s="29"/>
      <c r="C200" s="29"/>
      <c r="D200" s="29"/>
      <c r="E200" s="69"/>
      <c r="F200" s="69"/>
      <c r="G200" s="69"/>
      <c r="H200" s="69"/>
      <c r="I200" s="69"/>
      <c r="J200" s="69"/>
      <c r="K200" s="69"/>
      <c r="L200" s="69"/>
      <c r="M200" s="29"/>
      <c r="N200" s="29"/>
      <c r="O200" s="29"/>
      <c r="P200" s="29"/>
      <c r="Q200" s="29"/>
      <c r="R200" s="29"/>
      <c r="S200" s="29"/>
      <c r="T200" s="29"/>
      <c r="U200" s="72"/>
      <c r="V200" s="72"/>
      <c r="W200" s="72"/>
      <c r="X200" s="72"/>
      <c r="Y200" s="72"/>
      <c r="Z200" s="29"/>
      <c r="AA200" s="29"/>
      <c r="AB200" s="29"/>
      <c r="AC200" s="29"/>
      <c r="AD200" s="75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72"/>
      <c r="BN200" s="72"/>
      <c r="BO200" s="29"/>
    </row>
    <row r="201" ht="12.75" customHeight="1">
      <c r="A201" s="29"/>
      <c r="B201" s="29"/>
      <c r="C201" s="29"/>
      <c r="D201" s="29"/>
      <c r="E201" s="69"/>
      <c r="F201" s="69"/>
      <c r="G201" s="69"/>
      <c r="H201" s="69"/>
      <c r="I201" s="69"/>
      <c r="J201" s="69"/>
      <c r="K201" s="69"/>
      <c r="L201" s="69"/>
      <c r="M201" s="29"/>
      <c r="N201" s="29"/>
      <c r="O201" s="29"/>
      <c r="P201" s="29"/>
      <c r="Q201" s="29"/>
      <c r="R201" s="29"/>
      <c r="S201" s="29"/>
      <c r="T201" s="29"/>
      <c r="U201" s="72"/>
      <c r="V201" s="72"/>
      <c r="W201" s="72"/>
      <c r="X201" s="72"/>
      <c r="Y201" s="72"/>
      <c r="Z201" s="29"/>
      <c r="AA201" s="29"/>
      <c r="AB201" s="29"/>
      <c r="AC201" s="29"/>
      <c r="AD201" s="75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72"/>
      <c r="BN201" s="72"/>
      <c r="BO201" s="29"/>
    </row>
    <row r="202" ht="12.75" customHeight="1">
      <c r="A202" s="29"/>
      <c r="B202" s="29"/>
      <c r="C202" s="29"/>
      <c r="D202" s="29"/>
      <c r="E202" s="69"/>
      <c r="F202" s="69"/>
      <c r="G202" s="69"/>
      <c r="H202" s="69"/>
      <c r="I202" s="69"/>
      <c r="J202" s="69"/>
      <c r="K202" s="69"/>
      <c r="L202" s="69"/>
      <c r="M202" s="29"/>
      <c r="N202" s="29"/>
      <c r="O202" s="29"/>
      <c r="P202" s="29"/>
      <c r="Q202" s="29"/>
      <c r="R202" s="29"/>
      <c r="S202" s="29"/>
      <c r="T202" s="29"/>
      <c r="U202" s="72"/>
      <c r="V202" s="72"/>
      <c r="W202" s="72"/>
      <c r="X202" s="72"/>
      <c r="Y202" s="72"/>
      <c r="Z202" s="29"/>
      <c r="AA202" s="29"/>
      <c r="AB202" s="29"/>
      <c r="AC202" s="29"/>
      <c r="AD202" s="75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72"/>
      <c r="BN202" s="72"/>
      <c r="BO202" s="29"/>
    </row>
    <row r="203" ht="12.75" customHeight="1">
      <c r="A203" s="29"/>
      <c r="B203" s="29"/>
      <c r="C203" s="29"/>
      <c r="D203" s="29"/>
      <c r="E203" s="69"/>
      <c r="F203" s="69"/>
      <c r="G203" s="69"/>
      <c r="H203" s="69"/>
      <c r="I203" s="69"/>
      <c r="J203" s="69"/>
      <c r="K203" s="69"/>
      <c r="L203" s="69"/>
      <c r="M203" s="29"/>
      <c r="N203" s="29"/>
      <c r="O203" s="29"/>
      <c r="P203" s="29"/>
      <c r="Q203" s="29"/>
      <c r="R203" s="29"/>
      <c r="S203" s="29"/>
      <c r="T203" s="29"/>
      <c r="U203" s="72"/>
      <c r="V203" s="72"/>
      <c r="W203" s="72"/>
      <c r="X203" s="72"/>
      <c r="Y203" s="72"/>
      <c r="Z203" s="29"/>
      <c r="AA203" s="29"/>
      <c r="AB203" s="29"/>
      <c r="AC203" s="29"/>
      <c r="AD203" s="75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72"/>
      <c r="BN203" s="72"/>
      <c r="BO203" s="29"/>
    </row>
    <row r="204" ht="12.75" customHeight="1">
      <c r="A204" s="29"/>
      <c r="B204" s="29"/>
      <c r="C204" s="29"/>
      <c r="D204" s="29"/>
      <c r="E204" s="69"/>
      <c r="F204" s="69"/>
      <c r="G204" s="69"/>
      <c r="H204" s="69"/>
      <c r="I204" s="69"/>
      <c r="J204" s="69"/>
      <c r="K204" s="69"/>
      <c r="L204" s="69"/>
      <c r="M204" s="29"/>
      <c r="N204" s="29"/>
      <c r="O204" s="29"/>
      <c r="P204" s="29"/>
      <c r="Q204" s="29"/>
      <c r="R204" s="29"/>
      <c r="S204" s="29"/>
      <c r="T204" s="29"/>
      <c r="U204" s="72"/>
      <c r="V204" s="72"/>
      <c r="W204" s="72"/>
      <c r="X204" s="72"/>
      <c r="Y204" s="72"/>
      <c r="Z204" s="29"/>
      <c r="AA204" s="29"/>
      <c r="AB204" s="29"/>
      <c r="AC204" s="29"/>
      <c r="AD204" s="75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72"/>
      <c r="BN204" s="72"/>
      <c r="BO204" s="29"/>
    </row>
    <row r="205" ht="12.75" customHeight="1">
      <c r="A205" s="29"/>
      <c r="B205" s="29"/>
      <c r="C205" s="29"/>
      <c r="D205" s="29"/>
      <c r="E205" s="69"/>
      <c r="F205" s="69"/>
      <c r="G205" s="69"/>
      <c r="H205" s="69"/>
      <c r="I205" s="69"/>
      <c r="J205" s="69"/>
      <c r="K205" s="69"/>
      <c r="L205" s="69"/>
      <c r="M205" s="29"/>
      <c r="N205" s="29"/>
      <c r="O205" s="29"/>
      <c r="P205" s="29"/>
      <c r="Q205" s="29"/>
      <c r="R205" s="29"/>
      <c r="S205" s="29"/>
      <c r="T205" s="29"/>
      <c r="U205" s="72"/>
      <c r="V205" s="72"/>
      <c r="W205" s="72"/>
      <c r="X205" s="72"/>
      <c r="Y205" s="72"/>
      <c r="Z205" s="29"/>
      <c r="AA205" s="29"/>
      <c r="AB205" s="29"/>
      <c r="AC205" s="29"/>
      <c r="AD205" s="75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72"/>
      <c r="BN205" s="72"/>
      <c r="BO205" s="29"/>
    </row>
    <row r="206" ht="12.75" customHeight="1">
      <c r="A206" s="29"/>
      <c r="B206" s="29"/>
      <c r="C206" s="29"/>
      <c r="D206" s="29"/>
      <c r="E206" s="69"/>
      <c r="F206" s="69"/>
      <c r="G206" s="69"/>
      <c r="H206" s="69"/>
      <c r="I206" s="69"/>
      <c r="J206" s="69"/>
      <c r="K206" s="69"/>
      <c r="L206" s="69"/>
      <c r="M206" s="29"/>
      <c r="N206" s="29"/>
      <c r="O206" s="29"/>
      <c r="P206" s="29"/>
      <c r="Q206" s="29"/>
      <c r="R206" s="29"/>
      <c r="S206" s="29"/>
      <c r="T206" s="29"/>
      <c r="U206" s="72"/>
      <c r="V206" s="72"/>
      <c r="W206" s="72"/>
      <c r="X206" s="72"/>
      <c r="Y206" s="72"/>
      <c r="Z206" s="29"/>
      <c r="AA206" s="29"/>
      <c r="AB206" s="29"/>
      <c r="AC206" s="29"/>
      <c r="AD206" s="75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72"/>
      <c r="BN206" s="72"/>
      <c r="BO206" s="29"/>
    </row>
    <row r="207" ht="12.75" customHeight="1">
      <c r="A207" s="29"/>
      <c r="B207" s="29"/>
      <c r="C207" s="29"/>
      <c r="D207" s="29"/>
      <c r="E207" s="69"/>
      <c r="F207" s="69"/>
      <c r="G207" s="69"/>
      <c r="H207" s="69"/>
      <c r="I207" s="69"/>
      <c r="J207" s="69"/>
      <c r="K207" s="69"/>
      <c r="L207" s="69"/>
      <c r="M207" s="29"/>
      <c r="N207" s="29"/>
      <c r="O207" s="29"/>
      <c r="P207" s="29"/>
      <c r="Q207" s="29"/>
      <c r="R207" s="29"/>
      <c r="S207" s="29"/>
      <c r="T207" s="29"/>
      <c r="U207" s="72"/>
      <c r="V207" s="72"/>
      <c r="W207" s="72"/>
      <c r="X207" s="72"/>
      <c r="Y207" s="72"/>
      <c r="Z207" s="29"/>
      <c r="AA207" s="29"/>
      <c r="AB207" s="29"/>
      <c r="AC207" s="29"/>
      <c r="AD207" s="75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72"/>
      <c r="BN207" s="72"/>
      <c r="BO207" s="29"/>
    </row>
    <row r="208" ht="12.75" customHeight="1">
      <c r="A208" s="29"/>
      <c r="B208" s="29"/>
      <c r="C208" s="29"/>
      <c r="D208" s="29"/>
      <c r="E208" s="69"/>
      <c r="F208" s="69"/>
      <c r="G208" s="69"/>
      <c r="H208" s="69"/>
      <c r="I208" s="69"/>
      <c r="J208" s="69"/>
      <c r="K208" s="69"/>
      <c r="L208" s="69"/>
      <c r="M208" s="29"/>
      <c r="N208" s="29"/>
      <c r="O208" s="29"/>
      <c r="P208" s="29"/>
      <c r="Q208" s="29"/>
      <c r="R208" s="29"/>
      <c r="S208" s="29"/>
      <c r="T208" s="29"/>
      <c r="U208" s="72"/>
      <c r="V208" s="72"/>
      <c r="W208" s="72"/>
      <c r="X208" s="72"/>
      <c r="Y208" s="72"/>
      <c r="Z208" s="29"/>
      <c r="AA208" s="29"/>
      <c r="AB208" s="29"/>
      <c r="AC208" s="29"/>
      <c r="AD208" s="75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72"/>
      <c r="BN208" s="72"/>
      <c r="BO208" s="29"/>
    </row>
    <row r="209" ht="12.75" customHeight="1">
      <c r="A209" s="29"/>
      <c r="B209" s="29"/>
      <c r="C209" s="29"/>
      <c r="D209" s="29"/>
      <c r="E209" s="69"/>
      <c r="F209" s="69"/>
      <c r="G209" s="69"/>
      <c r="H209" s="69"/>
      <c r="I209" s="69"/>
      <c r="J209" s="69"/>
      <c r="K209" s="69"/>
      <c r="L209" s="69"/>
      <c r="M209" s="29"/>
      <c r="N209" s="29"/>
      <c r="O209" s="29"/>
      <c r="P209" s="29"/>
      <c r="Q209" s="29"/>
      <c r="R209" s="29"/>
      <c r="S209" s="29"/>
      <c r="T209" s="29"/>
      <c r="U209" s="72"/>
      <c r="V209" s="72"/>
      <c r="W209" s="72"/>
      <c r="X209" s="72"/>
      <c r="Y209" s="72"/>
      <c r="Z209" s="29"/>
      <c r="AA209" s="29"/>
      <c r="AB209" s="29"/>
      <c r="AC209" s="29"/>
      <c r="AD209" s="75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72"/>
      <c r="BN209" s="72"/>
      <c r="BO209" s="29"/>
    </row>
    <row r="210" ht="12.75" customHeight="1">
      <c r="A210" s="29"/>
      <c r="B210" s="29"/>
      <c r="C210" s="29"/>
      <c r="D210" s="29"/>
      <c r="E210" s="69"/>
      <c r="F210" s="69"/>
      <c r="G210" s="69"/>
      <c r="H210" s="69"/>
      <c r="I210" s="69"/>
      <c r="J210" s="69"/>
      <c r="K210" s="69"/>
      <c r="L210" s="69"/>
      <c r="M210" s="29"/>
      <c r="N210" s="29"/>
      <c r="O210" s="29"/>
      <c r="P210" s="29"/>
      <c r="Q210" s="29"/>
      <c r="R210" s="29"/>
      <c r="S210" s="29"/>
      <c r="T210" s="29"/>
      <c r="U210" s="72"/>
      <c r="V210" s="72"/>
      <c r="W210" s="72"/>
      <c r="X210" s="72"/>
      <c r="Y210" s="72"/>
      <c r="Z210" s="29"/>
      <c r="AA210" s="29"/>
      <c r="AB210" s="29"/>
      <c r="AC210" s="29"/>
      <c r="AD210" s="75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72"/>
      <c r="BN210" s="72"/>
      <c r="BO210" s="29"/>
    </row>
    <row r="211" ht="12.75" customHeight="1">
      <c r="A211" s="29"/>
      <c r="B211" s="29"/>
      <c r="C211" s="29"/>
      <c r="D211" s="29"/>
      <c r="E211" s="69"/>
      <c r="F211" s="69"/>
      <c r="G211" s="69"/>
      <c r="H211" s="69"/>
      <c r="I211" s="69"/>
      <c r="J211" s="69"/>
      <c r="K211" s="69"/>
      <c r="L211" s="69"/>
      <c r="M211" s="29"/>
      <c r="N211" s="29"/>
      <c r="O211" s="29"/>
      <c r="P211" s="29"/>
      <c r="Q211" s="29"/>
      <c r="R211" s="29"/>
      <c r="S211" s="29"/>
      <c r="T211" s="29"/>
      <c r="U211" s="72"/>
      <c r="V211" s="72"/>
      <c r="W211" s="72"/>
      <c r="X211" s="72"/>
      <c r="Y211" s="72"/>
      <c r="Z211" s="29"/>
      <c r="AA211" s="29"/>
      <c r="AB211" s="29"/>
      <c r="AC211" s="29"/>
      <c r="AD211" s="75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72"/>
      <c r="BN211" s="72"/>
      <c r="BO211" s="29"/>
    </row>
    <row r="212" ht="12.75" customHeight="1">
      <c r="A212" s="29"/>
      <c r="B212" s="29"/>
      <c r="C212" s="29"/>
      <c r="D212" s="29"/>
      <c r="E212" s="69"/>
      <c r="F212" s="69"/>
      <c r="G212" s="69"/>
      <c r="H212" s="69"/>
      <c r="I212" s="69"/>
      <c r="J212" s="69"/>
      <c r="K212" s="69"/>
      <c r="L212" s="69"/>
      <c r="M212" s="29"/>
      <c r="N212" s="29"/>
      <c r="O212" s="29"/>
      <c r="P212" s="29"/>
      <c r="Q212" s="29"/>
      <c r="R212" s="29"/>
      <c r="S212" s="29"/>
      <c r="T212" s="29"/>
      <c r="U212" s="72"/>
      <c r="V212" s="72"/>
      <c r="W212" s="72"/>
      <c r="X212" s="72"/>
      <c r="Y212" s="72"/>
      <c r="Z212" s="29"/>
      <c r="AA212" s="29"/>
      <c r="AB212" s="29"/>
      <c r="AC212" s="29"/>
      <c r="AD212" s="75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72"/>
      <c r="BN212" s="72"/>
      <c r="BO212" s="29"/>
    </row>
    <row r="213" ht="12.75" customHeight="1">
      <c r="A213" s="29"/>
      <c r="B213" s="29"/>
      <c r="C213" s="29"/>
      <c r="D213" s="29"/>
      <c r="E213" s="69"/>
      <c r="F213" s="69"/>
      <c r="G213" s="69"/>
      <c r="H213" s="69"/>
      <c r="I213" s="69"/>
      <c r="J213" s="69"/>
      <c r="K213" s="69"/>
      <c r="L213" s="69"/>
      <c r="M213" s="29"/>
      <c r="N213" s="29"/>
      <c r="O213" s="29"/>
      <c r="P213" s="29"/>
      <c r="Q213" s="29"/>
      <c r="R213" s="29"/>
      <c r="S213" s="29"/>
      <c r="T213" s="29"/>
      <c r="U213" s="72"/>
      <c r="V213" s="72"/>
      <c r="W213" s="72"/>
      <c r="X213" s="72"/>
      <c r="Y213" s="72"/>
      <c r="Z213" s="29"/>
      <c r="AA213" s="29"/>
      <c r="AB213" s="29"/>
      <c r="AC213" s="29"/>
      <c r="AD213" s="75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72"/>
      <c r="BN213" s="72"/>
      <c r="BO213" s="29"/>
    </row>
    <row r="214" ht="12.75" customHeight="1">
      <c r="A214" s="29"/>
      <c r="B214" s="29"/>
      <c r="C214" s="29"/>
      <c r="D214" s="29"/>
      <c r="E214" s="69"/>
      <c r="F214" s="69"/>
      <c r="G214" s="69"/>
      <c r="H214" s="69"/>
      <c r="I214" s="69"/>
      <c r="J214" s="69"/>
      <c r="K214" s="69"/>
      <c r="L214" s="69"/>
      <c r="M214" s="29"/>
      <c r="N214" s="29"/>
      <c r="O214" s="29"/>
      <c r="P214" s="29"/>
      <c r="Q214" s="29"/>
      <c r="R214" s="29"/>
      <c r="S214" s="29"/>
      <c r="T214" s="29"/>
      <c r="U214" s="72"/>
      <c r="V214" s="72"/>
      <c r="W214" s="72"/>
      <c r="X214" s="72"/>
      <c r="Y214" s="72"/>
      <c r="Z214" s="29"/>
      <c r="AA214" s="29"/>
      <c r="AB214" s="29"/>
      <c r="AC214" s="29"/>
      <c r="AD214" s="75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72"/>
      <c r="BN214" s="72"/>
      <c r="BO214" s="29"/>
    </row>
    <row r="215" ht="12.75" customHeight="1">
      <c r="A215" s="29"/>
      <c r="B215" s="29"/>
      <c r="C215" s="29"/>
      <c r="D215" s="29"/>
      <c r="E215" s="69"/>
      <c r="F215" s="69"/>
      <c r="G215" s="69"/>
      <c r="H215" s="69"/>
      <c r="I215" s="69"/>
      <c r="J215" s="69"/>
      <c r="K215" s="69"/>
      <c r="L215" s="69"/>
      <c r="M215" s="29"/>
      <c r="N215" s="29"/>
      <c r="O215" s="29"/>
      <c r="P215" s="29"/>
      <c r="Q215" s="29"/>
      <c r="R215" s="29"/>
      <c r="S215" s="29"/>
      <c r="T215" s="29"/>
      <c r="U215" s="72"/>
      <c r="V215" s="72"/>
      <c r="W215" s="72"/>
      <c r="X215" s="72"/>
      <c r="Y215" s="72"/>
      <c r="Z215" s="29"/>
      <c r="AA215" s="29"/>
      <c r="AB215" s="29"/>
      <c r="AC215" s="29"/>
      <c r="AD215" s="75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72"/>
      <c r="BN215" s="72"/>
      <c r="BO215" s="29"/>
    </row>
    <row r="216" ht="12.75" customHeight="1">
      <c r="A216" s="29"/>
      <c r="B216" s="29"/>
      <c r="C216" s="29"/>
      <c r="D216" s="29"/>
      <c r="E216" s="69"/>
      <c r="F216" s="69"/>
      <c r="G216" s="69"/>
      <c r="H216" s="69"/>
      <c r="I216" s="69"/>
      <c r="J216" s="69"/>
      <c r="K216" s="69"/>
      <c r="L216" s="69"/>
      <c r="M216" s="29"/>
      <c r="N216" s="29"/>
      <c r="O216" s="29"/>
      <c r="P216" s="29"/>
      <c r="Q216" s="29"/>
      <c r="R216" s="29"/>
      <c r="S216" s="29"/>
      <c r="T216" s="29"/>
      <c r="U216" s="72"/>
      <c r="V216" s="72"/>
      <c r="W216" s="72"/>
      <c r="X216" s="72"/>
      <c r="Y216" s="72"/>
      <c r="Z216" s="29"/>
      <c r="AA216" s="29"/>
      <c r="AB216" s="29"/>
      <c r="AC216" s="29"/>
      <c r="AD216" s="75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72"/>
      <c r="BN216" s="72"/>
      <c r="BO216" s="29"/>
    </row>
    <row r="217" ht="12.75" customHeight="1">
      <c r="A217" s="29"/>
      <c r="B217" s="29"/>
      <c r="C217" s="29"/>
      <c r="D217" s="29"/>
      <c r="E217" s="69"/>
      <c r="F217" s="69"/>
      <c r="G217" s="69"/>
      <c r="H217" s="69"/>
      <c r="I217" s="69"/>
      <c r="J217" s="69"/>
      <c r="K217" s="69"/>
      <c r="L217" s="69"/>
      <c r="M217" s="29"/>
      <c r="N217" s="29"/>
      <c r="O217" s="29"/>
      <c r="P217" s="29"/>
      <c r="Q217" s="29"/>
      <c r="R217" s="29"/>
      <c r="S217" s="29"/>
      <c r="T217" s="29"/>
      <c r="U217" s="72"/>
      <c r="V217" s="72"/>
      <c r="W217" s="72"/>
      <c r="X217" s="72"/>
      <c r="Y217" s="72"/>
      <c r="Z217" s="29"/>
      <c r="AA217" s="29"/>
      <c r="AB217" s="29"/>
      <c r="AC217" s="29"/>
      <c r="AD217" s="75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72"/>
      <c r="BN217" s="72"/>
      <c r="BO217" s="29"/>
    </row>
    <row r="218" ht="12.75" customHeight="1">
      <c r="A218" s="29"/>
      <c r="B218" s="29"/>
      <c r="C218" s="29"/>
      <c r="D218" s="29"/>
      <c r="E218" s="69"/>
      <c r="F218" s="69"/>
      <c r="G218" s="69"/>
      <c r="H218" s="69"/>
      <c r="I218" s="69"/>
      <c r="J218" s="69"/>
      <c r="K218" s="69"/>
      <c r="L218" s="69"/>
      <c r="M218" s="29"/>
      <c r="N218" s="29"/>
      <c r="O218" s="29"/>
      <c r="P218" s="29"/>
      <c r="Q218" s="29"/>
      <c r="R218" s="29"/>
      <c r="S218" s="29"/>
      <c r="T218" s="29"/>
      <c r="U218" s="72"/>
      <c r="V218" s="72"/>
      <c r="W218" s="72"/>
      <c r="X218" s="72"/>
      <c r="Y218" s="72"/>
      <c r="Z218" s="29"/>
      <c r="AA218" s="29"/>
      <c r="AB218" s="29"/>
      <c r="AC218" s="29"/>
      <c r="AD218" s="75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72"/>
      <c r="BN218" s="72"/>
      <c r="BO218" s="29"/>
    </row>
    <row r="219" ht="12.75" customHeight="1">
      <c r="A219" s="29"/>
      <c r="B219" s="29"/>
      <c r="C219" s="29"/>
      <c r="D219" s="29"/>
      <c r="E219" s="69"/>
      <c r="F219" s="69"/>
      <c r="G219" s="69"/>
      <c r="H219" s="69"/>
      <c r="I219" s="69"/>
      <c r="J219" s="69"/>
      <c r="K219" s="69"/>
      <c r="L219" s="69"/>
      <c r="M219" s="29"/>
      <c r="N219" s="29"/>
      <c r="O219" s="29"/>
      <c r="P219" s="29"/>
      <c r="Q219" s="29"/>
      <c r="R219" s="29"/>
      <c r="S219" s="29"/>
      <c r="T219" s="29"/>
      <c r="U219" s="72"/>
      <c r="V219" s="72"/>
      <c r="W219" s="72"/>
      <c r="X219" s="72"/>
      <c r="Y219" s="72"/>
      <c r="Z219" s="29"/>
      <c r="AA219" s="29"/>
      <c r="AB219" s="29"/>
      <c r="AC219" s="29"/>
      <c r="AD219" s="75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72"/>
      <c r="BN219" s="72"/>
      <c r="BO219" s="29"/>
    </row>
    <row r="220" ht="12.75" customHeight="1">
      <c r="A220" s="29"/>
      <c r="B220" s="29"/>
      <c r="C220" s="29"/>
      <c r="D220" s="29"/>
      <c r="E220" s="69"/>
      <c r="F220" s="69"/>
      <c r="G220" s="69"/>
      <c r="H220" s="69"/>
      <c r="I220" s="69"/>
      <c r="J220" s="69"/>
      <c r="K220" s="69"/>
      <c r="L220" s="69"/>
      <c r="M220" s="29"/>
      <c r="N220" s="29"/>
      <c r="O220" s="29"/>
      <c r="P220" s="29"/>
      <c r="Q220" s="29"/>
      <c r="R220" s="29"/>
      <c r="S220" s="29"/>
      <c r="T220" s="29"/>
      <c r="U220" s="72"/>
      <c r="V220" s="72"/>
      <c r="W220" s="72"/>
      <c r="X220" s="72"/>
      <c r="Y220" s="72"/>
      <c r="Z220" s="29"/>
      <c r="AA220" s="29"/>
      <c r="AB220" s="29"/>
      <c r="AC220" s="29"/>
      <c r="AD220" s="75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72"/>
      <c r="BN220" s="72"/>
      <c r="BO220" s="2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20.75"/>
    <col customWidth="1" min="3" max="4" width="16.0"/>
    <col customWidth="1" min="5" max="5" width="16.13"/>
    <col customWidth="1" min="6" max="6" width="18.63"/>
    <col customWidth="1" min="7" max="7" width="15.38"/>
    <col customWidth="1" min="8" max="8" width="23.0"/>
    <col customWidth="1" min="9" max="9" width="11.25"/>
    <col customWidth="1" min="10" max="27" width="9.13"/>
  </cols>
  <sheetData>
    <row r="1">
      <c r="A1" s="89"/>
      <c r="B1" s="90"/>
      <c r="C1" s="91"/>
      <c r="D1" s="91"/>
      <c r="E1" s="91"/>
      <c r="F1" s="91"/>
      <c r="G1" s="91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</row>
    <row r="2">
      <c r="A2" s="89"/>
      <c r="B2" s="90"/>
      <c r="C2" s="91"/>
      <c r="D2" s="91"/>
      <c r="E2" s="91"/>
      <c r="F2" s="91"/>
      <c r="G2" s="91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</row>
    <row r="3">
      <c r="A3" s="92"/>
      <c r="B3" s="93" t="s">
        <v>115</v>
      </c>
      <c r="C3" s="91" t="s">
        <v>116</v>
      </c>
      <c r="D3" s="91"/>
      <c r="E3" s="91"/>
      <c r="F3" s="91"/>
      <c r="G3" s="91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92"/>
    </row>
    <row r="4">
      <c r="A4" s="89"/>
      <c r="B4" s="90"/>
      <c r="C4" s="91"/>
      <c r="D4" s="91"/>
      <c r="E4" s="91"/>
      <c r="F4" s="91"/>
      <c r="G4" s="91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</row>
    <row r="5">
      <c r="A5" s="94"/>
      <c r="B5" s="95" t="s">
        <v>6</v>
      </c>
      <c r="C5" s="96" t="s">
        <v>17</v>
      </c>
      <c r="D5" s="96" t="s">
        <v>18</v>
      </c>
      <c r="E5" s="96" t="s">
        <v>19</v>
      </c>
      <c r="F5" s="96" t="s">
        <v>20</v>
      </c>
      <c r="G5" s="96" t="s">
        <v>21</v>
      </c>
      <c r="H5" s="94"/>
      <c r="I5" s="94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</row>
    <row r="6">
      <c r="A6" s="89"/>
      <c r="B6" s="98"/>
      <c r="C6" s="99"/>
      <c r="D6" s="99"/>
      <c r="E6" s="99"/>
      <c r="F6" s="99"/>
      <c r="G6" s="9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</row>
    <row r="7">
      <c r="A7" s="89"/>
      <c r="B7" s="98"/>
      <c r="C7" s="99"/>
      <c r="D7" s="99"/>
      <c r="E7" s="99"/>
      <c r="F7" s="99"/>
      <c r="G7" s="9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</row>
    <row r="8">
      <c r="A8" s="89"/>
      <c r="B8" s="98"/>
      <c r="C8" s="99"/>
      <c r="D8" s="99"/>
      <c r="E8" s="99"/>
      <c r="F8" s="99"/>
      <c r="G8" s="9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</row>
    <row r="9">
      <c r="A9" s="89"/>
      <c r="B9" s="98"/>
      <c r="C9" s="99"/>
      <c r="D9" s="99"/>
      <c r="E9" s="99"/>
      <c r="F9" s="99"/>
      <c r="G9" s="9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</row>
    <row r="10">
      <c r="A10" s="89"/>
      <c r="B10" s="98"/>
      <c r="C10" s="99"/>
      <c r="D10" s="99"/>
      <c r="E10" s="99"/>
      <c r="F10" s="99"/>
      <c r="G10" s="9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</row>
    <row r="11">
      <c r="A11" s="89"/>
      <c r="B11" s="98"/>
      <c r="C11" s="99"/>
      <c r="D11" s="99"/>
      <c r="E11" s="99"/>
      <c r="F11" s="99"/>
      <c r="G11" s="9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</row>
    <row r="12">
      <c r="A12" s="89"/>
      <c r="B12" s="98"/>
      <c r="C12" s="99"/>
      <c r="D12" s="99"/>
      <c r="E12" s="99"/>
      <c r="F12" s="99"/>
      <c r="G12" s="9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</row>
    <row r="13">
      <c r="A13" s="89"/>
      <c r="B13" s="98"/>
      <c r="C13" s="99"/>
      <c r="D13" s="99"/>
      <c r="E13" s="99"/>
      <c r="F13" s="99"/>
      <c r="G13" s="9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</row>
    <row r="14">
      <c r="A14" s="89"/>
      <c r="B14" s="98"/>
      <c r="C14" s="99"/>
      <c r="D14" s="99"/>
      <c r="E14" s="99"/>
      <c r="F14" s="99"/>
      <c r="G14" s="9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  <c r="AA14" s="89"/>
    </row>
    <row r="15">
      <c r="A15" s="89"/>
      <c r="B15" s="98"/>
      <c r="C15" s="99"/>
      <c r="D15" s="99"/>
      <c r="E15" s="99"/>
      <c r="F15" s="99"/>
      <c r="G15" s="9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</row>
    <row r="16">
      <c r="A16" s="89"/>
      <c r="B16" s="98"/>
      <c r="C16" s="99"/>
      <c r="D16" s="99"/>
      <c r="E16" s="99"/>
      <c r="F16" s="99"/>
      <c r="G16" s="9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  <c r="AA16" s="89"/>
    </row>
    <row r="17">
      <c r="A17" s="89"/>
      <c r="B17" s="98"/>
      <c r="C17" s="99"/>
      <c r="D17" s="99"/>
      <c r="E17" s="99"/>
      <c r="F17" s="99"/>
      <c r="G17" s="9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</row>
    <row r="18">
      <c r="A18" s="89"/>
      <c r="B18" s="98"/>
      <c r="C18" s="99"/>
      <c r="D18" s="99"/>
      <c r="E18" s="99"/>
      <c r="F18" s="99"/>
      <c r="G18" s="9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  <c r="AA18" s="89"/>
    </row>
    <row r="19">
      <c r="A19" s="89"/>
      <c r="B19" s="98"/>
      <c r="C19" s="99"/>
      <c r="D19" s="99"/>
      <c r="E19" s="99"/>
      <c r="F19" s="99"/>
      <c r="G19" s="9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</row>
    <row r="20">
      <c r="A20" s="89"/>
      <c r="B20" s="98"/>
      <c r="C20" s="99"/>
      <c r="D20" s="99"/>
      <c r="E20" s="99"/>
      <c r="F20" s="99"/>
      <c r="G20" s="9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</row>
    <row r="21" ht="15.75" customHeight="1">
      <c r="A21" s="89"/>
      <c r="B21" s="98"/>
      <c r="C21" s="99"/>
      <c r="D21" s="99"/>
      <c r="E21" s="99"/>
      <c r="F21" s="99"/>
      <c r="G21" s="9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</row>
    <row r="22" ht="15.75" customHeight="1">
      <c r="A22" s="89"/>
      <c r="B22" s="98"/>
      <c r="C22" s="99"/>
      <c r="D22" s="99"/>
      <c r="E22" s="99"/>
      <c r="F22" s="99"/>
      <c r="G22" s="9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</row>
    <row r="23" ht="15.75" customHeight="1">
      <c r="A23" s="89"/>
      <c r="B23" s="98"/>
      <c r="C23" s="99"/>
      <c r="D23" s="99"/>
      <c r="E23" s="99"/>
      <c r="F23" s="99"/>
      <c r="G23" s="9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</row>
    <row r="24" ht="15.75" customHeight="1">
      <c r="A24" s="89"/>
      <c r="B24" s="98"/>
      <c r="C24" s="99"/>
      <c r="D24" s="99"/>
      <c r="E24" s="99"/>
      <c r="F24" s="99"/>
      <c r="G24" s="9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  <c r="AA24" s="89"/>
    </row>
    <row r="25" ht="15.75" customHeight="1">
      <c r="A25" s="89"/>
      <c r="B25" s="98"/>
      <c r="C25" s="99"/>
      <c r="D25" s="99"/>
      <c r="E25" s="99"/>
      <c r="F25" s="99"/>
      <c r="G25" s="9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</row>
    <row r="26" ht="15.75" customHeight="1">
      <c r="A26" s="89"/>
      <c r="B26" s="98"/>
      <c r="C26" s="99"/>
      <c r="D26" s="99"/>
      <c r="E26" s="99"/>
      <c r="F26" s="99"/>
      <c r="G26" s="9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  <c r="AA26" s="89"/>
    </row>
    <row r="27" ht="15.75" customHeight="1">
      <c r="A27" s="89"/>
      <c r="B27" s="98"/>
      <c r="C27" s="99"/>
      <c r="D27" s="99"/>
      <c r="E27" s="99"/>
      <c r="F27" s="99"/>
      <c r="G27" s="9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</row>
    <row r="28" ht="15.75" customHeight="1">
      <c r="A28" s="89"/>
      <c r="B28" s="98"/>
      <c r="C28" s="99"/>
      <c r="D28" s="99"/>
      <c r="E28" s="99"/>
      <c r="F28" s="99"/>
      <c r="G28" s="9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</row>
    <row r="29" ht="15.75" customHeight="1">
      <c r="A29" s="89"/>
      <c r="B29" s="98"/>
      <c r="C29" s="99"/>
      <c r="D29" s="99"/>
      <c r="E29" s="99"/>
      <c r="F29" s="99"/>
      <c r="G29" s="9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</row>
    <row r="30" ht="15.75" customHeight="1">
      <c r="A30" s="89"/>
      <c r="B30" s="98"/>
      <c r="C30" s="99"/>
      <c r="D30" s="99"/>
      <c r="E30" s="99"/>
      <c r="F30" s="99"/>
      <c r="G30" s="9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</row>
    <row r="31" ht="15.75" customHeight="1">
      <c r="A31" s="89"/>
      <c r="B31" s="98"/>
      <c r="C31" s="99"/>
      <c r="D31" s="99"/>
      <c r="E31" s="99"/>
      <c r="F31" s="99"/>
      <c r="G31" s="9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</row>
    <row r="32" ht="15.75" customHeight="1">
      <c r="A32" s="89"/>
      <c r="B32" s="98"/>
      <c r="C32" s="99"/>
      <c r="D32" s="99"/>
      <c r="E32" s="99"/>
      <c r="F32" s="99"/>
      <c r="G32" s="9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</row>
    <row r="33" ht="15.75" customHeight="1">
      <c r="A33" s="89"/>
      <c r="B33" s="98"/>
      <c r="C33" s="99"/>
      <c r="D33" s="99"/>
      <c r="E33" s="99"/>
      <c r="F33" s="99"/>
      <c r="G33" s="9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</row>
    <row r="34" ht="15.75" customHeight="1">
      <c r="A34" s="89"/>
      <c r="B34" s="98"/>
      <c r="C34" s="99"/>
      <c r="D34" s="99"/>
      <c r="E34" s="99"/>
      <c r="F34" s="99"/>
      <c r="G34" s="9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</row>
    <row r="35" ht="15.75" customHeight="1">
      <c r="A35" s="89"/>
      <c r="B35" s="98"/>
      <c r="C35" s="99"/>
      <c r="D35" s="99"/>
      <c r="E35" s="99"/>
      <c r="F35" s="99"/>
      <c r="G35" s="9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</row>
    <row r="36" ht="15.75" customHeight="1">
      <c r="A36" s="89"/>
      <c r="B36" s="98"/>
      <c r="C36" s="99"/>
      <c r="D36" s="99"/>
      <c r="E36" s="99"/>
      <c r="F36" s="99"/>
      <c r="G36" s="9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</row>
    <row r="37" ht="15.75" customHeight="1">
      <c r="A37" s="89"/>
      <c r="B37" s="98"/>
      <c r="C37" s="99"/>
      <c r="D37" s="99"/>
      <c r="E37" s="99"/>
      <c r="F37" s="99"/>
      <c r="G37" s="9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</row>
    <row r="38" ht="15.75" customHeight="1">
      <c r="A38" s="89"/>
      <c r="B38" s="98"/>
      <c r="C38" s="99"/>
      <c r="D38" s="99"/>
      <c r="E38" s="99"/>
      <c r="F38" s="99"/>
      <c r="G38" s="9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</row>
    <row r="39" ht="15.75" customHeight="1">
      <c r="A39" s="89"/>
      <c r="B39" s="98"/>
      <c r="C39" s="99"/>
      <c r="D39" s="99"/>
      <c r="E39" s="99"/>
      <c r="F39" s="99"/>
      <c r="G39" s="9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</row>
    <row r="40" ht="15.75" customHeight="1">
      <c r="A40" s="89"/>
      <c r="B40" s="98"/>
      <c r="C40" s="99"/>
      <c r="D40" s="99"/>
      <c r="E40" s="99"/>
      <c r="F40" s="99"/>
      <c r="G40" s="9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</row>
    <row r="41" ht="15.75" customHeight="1">
      <c r="A41" s="89"/>
      <c r="B41" s="98"/>
      <c r="C41" s="99"/>
      <c r="D41" s="99"/>
      <c r="E41" s="99"/>
      <c r="F41" s="99"/>
      <c r="G41" s="9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</row>
    <row r="42" ht="15.75" customHeight="1">
      <c r="A42" s="89"/>
      <c r="B42" s="98"/>
      <c r="C42" s="99"/>
      <c r="D42" s="99"/>
      <c r="E42" s="99"/>
      <c r="F42" s="99"/>
      <c r="G42" s="9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</row>
    <row r="43" ht="15.75" customHeight="1">
      <c r="A43" s="89"/>
      <c r="B43" s="98"/>
      <c r="C43" s="99"/>
      <c r="D43" s="99"/>
      <c r="E43" s="99"/>
      <c r="F43" s="99"/>
      <c r="G43" s="9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</row>
    <row r="44" ht="15.75" customHeight="1">
      <c r="A44" s="89"/>
      <c r="B44" s="98"/>
      <c r="C44" s="99"/>
      <c r="D44" s="99"/>
      <c r="E44" s="99"/>
      <c r="F44" s="99"/>
      <c r="G44" s="9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</row>
    <row r="45" ht="15.75" customHeight="1">
      <c r="A45" s="89"/>
      <c r="B45" s="98"/>
      <c r="C45" s="99"/>
      <c r="D45" s="99"/>
      <c r="E45" s="99"/>
      <c r="F45" s="99"/>
      <c r="G45" s="9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</row>
    <row r="46" ht="15.75" customHeight="1">
      <c r="A46" s="89"/>
      <c r="B46" s="100"/>
      <c r="C46" s="99"/>
      <c r="D46" s="99"/>
      <c r="E46" s="99"/>
      <c r="F46" s="99"/>
      <c r="G46" s="9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</row>
    <row r="47" ht="15.75" customHeight="1">
      <c r="A47" s="89"/>
      <c r="B47" s="100"/>
      <c r="C47" s="99"/>
      <c r="D47" s="99"/>
      <c r="E47" s="99"/>
      <c r="F47" s="99"/>
      <c r="G47" s="9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</row>
    <row r="48" ht="15.75" customHeight="1">
      <c r="A48" s="89"/>
      <c r="B48" s="100"/>
      <c r="C48" s="99"/>
      <c r="D48" s="99"/>
      <c r="E48" s="99"/>
      <c r="F48" s="99"/>
      <c r="G48" s="9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</row>
    <row r="49" ht="15.75" customHeight="1">
      <c r="A49" s="89"/>
      <c r="B49" s="100"/>
      <c r="C49" s="99"/>
      <c r="D49" s="99"/>
      <c r="E49" s="99"/>
      <c r="F49" s="99"/>
      <c r="G49" s="9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89"/>
    </row>
    <row r="50" ht="15.75" customHeight="1">
      <c r="A50" s="89"/>
      <c r="B50" s="101"/>
      <c r="C50" s="99"/>
      <c r="D50" s="99"/>
      <c r="E50" s="99"/>
      <c r="F50" s="99"/>
      <c r="G50" s="9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</row>
    <row r="51" ht="15.75" customHeight="1">
      <c r="A51" s="89"/>
      <c r="B51" s="101"/>
      <c r="C51" s="99"/>
      <c r="D51" s="99"/>
      <c r="E51" s="99"/>
      <c r="F51" s="99"/>
      <c r="G51" s="9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  <c r="AA51" s="89"/>
    </row>
    <row r="52" ht="15.75" customHeight="1">
      <c r="A52" s="89"/>
      <c r="B52" s="101"/>
      <c r="C52" s="99"/>
      <c r="D52" s="99"/>
      <c r="E52" s="99"/>
      <c r="F52" s="99"/>
      <c r="G52" s="9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</row>
    <row r="53" ht="15.75" customHeight="1">
      <c r="A53" s="89"/>
      <c r="B53" s="101"/>
      <c r="C53" s="99"/>
      <c r="D53" s="99"/>
      <c r="E53" s="99"/>
      <c r="F53" s="99"/>
      <c r="G53" s="9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</row>
    <row r="54" ht="15.75" customHeight="1">
      <c r="A54" s="89"/>
      <c r="B54" s="101"/>
      <c r="C54" s="99"/>
      <c r="D54" s="99"/>
      <c r="E54" s="99"/>
      <c r="F54" s="99"/>
      <c r="G54" s="9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</row>
    <row r="55" ht="15.75" customHeight="1">
      <c r="A55" s="89"/>
      <c r="B55" s="101"/>
      <c r="C55" s="99"/>
      <c r="D55" s="99"/>
      <c r="E55" s="99"/>
      <c r="F55" s="99"/>
      <c r="G55" s="9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  <c r="AA55" s="89"/>
    </row>
    <row r="56" ht="15.75" customHeight="1">
      <c r="A56" s="89"/>
      <c r="B56" s="101"/>
      <c r="C56" s="99"/>
      <c r="D56" s="99"/>
      <c r="E56" s="99"/>
      <c r="F56" s="99"/>
      <c r="G56" s="9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</row>
    <row r="57" ht="15.75" customHeight="1">
      <c r="A57" s="89"/>
      <c r="B57" s="101"/>
      <c r="C57" s="99"/>
      <c r="D57" s="99"/>
      <c r="E57" s="99"/>
      <c r="F57" s="99"/>
      <c r="G57" s="9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  <c r="AA57" s="89"/>
    </row>
    <row r="58" ht="15.75" customHeight="1">
      <c r="A58" s="89"/>
      <c r="B58" s="101"/>
      <c r="C58" s="99"/>
      <c r="D58" s="99"/>
      <c r="E58" s="99"/>
      <c r="F58" s="99"/>
      <c r="G58" s="9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  <c r="AA58" s="89"/>
    </row>
    <row r="59" ht="15.75" customHeight="1">
      <c r="A59" s="89"/>
      <c r="B59" s="101"/>
      <c r="C59" s="99"/>
      <c r="D59" s="99"/>
      <c r="E59" s="99"/>
      <c r="F59" s="99"/>
      <c r="G59" s="9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  <c r="AA59" s="89"/>
    </row>
    <row r="60" ht="15.75" customHeight="1">
      <c r="A60" s="89"/>
      <c r="B60" s="101"/>
      <c r="C60" s="99"/>
      <c r="D60" s="99"/>
      <c r="E60" s="99"/>
      <c r="F60" s="99"/>
      <c r="G60" s="9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  <c r="AA60" s="89"/>
    </row>
    <row r="61" ht="15.75" customHeight="1">
      <c r="A61" s="89"/>
      <c r="B61" s="101"/>
      <c r="C61" s="99"/>
      <c r="D61" s="99"/>
      <c r="E61" s="99"/>
      <c r="F61" s="99"/>
      <c r="G61" s="9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</row>
    <row r="62" ht="15.75" customHeight="1">
      <c r="A62" s="89"/>
      <c r="B62" s="101"/>
      <c r="C62" s="99"/>
      <c r="D62" s="99"/>
      <c r="E62" s="99"/>
      <c r="F62" s="99"/>
      <c r="G62" s="9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  <c r="AA62" s="89"/>
    </row>
    <row r="63" ht="15.75" customHeight="1">
      <c r="A63" s="89"/>
      <c r="B63" s="101"/>
      <c r="C63" s="99"/>
      <c r="D63" s="99"/>
      <c r="E63" s="99"/>
      <c r="F63" s="99"/>
      <c r="G63" s="9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  <c r="AA63" s="89"/>
    </row>
    <row r="64" ht="15.75" customHeight="1">
      <c r="A64" s="89"/>
      <c r="B64" s="101"/>
      <c r="C64" s="99"/>
      <c r="D64" s="99"/>
      <c r="E64" s="99"/>
      <c r="F64" s="99"/>
      <c r="G64" s="9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</row>
    <row r="65" ht="15.75" customHeight="1">
      <c r="A65" s="89"/>
      <c r="B65" s="101"/>
      <c r="C65" s="99"/>
      <c r="D65" s="99"/>
      <c r="E65" s="99"/>
      <c r="F65" s="99"/>
      <c r="G65" s="9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  <c r="AA65" s="89"/>
    </row>
    <row r="66" ht="15.75" customHeight="1">
      <c r="A66" s="89"/>
      <c r="B66" s="101"/>
      <c r="C66" s="99"/>
      <c r="D66" s="99"/>
      <c r="E66" s="99"/>
      <c r="F66" s="99"/>
      <c r="G66" s="9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  <c r="AA66" s="89"/>
    </row>
    <row r="67" ht="15.75" customHeight="1">
      <c r="A67" s="89"/>
      <c r="B67" s="101"/>
      <c r="C67" s="99"/>
      <c r="D67" s="99"/>
      <c r="E67" s="99"/>
      <c r="F67" s="99"/>
      <c r="G67" s="9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  <c r="AA67" s="89"/>
    </row>
    <row r="68" ht="15.75" customHeight="1">
      <c r="A68" s="89"/>
      <c r="B68" s="101"/>
      <c r="C68" s="99"/>
      <c r="D68" s="99"/>
      <c r="E68" s="99"/>
      <c r="F68" s="99"/>
      <c r="G68" s="9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  <c r="AA68" s="89"/>
    </row>
    <row r="69" ht="15.75" customHeight="1">
      <c r="A69" s="89"/>
      <c r="B69" s="101"/>
      <c r="C69" s="99"/>
      <c r="D69" s="99"/>
      <c r="E69" s="99"/>
      <c r="F69" s="99"/>
      <c r="G69" s="9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  <c r="AA69" s="89"/>
    </row>
    <row r="70" ht="15.75" customHeight="1">
      <c r="A70" s="89"/>
      <c r="B70" s="101"/>
      <c r="C70" s="99"/>
      <c r="D70" s="99"/>
      <c r="E70" s="99"/>
      <c r="F70" s="99"/>
      <c r="G70" s="9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  <c r="AA70" s="89"/>
    </row>
    <row r="71" ht="15.75" customHeight="1">
      <c r="A71" s="89"/>
      <c r="B71" s="101"/>
      <c r="C71" s="99"/>
      <c r="D71" s="99"/>
      <c r="E71" s="99"/>
      <c r="F71" s="99"/>
      <c r="G71" s="9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  <c r="AA71" s="89"/>
    </row>
    <row r="72" ht="15.75" customHeight="1">
      <c r="A72" s="89"/>
      <c r="B72" s="101"/>
      <c r="C72" s="99"/>
      <c r="D72" s="99"/>
      <c r="E72" s="99"/>
      <c r="F72" s="99"/>
      <c r="G72" s="9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  <c r="AA72" s="89"/>
    </row>
    <row r="73" ht="15.75" customHeight="1">
      <c r="A73" s="89"/>
      <c r="B73" s="101"/>
      <c r="C73" s="99"/>
      <c r="D73" s="99"/>
      <c r="E73" s="99"/>
      <c r="F73" s="99"/>
      <c r="G73" s="9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</row>
    <row r="74" ht="15.75" customHeight="1">
      <c r="A74" s="89"/>
      <c r="B74" s="101"/>
      <c r="C74" s="99"/>
      <c r="D74" s="99"/>
      <c r="E74" s="99"/>
      <c r="F74" s="99"/>
      <c r="G74" s="9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</row>
    <row r="75" ht="15.75" customHeight="1">
      <c r="A75" s="89"/>
      <c r="B75" s="101"/>
      <c r="C75" s="99"/>
      <c r="D75" s="99"/>
      <c r="E75" s="99"/>
      <c r="F75" s="99"/>
      <c r="G75" s="9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  <c r="AA75" s="89"/>
    </row>
    <row r="76" ht="15.75" customHeight="1">
      <c r="A76" s="89"/>
      <c r="B76" s="101"/>
      <c r="C76" s="99"/>
      <c r="D76" s="99"/>
      <c r="E76" s="99"/>
      <c r="F76" s="99"/>
      <c r="G76" s="9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  <c r="AA76" s="89"/>
    </row>
    <row r="77" ht="15.75" customHeight="1">
      <c r="A77" s="89"/>
      <c r="B77" s="101"/>
      <c r="C77" s="99"/>
      <c r="D77" s="99"/>
      <c r="E77" s="99"/>
      <c r="F77" s="99"/>
      <c r="G77" s="9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  <c r="AA77" s="89"/>
    </row>
    <row r="78" ht="15.75" customHeight="1">
      <c r="A78" s="89"/>
      <c r="B78" s="101"/>
      <c r="C78" s="99"/>
      <c r="D78" s="99"/>
      <c r="E78" s="99"/>
      <c r="F78" s="99"/>
      <c r="G78" s="9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  <c r="AA78" s="89"/>
    </row>
    <row r="79" ht="15.75" customHeight="1">
      <c r="A79" s="89"/>
      <c r="B79" s="101"/>
      <c r="C79" s="99"/>
      <c r="D79" s="99"/>
      <c r="E79" s="99"/>
      <c r="F79" s="99"/>
      <c r="G79" s="9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  <c r="AA79" s="89"/>
    </row>
    <row r="80" ht="15.75" customHeight="1">
      <c r="A80" s="89"/>
      <c r="B80" s="101"/>
      <c r="C80" s="99"/>
      <c r="D80" s="99"/>
      <c r="E80" s="99"/>
      <c r="F80" s="99"/>
      <c r="G80" s="9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</row>
    <row r="81" ht="15.75" customHeight="1">
      <c r="A81" s="89"/>
      <c r="B81" s="101"/>
      <c r="C81" s="99"/>
      <c r="D81" s="99"/>
      <c r="E81" s="99"/>
      <c r="F81" s="99"/>
      <c r="G81" s="9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</row>
    <row r="82" ht="15.75" customHeight="1">
      <c r="A82" s="89"/>
      <c r="B82" s="101"/>
      <c r="C82" s="99"/>
      <c r="D82" s="99"/>
      <c r="E82" s="99"/>
      <c r="F82" s="99"/>
      <c r="G82" s="9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</row>
    <row r="83" ht="15.75" customHeight="1">
      <c r="A83" s="89"/>
      <c r="B83" s="101"/>
      <c r="C83" s="99"/>
      <c r="D83" s="99"/>
      <c r="E83" s="99"/>
      <c r="F83" s="99"/>
      <c r="G83" s="9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  <c r="AA83" s="89"/>
    </row>
    <row r="84" ht="15.75" customHeight="1">
      <c r="A84" s="89"/>
      <c r="B84" s="101"/>
      <c r="C84" s="99"/>
      <c r="D84" s="99"/>
      <c r="E84" s="99"/>
      <c r="F84" s="99"/>
      <c r="G84" s="9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  <c r="AA84" s="89"/>
    </row>
    <row r="85" ht="15.75" customHeight="1">
      <c r="A85" s="89"/>
      <c r="B85" s="101"/>
      <c r="C85" s="99"/>
      <c r="D85" s="99"/>
      <c r="E85" s="99"/>
      <c r="F85" s="99"/>
      <c r="G85" s="9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  <c r="AA85" s="89"/>
    </row>
    <row r="86" ht="15.75" customHeight="1">
      <c r="A86" s="89"/>
      <c r="B86" s="101"/>
      <c r="C86" s="99"/>
      <c r="D86" s="99"/>
      <c r="E86" s="99"/>
      <c r="F86" s="99"/>
      <c r="G86" s="9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  <c r="AA86" s="89"/>
    </row>
    <row r="87" ht="15.75" customHeight="1">
      <c r="A87" s="89"/>
      <c r="B87" s="101"/>
      <c r="C87" s="99"/>
      <c r="D87" s="99"/>
      <c r="E87" s="99"/>
      <c r="F87" s="99"/>
      <c r="G87" s="9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  <c r="AA87" s="89"/>
    </row>
    <row r="88" ht="15.75" customHeight="1">
      <c r="A88" s="89"/>
      <c r="B88" s="101"/>
      <c r="C88" s="99"/>
      <c r="D88" s="99"/>
      <c r="E88" s="99"/>
      <c r="F88" s="99"/>
      <c r="G88" s="9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  <c r="AA88" s="89"/>
    </row>
    <row r="89" ht="15.75" customHeight="1">
      <c r="A89" s="89"/>
      <c r="B89" s="101"/>
      <c r="C89" s="99"/>
      <c r="D89" s="99"/>
      <c r="E89" s="99"/>
      <c r="F89" s="99"/>
      <c r="G89" s="9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</row>
    <row r="90" ht="15.75" customHeight="1">
      <c r="A90" s="89"/>
      <c r="B90" s="101"/>
      <c r="C90" s="99"/>
      <c r="D90" s="99"/>
      <c r="E90" s="99"/>
      <c r="F90" s="99"/>
      <c r="G90" s="9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  <c r="AA90" s="89"/>
    </row>
    <row r="91" ht="15.75" customHeight="1">
      <c r="A91" s="89"/>
      <c r="B91" s="101"/>
      <c r="C91" s="99"/>
      <c r="D91" s="99"/>
      <c r="E91" s="99"/>
      <c r="F91" s="99"/>
      <c r="G91" s="9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  <c r="AA91" s="89"/>
    </row>
    <row r="92" ht="15.75" customHeight="1">
      <c r="A92" s="89"/>
      <c r="B92" s="101"/>
      <c r="C92" s="99"/>
      <c r="D92" s="99"/>
      <c r="E92" s="99"/>
      <c r="F92" s="99"/>
      <c r="G92" s="9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  <c r="AA92" s="89"/>
    </row>
    <row r="93" ht="15.75" customHeight="1">
      <c r="A93" s="89"/>
      <c r="B93" s="101"/>
      <c r="C93" s="99"/>
      <c r="D93" s="99"/>
      <c r="E93" s="99"/>
      <c r="F93" s="99"/>
      <c r="G93" s="9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  <c r="AA93" s="89"/>
    </row>
    <row r="94" ht="15.75" customHeight="1">
      <c r="A94" s="89"/>
      <c r="B94" s="101"/>
      <c r="C94" s="99"/>
      <c r="D94" s="99"/>
      <c r="E94" s="99"/>
      <c r="F94" s="99"/>
      <c r="G94" s="9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  <c r="AA94" s="89"/>
    </row>
    <row r="95" ht="15.75" customHeight="1">
      <c r="A95" s="89"/>
      <c r="B95" s="101"/>
      <c r="C95" s="99"/>
      <c r="D95" s="99"/>
      <c r="E95" s="99"/>
      <c r="F95" s="99"/>
      <c r="G95" s="9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  <c r="AA95" s="89"/>
    </row>
    <row r="96" ht="15.75" customHeight="1">
      <c r="A96" s="89"/>
      <c r="B96" s="101"/>
      <c r="C96" s="99"/>
      <c r="D96" s="99"/>
      <c r="E96" s="99"/>
      <c r="F96" s="99"/>
      <c r="G96" s="9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  <c r="AA96" s="89"/>
    </row>
    <row r="97" ht="15.75" customHeight="1">
      <c r="A97" s="89"/>
      <c r="B97" s="101"/>
      <c r="C97" s="99"/>
      <c r="D97" s="99"/>
      <c r="E97" s="99"/>
      <c r="F97" s="99"/>
      <c r="G97" s="9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  <c r="AA97" s="89"/>
    </row>
    <row r="98" ht="15.75" customHeight="1">
      <c r="A98" s="89"/>
      <c r="B98" s="101"/>
      <c r="C98" s="99"/>
      <c r="D98" s="99"/>
      <c r="E98" s="99"/>
      <c r="F98" s="99"/>
      <c r="G98" s="9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  <c r="AA98" s="89"/>
    </row>
    <row r="99" ht="15.75" customHeight="1">
      <c r="A99" s="89"/>
      <c r="B99" s="101"/>
      <c r="C99" s="99"/>
      <c r="D99" s="99"/>
      <c r="E99" s="99"/>
      <c r="F99" s="99"/>
      <c r="G99" s="9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  <c r="AA99" s="89"/>
    </row>
    <row r="100" ht="15.75" customHeight="1">
      <c r="A100" s="89"/>
      <c r="B100" s="101"/>
      <c r="C100" s="99"/>
      <c r="D100" s="99"/>
      <c r="E100" s="99"/>
      <c r="F100" s="99"/>
      <c r="G100" s="9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  <c r="AA100" s="89"/>
    </row>
    <row r="101" ht="15.75" customHeight="1">
      <c r="A101" s="89"/>
      <c r="B101" s="101"/>
      <c r="C101" s="99"/>
      <c r="D101" s="99"/>
      <c r="E101" s="99"/>
      <c r="F101" s="99"/>
      <c r="G101" s="9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  <c r="AA101" s="89"/>
    </row>
    <row r="102" ht="15.75" customHeight="1">
      <c r="A102" s="89"/>
      <c r="B102" s="101"/>
      <c r="C102" s="99"/>
      <c r="D102" s="99"/>
      <c r="E102" s="99"/>
      <c r="F102" s="99"/>
      <c r="G102" s="9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  <c r="AA102" s="89"/>
    </row>
    <row r="103" ht="15.75" customHeight="1">
      <c r="A103" s="89"/>
      <c r="B103" s="101"/>
      <c r="C103" s="99"/>
      <c r="D103" s="99"/>
      <c r="E103" s="99"/>
      <c r="F103" s="99"/>
      <c r="G103" s="9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  <c r="AA103" s="89"/>
    </row>
    <row r="104" ht="15.75" customHeight="1">
      <c r="A104" s="89"/>
      <c r="B104" s="101"/>
      <c r="C104" s="99"/>
      <c r="D104" s="99"/>
      <c r="E104" s="99"/>
      <c r="F104" s="99"/>
      <c r="G104" s="9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  <c r="AA104" s="89"/>
    </row>
    <row r="105" ht="15.75" customHeight="1">
      <c r="A105" s="89"/>
      <c r="B105" s="101"/>
      <c r="C105" s="99"/>
      <c r="D105" s="99"/>
      <c r="E105" s="99"/>
      <c r="F105" s="99"/>
      <c r="G105" s="9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  <c r="AA105" s="89"/>
    </row>
    <row r="106" ht="15.75" customHeight="1">
      <c r="A106" s="89"/>
      <c r="B106" s="101"/>
      <c r="C106" s="99"/>
      <c r="D106" s="99"/>
      <c r="E106" s="99"/>
      <c r="F106" s="99"/>
      <c r="G106" s="9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  <c r="AA106" s="89"/>
    </row>
    <row r="107" ht="15.75" customHeight="1">
      <c r="A107" s="89"/>
      <c r="B107" s="101"/>
      <c r="C107" s="99"/>
      <c r="D107" s="99"/>
      <c r="E107" s="99"/>
      <c r="F107" s="99"/>
      <c r="G107" s="9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  <c r="AA107" s="89"/>
    </row>
    <row r="108" ht="15.75" customHeight="1">
      <c r="A108" s="89"/>
      <c r="B108" s="101"/>
      <c r="C108" s="99"/>
      <c r="D108" s="99"/>
      <c r="E108" s="99"/>
      <c r="F108" s="99"/>
      <c r="G108" s="9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  <c r="AA108" s="89"/>
    </row>
    <row r="109" ht="15.75" customHeight="1">
      <c r="A109" s="89"/>
      <c r="B109" s="101"/>
      <c r="C109" s="99"/>
      <c r="D109" s="99"/>
      <c r="E109" s="99"/>
      <c r="F109" s="99"/>
      <c r="G109" s="9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  <c r="AA109" s="89"/>
    </row>
    <row r="110" ht="15.75" customHeight="1">
      <c r="A110" s="89"/>
      <c r="B110" s="101"/>
      <c r="C110" s="99"/>
      <c r="D110" s="99"/>
      <c r="E110" s="99"/>
      <c r="F110" s="99"/>
      <c r="G110" s="9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  <c r="AA110" s="89"/>
    </row>
    <row r="111" ht="15.75" customHeight="1">
      <c r="A111" s="89"/>
      <c r="B111" s="101"/>
      <c r="C111" s="99"/>
      <c r="D111" s="99"/>
      <c r="E111" s="99"/>
      <c r="F111" s="99"/>
      <c r="G111" s="9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  <c r="AA111" s="89"/>
    </row>
    <row r="112" ht="15.75" customHeight="1">
      <c r="A112" s="89"/>
      <c r="B112" s="101"/>
      <c r="C112" s="99"/>
      <c r="D112" s="99"/>
      <c r="E112" s="99"/>
      <c r="F112" s="99"/>
      <c r="G112" s="9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89"/>
    </row>
    <row r="113" ht="15.75" customHeight="1">
      <c r="A113" s="89"/>
      <c r="B113" s="101"/>
      <c r="C113" s="99"/>
      <c r="D113" s="99"/>
      <c r="E113" s="99"/>
      <c r="F113" s="99"/>
      <c r="G113" s="9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  <c r="AA113" s="89"/>
    </row>
    <row r="114" ht="15.75" customHeight="1">
      <c r="A114" s="89"/>
      <c r="B114" s="101"/>
      <c r="C114" s="99"/>
      <c r="D114" s="99"/>
      <c r="E114" s="99"/>
      <c r="F114" s="99"/>
      <c r="G114" s="9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  <c r="AA114" s="89"/>
    </row>
    <row r="115" ht="15.75" customHeight="1">
      <c r="A115" s="89"/>
      <c r="B115" s="101"/>
      <c r="C115" s="99"/>
      <c r="D115" s="99"/>
      <c r="E115" s="99"/>
      <c r="F115" s="99"/>
      <c r="G115" s="9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  <c r="AA115" s="89"/>
    </row>
    <row r="116" ht="15.75" customHeight="1">
      <c r="A116" s="89"/>
      <c r="B116" s="101"/>
      <c r="C116" s="99"/>
      <c r="D116" s="99"/>
      <c r="E116" s="99"/>
      <c r="F116" s="99"/>
      <c r="G116" s="9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  <c r="AA116" s="89"/>
    </row>
    <row r="117" ht="15.75" customHeight="1">
      <c r="A117" s="89"/>
      <c r="B117" s="101"/>
      <c r="C117" s="99"/>
      <c r="D117" s="99"/>
      <c r="E117" s="99"/>
      <c r="F117" s="99"/>
      <c r="G117" s="9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  <c r="AA117" s="89"/>
    </row>
    <row r="118" ht="15.75" customHeight="1">
      <c r="A118" s="89"/>
      <c r="B118" s="101"/>
      <c r="C118" s="99"/>
      <c r="D118" s="99"/>
      <c r="E118" s="99"/>
      <c r="F118" s="99"/>
      <c r="G118" s="9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  <c r="AA118" s="89"/>
    </row>
    <row r="119" ht="15.75" customHeight="1">
      <c r="A119" s="89"/>
      <c r="B119" s="101"/>
      <c r="C119" s="99"/>
      <c r="D119" s="99"/>
      <c r="E119" s="99"/>
      <c r="F119" s="99"/>
      <c r="G119" s="9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  <c r="AA119" s="89"/>
    </row>
    <row r="120" ht="15.75" customHeight="1">
      <c r="A120" s="89"/>
      <c r="B120" s="101"/>
      <c r="C120" s="99"/>
      <c r="D120" s="99"/>
      <c r="E120" s="99"/>
      <c r="F120" s="99"/>
      <c r="G120" s="9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  <c r="AA120" s="89"/>
    </row>
    <row r="121" ht="15.75" customHeight="1">
      <c r="A121" s="89"/>
      <c r="B121" s="101"/>
      <c r="C121" s="99"/>
      <c r="D121" s="99"/>
      <c r="E121" s="99"/>
      <c r="F121" s="99"/>
      <c r="G121" s="9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  <c r="AA121" s="89"/>
    </row>
    <row r="122" ht="15.75" customHeight="1">
      <c r="A122" s="89"/>
      <c r="B122" s="101"/>
      <c r="C122" s="99"/>
      <c r="D122" s="99"/>
      <c r="E122" s="99"/>
      <c r="F122" s="99"/>
      <c r="G122" s="9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  <c r="AA122" s="89"/>
    </row>
    <row r="123" ht="15.75" customHeight="1">
      <c r="A123" s="89"/>
      <c r="B123" s="101"/>
      <c r="C123" s="99"/>
      <c r="D123" s="99"/>
      <c r="E123" s="99"/>
      <c r="F123" s="99"/>
      <c r="G123" s="9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</row>
    <row r="124" ht="15.75" customHeight="1">
      <c r="A124" s="89"/>
      <c r="B124" s="101"/>
      <c r="C124" s="99"/>
      <c r="D124" s="99"/>
      <c r="E124" s="99"/>
      <c r="F124" s="99"/>
      <c r="G124" s="9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  <c r="AA124" s="89"/>
    </row>
    <row r="125" ht="15.75" customHeight="1">
      <c r="A125" s="89"/>
      <c r="B125" s="101"/>
      <c r="C125" s="99"/>
      <c r="D125" s="99"/>
      <c r="E125" s="99"/>
      <c r="F125" s="99"/>
      <c r="G125" s="9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  <c r="AA125" s="89"/>
    </row>
    <row r="126" ht="15.75" customHeight="1">
      <c r="A126" s="89"/>
      <c r="B126" s="101"/>
      <c r="C126" s="99"/>
      <c r="D126" s="99"/>
      <c r="E126" s="99"/>
      <c r="F126" s="99"/>
      <c r="G126" s="9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  <c r="AA126" s="89"/>
    </row>
    <row r="127" ht="15.75" customHeight="1">
      <c r="A127" s="89"/>
      <c r="B127" s="101"/>
      <c r="C127" s="99"/>
      <c r="D127" s="99"/>
      <c r="E127" s="99"/>
      <c r="F127" s="99"/>
      <c r="G127" s="9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  <c r="AA127" s="89"/>
    </row>
    <row r="128" ht="15.75" customHeight="1">
      <c r="A128" s="89"/>
      <c r="B128" s="101"/>
      <c r="C128" s="99"/>
      <c r="D128" s="99"/>
      <c r="E128" s="99"/>
      <c r="F128" s="99"/>
      <c r="G128" s="9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  <c r="AA128" s="89"/>
    </row>
    <row r="129" ht="15.75" customHeight="1">
      <c r="A129" s="89"/>
      <c r="B129" s="101"/>
      <c r="C129" s="99"/>
      <c r="D129" s="99"/>
      <c r="E129" s="99"/>
      <c r="F129" s="99"/>
      <c r="G129" s="9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  <c r="AA129" s="89"/>
    </row>
    <row r="130" ht="15.75" customHeight="1">
      <c r="A130" s="89"/>
      <c r="B130" s="101"/>
      <c r="C130" s="99"/>
      <c r="D130" s="99"/>
      <c r="E130" s="99"/>
      <c r="F130" s="99"/>
      <c r="G130" s="9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  <c r="AA130" s="89"/>
    </row>
    <row r="131" ht="15.75" customHeight="1">
      <c r="A131" s="89"/>
      <c r="B131" s="101"/>
      <c r="C131" s="99"/>
      <c r="D131" s="99"/>
      <c r="E131" s="99"/>
      <c r="F131" s="99"/>
      <c r="G131" s="9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  <c r="AA131" s="89"/>
    </row>
    <row r="132" ht="15.75" customHeight="1">
      <c r="A132" s="89"/>
      <c r="B132" s="101"/>
      <c r="C132" s="99"/>
      <c r="D132" s="99"/>
      <c r="E132" s="99"/>
      <c r="F132" s="99"/>
      <c r="G132" s="9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  <c r="AA132" s="89"/>
    </row>
    <row r="133" ht="15.75" customHeight="1">
      <c r="A133" s="89"/>
      <c r="B133" s="101"/>
      <c r="C133" s="99"/>
      <c r="D133" s="99"/>
      <c r="E133" s="99"/>
      <c r="F133" s="99"/>
      <c r="G133" s="9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  <c r="AA133" s="89"/>
    </row>
    <row r="134" ht="15.75" customHeight="1">
      <c r="A134" s="89"/>
      <c r="B134" s="101"/>
      <c r="C134" s="99"/>
      <c r="D134" s="99"/>
      <c r="E134" s="99"/>
      <c r="F134" s="99"/>
      <c r="G134" s="9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  <c r="AA134" s="89"/>
    </row>
    <row r="135" ht="15.75" customHeight="1">
      <c r="A135" s="89"/>
      <c r="B135" s="101"/>
      <c r="C135" s="99"/>
      <c r="D135" s="99"/>
      <c r="E135" s="99"/>
      <c r="F135" s="99"/>
      <c r="G135" s="9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  <c r="AA135" s="89"/>
    </row>
    <row r="136" ht="15.75" customHeight="1">
      <c r="A136" s="89"/>
      <c r="B136" s="101"/>
      <c r="C136" s="99"/>
      <c r="D136" s="99"/>
      <c r="E136" s="99"/>
      <c r="F136" s="99"/>
      <c r="G136" s="9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  <c r="AA136" s="89"/>
    </row>
    <row r="137" ht="15.75" customHeight="1">
      <c r="A137" s="89"/>
      <c r="B137" s="101"/>
      <c r="C137" s="99"/>
      <c r="D137" s="99"/>
      <c r="E137" s="99"/>
      <c r="F137" s="99"/>
      <c r="G137" s="9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  <c r="AA137" s="89"/>
    </row>
    <row r="138" ht="15.75" customHeight="1">
      <c r="A138" s="89"/>
      <c r="B138" s="101"/>
      <c r="C138" s="99"/>
      <c r="D138" s="99"/>
      <c r="E138" s="99"/>
      <c r="F138" s="99"/>
      <c r="G138" s="9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  <c r="AA138" s="89"/>
    </row>
    <row r="139" ht="15.75" customHeight="1">
      <c r="A139" s="89"/>
      <c r="B139" s="101"/>
      <c r="C139" s="99"/>
      <c r="D139" s="99"/>
      <c r="E139" s="99"/>
      <c r="F139" s="99"/>
      <c r="G139" s="9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  <c r="AA139" s="89"/>
    </row>
    <row r="140" ht="15.75" customHeight="1">
      <c r="A140" s="89"/>
      <c r="B140" s="101"/>
      <c r="C140" s="99"/>
      <c r="D140" s="99"/>
      <c r="E140" s="99"/>
      <c r="F140" s="99"/>
      <c r="G140" s="9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  <c r="AA140" s="89"/>
    </row>
    <row r="141" ht="15.75" customHeight="1">
      <c r="A141" s="89"/>
      <c r="B141" s="101"/>
      <c r="C141" s="91"/>
      <c r="D141" s="91"/>
      <c r="E141" s="91"/>
      <c r="F141" s="91"/>
      <c r="G141" s="91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  <c r="AA141" s="89"/>
    </row>
    <row r="142" ht="15.75" customHeight="1">
      <c r="A142" s="89"/>
      <c r="B142" s="101"/>
      <c r="C142" s="91"/>
      <c r="D142" s="91"/>
      <c r="E142" s="91"/>
      <c r="F142" s="91"/>
      <c r="G142" s="91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  <c r="AA142" s="89"/>
    </row>
    <row r="143" ht="15.75" customHeight="1">
      <c r="A143" s="89"/>
      <c r="B143" s="101"/>
      <c r="C143" s="91"/>
      <c r="D143" s="91"/>
      <c r="E143" s="91"/>
      <c r="F143" s="91"/>
      <c r="G143" s="91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  <c r="AA143" s="89"/>
    </row>
    <row r="144" ht="15.75" customHeight="1">
      <c r="A144" s="89"/>
      <c r="B144" s="101"/>
      <c r="C144" s="91"/>
      <c r="D144" s="91"/>
      <c r="E144" s="91"/>
      <c r="F144" s="91"/>
      <c r="G144" s="91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  <c r="AA144" s="89"/>
    </row>
    <row r="145" ht="15.75" customHeight="1">
      <c r="A145" s="89"/>
      <c r="B145" s="101"/>
      <c r="C145" s="91"/>
      <c r="D145" s="91"/>
      <c r="E145" s="91"/>
      <c r="F145" s="91"/>
      <c r="G145" s="91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  <c r="AA145" s="89"/>
    </row>
    <row r="146" ht="15.75" customHeight="1">
      <c r="A146" s="89"/>
      <c r="B146" s="101"/>
      <c r="C146" s="91"/>
      <c r="D146" s="91"/>
      <c r="E146" s="91"/>
      <c r="F146" s="91"/>
      <c r="G146" s="91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  <c r="AA146" s="89"/>
    </row>
    <row r="147" ht="15.75" customHeight="1">
      <c r="A147" s="89"/>
      <c r="B147" s="101"/>
      <c r="C147" s="91"/>
      <c r="D147" s="91"/>
      <c r="E147" s="91"/>
      <c r="F147" s="91"/>
      <c r="G147" s="91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  <c r="AA147" s="89"/>
    </row>
    <row r="148" ht="15.75" customHeight="1">
      <c r="A148" s="89"/>
      <c r="B148" s="101"/>
      <c r="C148" s="91"/>
      <c r="D148" s="91"/>
      <c r="E148" s="91"/>
      <c r="F148" s="91"/>
      <c r="G148" s="91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  <c r="AA148" s="89"/>
    </row>
    <row r="149" ht="15.75" customHeight="1">
      <c r="A149" s="89"/>
      <c r="B149" s="101"/>
      <c r="C149" s="91"/>
      <c r="D149" s="91"/>
      <c r="E149" s="91"/>
      <c r="F149" s="91"/>
      <c r="G149" s="91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  <c r="AA149" s="89"/>
    </row>
    <row r="150" ht="15.75" customHeight="1">
      <c r="A150" s="89"/>
      <c r="B150" s="101"/>
      <c r="C150" s="91"/>
      <c r="D150" s="91"/>
      <c r="E150" s="91"/>
      <c r="F150" s="91"/>
      <c r="G150" s="91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  <c r="AA150" s="89"/>
    </row>
    <row r="151" ht="15.75" customHeight="1">
      <c r="A151" s="89"/>
      <c r="B151" s="101"/>
      <c r="C151" s="91"/>
      <c r="D151" s="91"/>
      <c r="E151" s="91"/>
      <c r="F151" s="91"/>
      <c r="G151" s="91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  <c r="AA151" s="89"/>
    </row>
    <row r="152" ht="15.75" customHeight="1">
      <c r="A152" s="89"/>
      <c r="B152" s="101"/>
      <c r="C152" s="91"/>
      <c r="D152" s="91"/>
      <c r="E152" s="91"/>
      <c r="F152" s="91"/>
      <c r="G152" s="91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  <c r="AA152" s="89"/>
    </row>
    <row r="153" ht="15.75" customHeight="1">
      <c r="A153" s="89"/>
      <c r="B153" s="101"/>
      <c r="C153" s="91"/>
      <c r="D153" s="91"/>
      <c r="E153" s="91"/>
      <c r="F153" s="91"/>
      <c r="G153" s="91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  <c r="AA153" s="89"/>
    </row>
    <row r="154" ht="15.75" customHeight="1">
      <c r="A154" s="89"/>
      <c r="B154" s="101"/>
      <c r="C154" s="91"/>
      <c r="D154" s="91"/>
      <c r="E154" s="91"/>
      <c r="F154" s="91"/>
      <c r="G154" s="91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  <c r="AA154" s="89"/>
    </row>
    <row r="155" ht="15.75" customHeight="1">
      <c r="A155" s="89"/>
      <c r="B155" s="101"/>
      <c r="C155" s="91"/>
      <c r="D155" s="91"/>
      <c r="E155" s="91"/>
      <c r="F155" s="91"/>
      <c r="G155" s="91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  <c r="AA155" s="89"/>
    </row>
    <row r="156" ht="15.75" customHeight="1">
      <c r="A156" s="89"/>
      <c r="B156" s="101"/>
      <c r="C156" s="91"/>
      <c r="D156" s="91"/>
      <c r="E156" s="91"/>
      <c r="F156" s="91"/>
      <c r="G156" s="91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  <c r="AA156" s="89"/>
    </row>
    <row r="157" ht="15.75" customHeight="1">
      <c r="A157" s="89"/>
      <c r="B157" s="101"/>
      <c r="C157" s="91"/>
      <c r="D157" s="91"/>
      <c r="E157" s="91"/>
      <c r="F157" s="91"/>
      <c r="G157" s="91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  <c r="AA157" s="89"/>
    </row>
    <row r="158" ht="15.75" customHeight="1">
      <c r="A158" s="89"/>
      <c r="B158" s="101"/>
      <c r="C158" s="91"/>
      <c r="D158" s="91"/>
      <c r="E158" s="91"/>
      <c r="F158" s="91"/>
      <c r="G158" s="91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  <c r="AA158" s="89"/>
    </row>
    <row r="159" ht="15.75" customHeight="1">
      <c r="A159" s="89"/>
      <c r="B159" s="101"/>
      <c r="C159" s="91"/>
      <c r="D159" s="91"/>
      <c r="E159" s="91"/>
      <c r="F159" s="91"/>
      <c r="G159" s="91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  <c r="AA159" s="89"/>
    </row>
    <row r="160" ht="15.75" customHeight="1">
      <c r="A160" s="89"/>
      <c r="B160" s="101"/>
      <c r="C160" s="91"/>
      <c r="D160" s="91"/>
      <c r="E160" s="91"/>
      <c r="F160" s="91"/>
      <c r="G160" s="91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  <c r="AA160" s="89"/>
    </row>
    <row r="161" ht="15.75" customHeight="1">
      <c r="A161" s="89"/>
      <c r="B161" s="101"/>
      <c r="C161" s="91"/>
      <c r="D161" s="91"/>
      <c r="E161" s="91"/>
      <c r="F161" s="91"/>
      <c r="G161" s="91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  <c r="AA161" s="89"/>
    </row>
    <row r="162" ht="15.75" customHeight="1">
      <c r="A162" s="89"/>
      <c r="B162" s="101"/>
      <c r="C162" s="91"/>
      <c r="D162" s="91"/>
      <c r="E162" s="91"/>
      <c r="F162" s="91"/>
      <c r="G162" s="91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  <c r="AA162" s="89"/>
    </row>
    <row r="163" ht="15.75" customHeight="1">
      <c r="A163" s="89"/>
      <c r="B163" s="101"/>
      <c r="C163" s="91"/>
      <c r="D163" s="91"/>
      <c r="E163" s="91"/>
      <c r="F163" s="91"/>
      <c r="G163" s="91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  <c r="AA163" s="89"/>
    </row>
    <row r="164" ht="15.75" customHeight="1">
      <c r="A164" s="89"/>
      <c r="B164" s="101"/>
      <c r="C164" s="91"/>
      <c r="D164" s="91"/>
      <c r="E164" s="91"/>
      <c r="F164" s="91"/>
      <c r="G164" s="91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  <c r="AA164" s="89"/>
    </row>
    <row r="165" ht="15.75" customHeight="1">
      <c r="A165" s="89"/>
      <c r="B165" s="101"/>
      <c r="C165" s="91"/>
      <c r="D165" s="91"/>
      <c r="E165" s="91"/>
      <c r="F165" s="91"/>
      <c r="G165" s="91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  <c r="AA165" s="89"/>
    </row>
    <row r="166" ht="15.75" customHeight="1">
      <c r="A166" s="89"/>
      <c r="B166" s="101"/>
      <c r="C166" s="91"/>
      <c r="D166" s="91"/>
      <c r="E166" s="91"/>
      <c r="F166" s="91"/>
      <c r="G166" s="91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  <c r="AA166" s="89"/>
    </row>
    <row r="167" ht="15.75" customHeight="1">
      <c r="A167" s="89"/>
      <c r="B167" s="101"/>
      <c r="C167" s="91"/>
      <c r="D167" s="91"/>
      <c r="E167" s="91"/>
      <c r="F167" s="91"/>
      <c r="G167" s="91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  <c r="AA167" s="89"/>
    </row>
    <row r="168" ht="15.75" customHeight="1">
      <c r="A168" s="89"/>
      <c r="B168" s="101"/>
      <c r="C168" s="91"/>
      <c r="D168" s="91"/>
      <c r="E168" s="91"/>
      <c r="F168" s="91"/>
      <c r="G168" s="91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  <c r="AA168" s="89"/>
    </row>
    <row r="169" ht="15.75" customHeight="1">
      <c r="A169" s="89"/>
      <c r="B169" s="101"/>
      <c r="C169" s="91"/>
      <c r="D169" s="91"/>
      <c r="E169" s="91"/>
      <c r="F169" s="91"/>
      <c r="G169" s="91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  <c r="AA169" s="89"/>
    </row>
    <row r="170" ht="15.75" customHeight="1">
      <c r="A170" s="89"/>
      <c r="B170" s="101"/>
      <c r="C170" s="91"/>
      <c r="D170" s="91"/>
      <c r="E170" s="91"/>
      <c r="F170" s="91"/>
      <c r="G170" s="91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  <c r="AA170" s="89"/>
    </row>
    <row r="171" ht="15.75" customHeight="1">
      <c r="A171" s="89"/>
      <c r="B171" s="101"/>
      <c r="C171" s="91"/>
      <c r="D171" s="91"/>
      <c r="E171" s="91"/>
      <c r="F171" s="91"/>
      <c r="G171" s="91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  <c r="AA171" s="89"/>
    </row>
    <row r="172" ht="15.75" customHeight="1">
      <c r="A172" s="89"/>
      <c r="B172" s="101"/>
      <c r="C172" s="91"/>
      <c r="D172" s="91"/>
      <c r="E172" s="91"/>
      <c r="F172" s="91"/>
      <c r="G172" s="91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  <c r="AA172" s="89"/>
    </row>
    <row r="173" ht="15.75" customHeight="1">
      <c r="A173" s="89"/>
      <c r="B173" s="101"/>
      <c r="C173" s="91"/>
      <c r="D173" s="91"/>
      <c r="E173" s="91"/>
      <c r="F173" s="91"/>
      <c r="G173" s="91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  <c r="AA173" s="89"/>
    </row>
    <row r="174" ht="15.75" customHeight="1">
      <c r="A174" s="89"/>
      <c r="B174" s="101"/>
      <c r="C174" s="91"/>
      <c r="D174" s="91"/>
      <c r="E174" s="91"/>
      <c r="F174" s="91"/>
      <c r="G174" s="91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</row>
    <row r="175" ht="15.75" customHeight="1">
      <c r="A175" s="89"/>
      <c r="B175" s="101"/>
      <c r="C175" s="91"/>
      <c r="D175" s="91"/>
      <c r="E175" s="91"/>
      <c r="F175" s="91"/>
      <c r="G175" s="91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  <c r="AA175" s="89"/>
    </row>
    <row r="176" ht="15.75" customHeight="1">
      <c r="A176" s="89"/>
      <c r="B176" s="101"/>
      <c r="C176" s="91"/>
      <c r="D176" s="91"/>
      <c r="E176" s="91"/>
      <c r="F176" s="91"/>
      <c r="G176" s="91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  <c r="AA176" s="89"/>
    </row>
    <row r="177" ht="15.75" customHeight="1">
      <c r="A177" s="89"/>
      <c r="B177" s="101"/>
      <c r="C177" s="91"/>
      <c r="D177" s="91"/>
      <c r="E177" s="91"/>
      <c r="F177" s="91"/>
      <c r="G177" s="91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  <c r="AA177" s="89"/>
    </row>
    <row r="178" ht="15.75" customHeight="1">
      <c r="A178" s="89"/>
      <c r="B178" s="101"/>
      <c r="C178" s="91"/>
      <c r="D178" s="91"/>
      <c r="E178" s="91"/>
      <c r="F178" s="91"/>
      <c r="G178" s="91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  <c r="AA178" s="89"/>
    </row>
    <row r="179" ht="15.75" customHeight="1">
      <c r="A179" s="89"/>
      <c r="B179" s="101"/>
      <c r="C179" s="91"/>
      <c r="D179" s="91"/>
      <c r="E179" s="91"/>
      <c r="F179" s="91"/>
      <c r="G179" s="91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  <c r="AA179" s="89"/>
    </row>
    <row r="180" ht="15.75" customHeight="1">
      <c r="A180" s="89"/>
      <c r="B180" s="101"/>
      <c r="C180" s="91"/>
      <c r="D180" s="91"/>
      <c r="E180" s="91"/>
      <c r="F180" s="91"/>
      <c r="G180" s="91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  <c r="AA180" s="89"/>
    </row>
    <row r="181" ht="15.75" customHeight="1">
      <c r="A181" s="89"/>
      <c r="B181" s="101"/>
      <c r="C181" s="91"/>
      <c r="D181" s="91"/>
      <c r="E181" s="91"/>
      <c r="F181" s="91"/>
      <c r="G181" s="91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  <c r="AA181" s="89"/>
    </row>
    <row r="182" ht="15.75" customHeight="1">
      <c r="A182" s="89"/>
      <c r="B182" s="101"/>
      <c r="C182" s="91"/>
      <c r="D182" s="91"/>
      <c r="E182" s="91"/>
      <c r="F182" s="91"/>
      <c r="G182" s="91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  <c r="AA182" s="89"/>
    </row>
    <row r="183" ht="15.75" customHeight="1">
      <c r="A183" s="89"/>
      <c r="B183" s="101"/>
      <c r="C183" s="91"/>
      <c r="D183" s="91"/>
      <c r="E183" s="91"/>
      <c r="F183" s="91"/>
      <c r="G183" s="91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  <c r="AA183" s="89"/>
    </row>
    <row r="184" ht="15.75" customHeight="1">
      <c r="A184" s="89"/>
      <c r="B184" s="101"/>
      <c r="C184" s="91"/>
      <c r="D184" s="91"/>
      <c r="E184" s="91"/>
      <c r="F184" s="91"/>
      <c r="G184" s="91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  <c r="AA184" s="89"/>
    </row>
    <row r="185" ht="15.75" customHeight="1">
      <c r="A185" s="89"/>
      <c r="B185" s="101"/>
      <c r="C185" s="91"/>
      <c r="D185" s="91"/>
      <c r="E185" s="91"/>
      <c r="F185" s="91"/>
      <c r="G185" s="91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  <c r="AA185" s="89"/>
    </row>
    <row r="186" ht="15.75" customHeight="1">
      <c r="A186" s="89"/>
      <c r="B186" s="101"/>
      <c r="C186" s="91"/>
      <c r="D186" s="91"/>
      <c r="E186" s="91"/>
      <c r="F186" s="91"/>
      <c r="G186" s="91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  <c r="AA186" s="89"/>
    </row>
    <row r="187" ht="15.75" customHeight="1">
      <c r="A187" s="89"/>
      <c r="B187" s="101"/>
      <c r="C187" s="91"/>
      <c r="D187" s="91"/>
      <c r="E187" s="91"/>
      <c r="F187" s="91"/>
      <c r="G187" s="91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  <c r="AA187" s="89"/>
    </row>
    <row r="188" ht="15.75" customHeight="1">
      <c r="A188" s="89"/>
      <c r="B188" s="101"/>
      <c r="C188" s="91"/>
      <c r="D188" s="91"/>
      <c r="E188" s="91"/>
      <c r="F188" s="91"/>
      <c r="G188" s="91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  <c r="AA188" s="89"/>
    </row>
    <row r="189" ht="15.75" customHeight="1">
      <c r="A189" s="89"/>
      <c r="B189" s="101"/>
      <c r="C189" s="91"/>
      <c r="D189" s="91"/>
      <c r="E189" s="91"/>
      <c r="F189" s="91"/>
      <c r="G189" s="91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  <c r="AA189" s="89"/>
    </row>
    <row r="190" ht="15.75" customHeight="1">
      <c r="A190" s="89"/>
      <c r="B190" s="101"/>
      <c r="C190" s="91"/>
      <c r="D190" s="91"/>
      <c r="E190" s="91"/>
      <c r="F190" s="91"/>
      <c r="G190" s="91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  <c r="AA190" s="89"/>
    </row>
    <row r="191" ht="15.75" customHeight="1">
      <c r="A191" s="89"/>
      <c r="B191" s="101"/>
      <c r="C191" s="91"/>
      <c r="D191" s="91"/>
      <c r="E191" s="91"/>
      <c r="F191" s="91"/>
      <c r="G191" s="91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  <c r="AA191" s="89"/>
    </row>
    <row r="192" ht="15.75" customHeight="1">
      <c r="A192" s="92"/>
      <c r="B192" s="101"/>
      <c r="C192" s="102"/>
      <c r="D192" s="102"/>
      <c r="E192" s="102"/>
      <c r="F192" s="102"/>
      <c r="G192" s="10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01"/>
      <c r="C193" s="102"/>
      <c r="D193" s="102"/>
      <c r="E193" s="102"/>
      <c r="F193" s="102"/>
      <c r="G193" s="10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01"/>
      <c r="C194" s="102"/>
      <c r="D194" s="102"/>
      <c r="E194" s="102"/>
      <c r="F194" s="102"/>
      <c r="G194" s="10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01"/>
      <c r="C195" s="102"/>
      <c r="D195" s="102"/>
      <c r="E195" s="102"/>
      <c r="F195" s="102"/>
      <c r="G195" s="10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01"/>
      <c r="C196" s="102"/>
      <c r="D196" s="102"/>
      <c r="E196" s="102"/>
      <c r="F196" s="102"/>
      <c r="G196" s="10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01"/>
      <c r="C197" s="102"/>
      <c r="D197" s="102"/>
      <c r="E197" s="102"/>
      <c r="F197" s="102"/>
      <c r="G197" s="10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01"/>
      <c r="C198" s="102"/>
      <c r="D198" s="102"/>
      <c r="E198" s="102"/>
      <c r="F198" s="102"/>
      <c r="G198" s="10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01"/>
      <c r="C199" s="102"/>
      <c r="D199" s="102"/>
      <c r="E199" s="102"/>
      <c r="F199" s="102"/>
      <c r="G199" s="10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01"/>
      <c r="C200" s="102"/>
      <c r="D200" s="102"/>
      <c r="E200" s="102"/>
      <c r="F200" s="102"/>
      <c r="G200" s="10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01"/>
      <c r="C201" s="102"/>
      <c r="D201" s="102"/>
      <c r="E201" s="102"/>
      <c r="F201" s="102"/>
      <c r="G201" s="10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01"/>
      <c r="C202" s="102"/>
      <c r="D202" s="102"/>
      <c r="E202" s="102"/>
      <c r="F202" s="102"/>
      <c r="G202" s="10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01"/>
      <c r="C203" s="102"/>
      <c r="D203" s="102"/>
      <c r="E203" s="102"/>
      <c r="F203" s="102"/>
      <c r="G203" s="10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01"/>
      <c r="C204" s="102"/>
      <c r="D204" s="102"/>
      <c r="E204" s="102"/>
      <c r="F204" s="102"/>
      <c r="G204" s="10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01"/>
      <c r="C205" s="102"/>
      <c r="D205" s="102"/>
      <c r="E205" s="102"/>
      <c r="F205" s="102"/>
      <c r="G205" s="10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01"/>
      <c r="C206" s="102"/>
      <c r="D206" s="102"/>
      <c r="E206" s="102"/>
      <c r="F206" s="102"/>
      <c r="G206" s="10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01"/>
      <c r="C207" s="102"/>
      <c r="D207" s="102"/>
      <c r="E207" s="102"/>
      <c r="F207" s="102"/>
      <c r="G207" s="10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01"/>
      <c r="C208" s="102"/>
      <c r="D208" s="102"/>
      <c r="E208" s="102"/>
      <c r="F208" s="102"/>
      <c r="G208" s="10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01"/>
      <c r="C209" s="102"/>
      <c r="D209" s="102"/>
      <c r="E209" s="102"/>
      <c r="F209" s="102"/>
      <c r="G209" s="10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01"/>
      <c r="C210" s="102"/>
      <c r="D210" s="102"/>
      <c r="E210" s="102"/>
      <c r="F210" s="102"/>
      <c r="G210" s="10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01"/>
      <c r="C211" s="102"/>
      <c r="D211" s="102"/>
      <c r="E211" s="102"/>
      <c r="F211" s="102"/>
      <c r="G211" s="10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01"/>
      <c r="C212" s="102"/>
      <c r="D212" s="102"/>
      <c r="E212" s="102"/>
      <c r="F212" s="102"/>
      <c r="G212" s="10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01"/>
      <c r="C213" s="102"/>
      <c r="D213" s="102"/>
      <c r="E213" s="102"/>
      <c r="F213" s="102"/>
      <c r="G213" s="10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01"/>
      <c r="C214" s="102"/>
      <c r="D214" s="102"/>
      <c r="E214" s="102"/>
      <c r="F214" s="102"/>
      <c r="G214" s="10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01"/>
      <c r="C215" s="102"/>
      <c r="D215" s="102"/>
      <c r="E215" s="102"/>
      <c r="F215" s="102"/>
      <c r="G215" s="10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01"/>
      <c r="C216" s="102"/>
      <c r="D216" s="102"/>
      <c r="E216" s="102"/>
      <c r="F216" s="102"/>
      <c r="G216" s="10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01"/>
      <c r="C217" s="102"/>
      <c r="D217" s="102"/>
      <c r="E217" s="102"/>
      <c r="F217" s="102"/>
      <c r="G217" s="10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01"/>
      <c r="C218" s="102"/>
      <c r="D218" s="102"/>
      <c r="E218" s="102"/>
      <c r="F218" s="102"/>
      <c r="G218" s="10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01"/>
      <c r="C219" s="102"/>
      <c r="D219" s="102"/>
      <c r="E219" s="102"/>
      <c r="F219" s="102"/>
      <c r="G219" s="10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01"/>
      <c r="C220" s="102"/>
      <c r="D220" s="102"/>
      <c r="E220" s="102"/>
      <c r="F220" s="102"/>
      <c r="G220" s="10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20.75"/>
    <col customWidth="1" min="3" max="6" width="27.75"/>
    <col customWidth="1" min="7" max="7" width="59.0"/>
    <col customWidth="1" min="8" max="8" width="132.0"/>
    <col customWidth="1" min="9" max="26" width="9.13"/>
  </cols>
  <sheetData>
    <row r="1">
      <c r="A1" s="89"/>
      <c r="B1" s="90"/>
      <c r="C1" s="89"/>
      <c r="D1" s="89"/>
      <c r="E1" s="89"/>
      <c r="F1" s="89"/>
      <c r="G1" s="89"/>
      <c r="H1" s="89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</row>
    <row r="2">
      <c r="A2" s="89"/>
      <c r="B2" s="90"/>
      <c r="C2" s="89"/>
      <c r="D2" s="89"/>
      <c r="E2" s="89"/>
      <c r="F2" s="89"/>
      <c r="G2" s="89"/>
      <c r="H2" s="89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</row>
    <row r="3">
      <c r="A3" s="89"/>
      <c r="B3" s="93" t="s">
        <v>115</v>
      </c>
      <c r="C3" s="103" t="s">
        <v>117</v>
      </c>
      <c r="D3" s="89"/>
      <c r="E3" s="89"/>
      <c r="F3" s="89"/>
      <c r="G3" s="89"/>
      <c r="H3" s="89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</row>
    <row r="4" ht="8.25" customHeight="1">
      <c r="A4" s="89"/>
      <c r="B4" s="90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>
      <c r="A5" s="97"/>
      <c r="B5" s="95" t="s">
        <v>6</v>
      </c>
      <c r="C5" s="104" t="s">
        <v>71</v>
      </c>
      <c r="D5" s="104" t="s">
        <v>72</v>
      </c>
      <c r="E5" s="104" t="s">
        <v>73</v>
      </c>
      <c r="F5" s="104" t="s">
        <v>74</v>
      </c>
      <c r="G5" s="97"/>
      <c r="H5" s="97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</row>
    <row r="6">
      <c r="A6" s="89"/>
      <c r="B6" s="98"/>
      <c r="C6" s="105"/>
      <c r="D6" s="105"/>
      <c r="E6" s="105"/>
      <c r="F6" s="105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>
      <c r="A7" s="89"/>
      <c r="B7" s="98"/>
      <c r="C7" s="105"/>
      <c r="D7" s="105"/>
      <c r="E7" s="105"/>
      <c r="F7" s="105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>
      <c r="A8" s="89"/>
      <c r="B8" s="98"/>
      <c r="C8" s="105"/>
      <c r="D8" s="105"/>
      <c r="E8" s="105"/>
      <c r="F8" s="105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>
      <c r="A9" s="89"/>
      <c r="B9" s="98"/>
      <c r="C9" s="105"/>
      <c r="D9" s="105"/>
      <c r="E9" s="105"/>
      <c r="F9" s="105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>
      <c r="A10" s="89"/>
      <c r="B10" s="98"/>
      <c r="C10" s="105"/>
      <c r="D10" s="105"/>
      <c r="E10" s="105"/>
      <c r="F10" s="105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>
      <c r="A11" s="89"/>
      <c r="B11" s="98"/>
      <c r="C11" s="105"/>
      <c r="D11" s="105"/>
      <c r="E11" s="105"/>
      <c r="F11" s="105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>
      <c r="A12" s="89"/>
      <c r="B12" s="98"/>
      <c r="C12" s="105"/>
      <c r="D12" s="105"/>
      <c r="E12" s="105"/>
      <c r="F12" s="105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>
      <c r="A13" s="89"/>
      <c r="B13" s="98"/>
      <c r="C13" s="105"/>
      <c r="D13" s="105"/>
      <c r="E13" s="105"/>
      <c r="F13" s="105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>
      <c r="A14" s="89"/>
      <c r="B14" s="98"/>
      <c r="C14" s="105"/>
      <c r="D14" s="105"/>
      <c r="E14" s="105"/>
      <c r="F14" s="105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>
      <c r="A15" s="89"/>
      <c r="B15" s="98"/>
      <c r="C15" s="105"/>
      <c r="D15" s="105"/>
      <c r="E15" s="105"/>
      <c r="F15" s="105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>
      <c r="A16" s="89"/>
      <c r="B16" s="98"/>
      <c r="C16" s="105"/>
      <c r="D16" s="105"/>
      <c r="E16" s="105"/>
      <c r="F16" s="105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>
      <c r="A17" s="89"/>
      <c r="B17" s="98"/>
      <c r="C17" s="105"/>
      <c r="D17" s="105"/>
      <c r="E17" s="105"/>
      <c r="F17" s="105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>
      <c r="A18" s="89"/>
      <c r="B18" s="98"/>
      <c r="C18" s="105"/>
      <c r="D18" s="105"/>
      <c r="E18" s="105"/>
      <c r="F18" s="105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>
      <c r="A19" s="89"/>
      <c r="B19" s="98"/>
      <c r="C19" s="105"/>
      <c r="D19" s="105"/>
      <c r="E19" s="105"/>
      <c r="F19" s="105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>
      <c r="A20" s="89"/>
      <c r="B20" s="98"/>
      <c r="C20" s="105"/>
      <c r="D20" s="105"/>
      <c r="E20" s="105"/>
      <c r="F20" s="105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5.75" customHeight="1">
      <c r="A21" s="89"/>
      <c r="B21" s="98"/>
      <c r="C21" s="105"/>
      <c r="D21" s="105"/>
      <c r="E21" s="105"/>
      <c r="F21" s="105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5.75" customHeight="1">
      <c r="A22" s="89"/>
      <c r="B22" s="98"/>
      <c r="C22" s="105"/>
      <c r="D22" s="105"/>
      <c r="E22" s="105"/>
      <c r="F22" s="105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5.75" customHeight="1">
      <c r="A23" s="89"/>
      <c r="B23" s="98"/>
      <c r="C23" s="105"/>
      <c r="D23" s="105"/>
      <c r="E23" s="105"/>
      <c r="F23" s="105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5.75" customHeight="1">
      <c r="A24" s="89"/>
      <c r="B24" s="98"/>
      <c r="C24" s="105"/>
      <c r="D24" s="105"/>
      <c r="E24" s="105"/>
      <c r="F24" s="105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5.75" customHeight="1">
      <c r="A25" s="89"/>
      <c r="B25" s="98"/>
      <c r="C25" s="105"/>
      <c r="D25" s="105"/>
      <c r="E25" s="105"/>
      <c r="F25" s="105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5.75" customHeight="1">
      <c r="A26" s="89"/>
      <c r="B26" s="98"/>
      <c r="C26" s="105"/>
      <c r="D26" s="105"/>
      <c r="E26" s="105"/>
      <c r="F26" s="105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5.75" customHeight="1">
      <c r="A27" s="89"/>
      <c r="B27" s="98"/>
      <c r="C27" s="105"/>
      <c r="D27" s="105"/>
      <c r="E27" s="105"/>
      <c r="F27" s="105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5.75" customHeight="1">
      <c r="A28" s="89"/>
      <c r="B28" s="98"/>
      <c r="C28" s="105"/>
      <c r="D28" s="105"/>
      <c r="E28" s="105"/>
      <c r="F28" s="105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5.75" customHeight="1">
      <c r="A29" s="89"/>
      <c r="B29" s="98"/>
      <c r="C29" s="105"/>
      <c r="D29" s="105"/>
      <c r="E29" s="105"/>
      <c r="F29" s="105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5.75" customHeight="1">
      <c r="A30" s="89"/>
      <c r="B30" s="98"/>
      <c r="C30" s="105"/>
      <c r="D30" s="105"/>
      <c r="E30" s="105"/>
      <c r="F30" s="105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5.75" customHeight="1">
      <c r="A31" s="89"/>
      <c r="B31" s="98"/>
      <c r="C31" s="105"/>
      <c r="D31" s="105"/>
      <c r="E31" s="105"/>
      <c r="F31" s="105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5.75" customHeight="1">
      <c r="A32" s="89"/>
      <c r="B32" s="98"/>
      <c r="C32" s="105"/>
      <c r="D32" s="105"/>
      <c r="E32" s="105"/>
      <c r="F32" s="105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5.75" customHeight="1">
      <c r="A33" s="89"/>
      <c r="B33" s="98"/>
      <c r="C33" s="105"/>
      <c r="D33" s="105"/>
      <c r="E33" s="105"/>
      <c r="F33" s="105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5.75" customHeight="1">
      <c r="A34" s="89"/>
      <c r="B34" s="98"/>
      <c r="C34" s="105"/>
      <c r="D34" s="105"/>
      <c r="E34" s="105"/>
      <c r="F34" s="105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5.75" customHeight="1">
      <c r="A35" s="89"/>
      <c r="B35" s="98"/>
      <c r="C35" s="105"/>
      <c r="D35" s="105"/>
      <c r="E35" s="105"/>
      <c r="F35" s="105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5.75" customHeight="1">
      <c r="A36" s="89"/>
      <c r="B36" s="98"/>
      <c r="C36" s="105"/>
      <c r="D36" s="105"/>
      <c r="E36" s="105"/>
      <c r="F36" s="105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5.75" customHeight="1">
      <c r="A37" s="89"/>
      <c r="B37" s="98"/>
      <c r="C37" s="105"/>
      <c r="D37" s="105"/>
      <c r="E37" s="105"/>
      <c r="F37" s="105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5.75" customHeight="1">
      <c r="A38" s="89"/>
      <c r="B38" s="98"/>
      <c r="C38" s="105"/>
      <c r="D38" s="105"/>
      <c r="E38" s="105"/>
      <c r="F38" s="105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5.75" customHeight="1">
      <c r="A39" s="89"/>
      <c r="B39" s="98"/>
      <c r="C39" s="105"/>
      <c r="D39" s="105"/>
      <c r="E39" s="105"/>
      <c r="F39" s="105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5.75" customHeight="1">
      <c r="A40" s="89"/>
      <c r="B40" s="98"/>
      <c r="C40" s="105"/>
      <c r="D40" s="105"/>
      <c r="E40" s="105"/>
      <c r="F40" s="105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5.75" customHeight="1">
      <c r="A41" s="89"/>
      <c r="B41" s="98"/>
      <c r="C41" s="105"/>
      <c r="D41" s="105"/>
      <c r="E41" s="105"/>
      <c r="F41" s="105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5.75" customHeight="1">
      <c r="A42" s="89"/>
      <c r="B42" s="98"/>
      <c r="C42" s="105"/>
      <c r="D42" s="105"/>
      <c r="E42" s="105"/>
      <c r="F42" s="105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5.75" customHeight="1">
      <c r="A43" s="89"/>
      <c r="B43" s="98"/>
      <c r="C43" s="105"/>
      <c r="D43" s="105"/>
      <c r="E43" s="105"/>
      <c r="F43" s="105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5.75" customHeight="1">
      <c r="A44" s="89"/>
      <c r="B44" s="98"/>
      <c r="C44" s="105"/>
      <c r="D44" s="105"/>
      <c r="E44" s="105"/>
      <c r="F44" s="105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5.75" customHeight="1">
      <c r="A45" s="89"/>
      <c r="B45" s="98"/>
      <c r="C45" s="105"/>
      <c r="D45" s="105"/>
      <c r="E45" s="105"/>
      <c r="F45" s="105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5.75" customHeight="1">
      <c r="A46" s="89"/>
      <c r="B46" s="106"/>
      <c r="C46" s="107"/>
      <c r="D46" s="107"/>
      <c r="E46" s="107"/>
      <c r="F46" s="107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 ht="15.75" customHeight="1">
      <c r="A47" s="89"/>
      <c r="B47" s="106"/>
      <c r="C47" s="107"/>
      <c r="D47" s="107"/>
      <c r="E47" s="107"/>
      <c r="F47" s="107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 ht="15.75" customHeight="1">
      <c r="A48" s="89"/>
      <c r="B48" s="106"/>
      <c r="C48" s="107"/>
      <c r="D48" s="107"/>
      <c r="E48" s="107"/>
      <c r="F48" s="107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 ht="15.75" customHeight="1">
      <c r="A49" s="89"/>
      <c r="B49" s="106"/>
      <c r="C49" s="107"/>
      <c r="D49" s="107"/>
      <c r="E49" s="107"/>
      <c r="F49" s="107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 ht="15.75" customHeight="1">
      <c r="A50" s="89"/>
      <c r="B50" s="108"/>
      <c r="C50" s="109"/>
      <c r="D50" s="109"/>
      <c r="E50" s="109"/>
      <c r="F50" s="109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 ht="15.75" customHeight="1">
      <c r="A51" s="89"/>
      <c r="B51" s="108"/>
      <c r="C51" s="109"/>
      <c r="D51" s="109"/>
      <c r="E51" s="109"/>
      <c r="F51" s="109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 ht="15.75" customHeight="1">
      <c r="A52" s="89"/>
      <c r="B52" s="108"/>
      <c r="C52" s="109"/>
      <c r="D52" s="109"/>
      <c r="E52" s="109"/>
      <c r="F52" s="109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 ht="15.75" customHeight="1">
      <c r="A53" s="89"/>
      <c r="B53" s="108"/>
      <c r="C53" s="109"/>
      <c r="D53" s="109"/>
      <c r="E53" s="109"/>
      <c r="F53" s="109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 ht="15.75" customHeight="1">
      <c r="A54" s="89"/>
      <c r="B54" s="108"/>
      <c r="C54" s="109"/>
      <c r="D54" s="109"/>
      <c r="E54" s="109"/>
      <c r="F54" s="109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 ht="15.75" customHeight="1">
      <c r="A55" s="89"/>
      <c r="B55" s="108"/>
      <c r="C55" s="109"/>
      <c r="D55" s="109"/>
      <c r="E55" s="109"/>
      <c r="F55" s="109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 ht="15.75" customHeight="1">
      <c r="A56" s="89"/>
      <c r="B56" s="108"/>
      <c r="C56" s="109"/>
      <c r="D56" s="109"/>
      <c r="E56" s="109"/>
      <c r="F56" s="109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 ht="15.75" customHeight="1">
      <c r="A57" s="89"/>
      <c r="B57" s="108"/>
      <c r="C57" s="109"/>
      <c r="D57" s="109"/>
      <c r="E57" s="109"/>
      <c r="F57" s="109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 ht="15.75" customHeight="1">
      <c r="A58" s="89"/>
      <c r="B58" s="108"/>
      <c r="C58" s="109"/>
      <c r="D58" s="109"/>
      <c r="E58" s="109"/>
      <c r="F58" s="109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 ht="15.75" customHeight="1">
      <c r="A59" s="89"/>
      <c r="B59" s="108"/>
      <c r="C59" s="109"/>
      <c r="D59" s="109"/>
      <c r="E59" s="109"/>
      <c r="F59" s="109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 ht="15.75" customHeight="1">
      <c r="A60" s="89"/>
      <c r="B60" s="108"/>
      <c r="C60" s="109"/>
      <c r="D60" s="109"/>
      <c r="E60" s="109"/>
      <c r="F60" s="109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 ht="15.75" customHeight="1">
      <c r="A61" s="89"/>
      <c r="B61" s="108"/>
      <c r="C61" s="109"/>
      <c r="D61" s="109"/>
      <c r="E61" s="109"/>
      <c r="F61" s="109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 ht="15.75" customHeight="1">
      <c r="A62" s="89"/>
      <c r="B62" s="108"/>
      <c r="C62" s="109"/>
      <c r="D62" s="109"/>
      <c r="E62" s="109"/>
      <c r="F62" s="109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 ht="15.75" customHeight="1">
      <c r="A63" s="89"/>
      <c r="B63" s="108"/>
      <c r="C63" s="109"/>
      <c r="D63" s="109"/>
      <c r="E63" s="109"/>
      <c r="F63" s="109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 ht="15.75" customHeight="1">
      <c r="A64" s="89"/>
      <c r="B64" s="108"/>
      <c r="C64" s="109"/>
      <c r="D64" s="109"/>
      <c r="E64" s="109"/>
      <c r="F64" s="109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 ht="15.75" customHeight="1">
      <c r="A65" s="89"/>
      <c r="B65" s="108"/>
      <c r="C65" s="109"/>
      <c r="D65" s="109"/>
      <c r="E65" s="109"/>
      <c r="F65" s="109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 ht="15.75" customHeight="1">
      <c r="A66" s="89"/>
      <c r="B66" s="108"/>
      <c r="C66" s="109"/>
      <c r="D66" s="109"/>
      <c r="E66" s="109"/>
      <c r="F66" s="109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 ht="15.75" customHeight="1">
      <c r="A67" s="89"/>
      <c r="B67" s="108"/>
      <c r="C67" s="109"/>
      <c r="D67" s="109"/>
      <c r="E67" s="109"/>
      <c r="F67" s="109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 ht="15.75" customHeight="1">
      <c r="A68" s="89"/>
      <c r="B68" s="108"/>
      <c r="C68" s="109"/>
      <c r="D68" s="109"/>
      <c r="E68" s="109"/>
      <c r="F68" s="109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 ht="15.75" customHeight="1">
      <c r="A69" s="89"/>
      <c r="B69" s="108"/>
      <c r="C69" s="109"/>
      <c r="D69" s="109"/>
      <c r="E69" s="109"/>
      <c r="F69" s="109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 ht="15.75" customHeight="1">
      <c r="A70" s="89"/>
      <c r="B70" s="108"/>
      <c r="C70" s="109"/>
      <c r="D70" s="109"/>
      <c r="E70" s="109"/>
      <c r="F70" s="109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 ht="15.75" customHeight="1">
      <c r="A71" s="89"/>
      <c r="B71" s="108"/>
      <c r="C71" s="109"/>
      <c r="D71" s="109"/>
      <c r="E71" s="109"/>
      <c r="F71" s="109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 ht="15.75" customHeight="1">
      <c r="A72" s="89"/>
      <c r="B72" s="108"/>
      <c r="C72" s="109"/>
      <c r="D72" s="109"/>
      <c r="E72" s="109"/>
      <c r="F72" s="109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 ht="15.75" customHeight="1">
      <c r="A73" s="89"/>
      <c r="B73" s="108"/>
      <c r="C73" s="109"/>
      <c r="D73" s="109"/>
      <c r="E73" s="109"/>
      <c r="F73" s="109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 ht="15.75" customHeight="1">
      <c r="A74" s="89"/>
      <c r="B74" s="108"/>
      <c r="C74" s="109"/>
      <c r="D74" s="109"/>
      <c r="E74" s="109"/>
      <c r="F74" s="109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 ht="15.75" customHeight="1">
      <c r="A75" s="89"/>
      <c r="B75" s="108"/>
      <c r="C75" s="109"/>
      <c r="D75" s="109"/>
      <c r="E75" s="109"/>
      <c r="F75" s="109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 ht="15.75" customHeight="1">
      <c r="A76" s="89"/>
      <c r="B76" s="108"/>
      <c r="C76" s="109"/>
      <c r="D76" s="109"/>
      <c r="E76" s="109"/>
      <c r="F76" s="109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 ht="15.75" customHeight="1">
      <c r="A77" s="89"/>
      <c r="B77" s="108"/>
      <c r="C77" s="109"/>
      <c r="D77" s="109"/>
      <c r="E77" s="109"/>
      <c r="F77" s="109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 ht="15.75" customHeight="1">
      <c r="A78" s="89"/>
      <c r="B78" s="108"/>
      <c r="C78" s="109"/>
      <c r="D78" s="109"/>
      <c r="E78" s="109"/>
      <c r="F78" s="109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 ht="15.75" customHeight="1">
      <c r="A79" s="89"/>
      <c r="B79" s="108"/>
      <c r="C79" s="109"/>
      <c r="D79" s="109"/>
      <c r="E79" s="109"/>
      <c r="F79" s="109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 ht="15.75" customHeight="1">
      <c r="A80" s="89"/>
      <c r="B80" s="108"/>
      <c r="C80" s="109"/>
      <c r="D80" s="109"/>
      <c r="E80" s="109"/>
      <c r="F80" s="109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 ht="15.75" customHeight="1">
      <c r="A81" s="89"/>
      <c r="B81" s="108"/>
      <c r="C81" s="109"/>
      <c r="D81" s="109"/>
      <c r="E81" s="109"/>
      <c r="F81" s="109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 ht="15.75" customHeight="1">
      <c r="A82" s="89"/>
      <c r="B82" s="108"/>
      <c r="C82" s="109"/>
      <c r="D82" s="109"/>
      <c r="E82" s="109"/>
      <c r="F82" s="109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 ht="15.75" customHeight="1">
      <c r="A83" s="89"/>
      <c r="B83" s="108"/>
      <c r="C83" s="109"/>
      <c r="D83" s="109"/>
      <c r="E83" s="109"/>
      <c r="F83" s="109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 ht="15.75" customHeight="1">
      <c r="A84" s="89"/>
      <c r="B84" s="108"/>
      <c r="C84" s="109"/>
      <c r="D84" s="109"/>
      <c r="E84" s="109"/>
      <c r="F84" s="109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 ht="15.75" customHeight="1">
      <c r="A85" s="89"/>
      <c r="B85" s="108"/>
      <c r="C85" s="109"/>
      <c r="D85" s="109"/>
      <c r="E85" s="109"/>
      <c r="F85" s="109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 ht="15.75" customHeight="1">
      <c r="A86" s="89"/>
      <c r="B86" s="108"/>
      <c r="C86" s="109"/>
      <c r="D86" s="109"/>
      <c r="E86" s="109"/>
      <c r="F86" s="109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 ht="15.75" customHeight="1">
      <c r="A87" s="89"/>
      <c r="B87" s="108"/>
      <c r="C87" s="109"/>
      <c r="D87" s="109"/>
      <c r="E87" s="109"/>
      <c r="F87" s="109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 ht="15.75" customHeight="1">
      <c r="A88" s="89"/>
      <c r="B88" s="108"/>
      <c r="C88" s="109"/>
      <c r="D88" s="109"/>
      <c r="E88" s="109"/>
      <c r="F88" s="109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 ht="15.75" customHeight="1">
      <c r="A89" s="89"/>
      <c r="B89" s="108"/>
      <c r="C89" s="109"/>
      <c r="D89" s="109"/>
      <c r="E89" s="109"/>
      <c r="F89" s="109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 ht="15.75" customHeight="1">
      <c r="A90" s="89"/>
      <c r="B90" s="108"/>
      <c r="C90" s="109"/>
      <c r="D90" s="109"/>
      <c r="E90" s="109"/>
      <c r="F90" s="109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 ht="15.75" customHeight="1">
      <c r="A91" s="89"/>
      <c r="B91" s="108"/>
      <c r="C91" s="109"/>
      <c r="D91" s="109"/>
      <c r="E91" s="109"/>
      <c r="F91" s="109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 ht="15.75" customHeight="1">
      <c r="A92" s="89"/>
      <c r="B92" s="108"/>
      <c r="C92" s="109"/>
      <c r="D92" s="109"/>
      <c r="E92" s="109"/>
      <c r="F92" s="109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 ht="15.75" customHeight="1">
      <c r="A93" s="89"/>
      <c r="B93" s="108"/>
      <c r="C93" s="109"/>
      <c r="D93" s="109"/>
      <c r="E93" s="109"/>
      <c r="F93" s="109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 ht="15.75" customHeight="1">
      <c r="A94" s="89"/>
      <c r="B94" s="108"/>
      <c r="C94" s="109"/>
      <c r="D94" s="109"/>
      <c r="E94" s="109"/>
      <c r="F94" s="109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 ht="15.75" customHeight="1">
      <c r="A95" s="89"/>
      <c r="B95" s="108"/>
      <c r="C95" s="109"/>
      <c r="D95" s="109"/>
      <c r="E95" s="109"/>
      <c r="F95" s="109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 ht="15.75" customHeight="1">
      <c r="A96" s="89"/>
      <c r="B96" s="108"/>
      <c r="C96" s="109"/>
      <c r="D96" s="109"/>
      <c r="E96" s="109"/>
      <c r="F96" s="109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 ht="15.75" customHeight="1">
      <c r="A97" s="89"/>
      <c r="B97" s="108"/>
      <c r="C97" s="109"/>
      <c r="D97" s="109"/>
      <c r="E97" s="109"/>
      <c r="F97" s="109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 ht="15.75" customHeight="1">
      <c r="A98" s="89"/>
      <c r="B98" s="108"/>
      <c r="C98" s="109"/>
      <c r="D98" s="109"/>
      <c r="E98" s="109"/>
      <c r="F98" s="109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 ht="15.75" customHeight="1">
      <c r="A99" s="89"/>
      <c r="B99" s="108"/>
      <c r="C99" s="109"/>
      <c r="D99" s="109"/>
      <c r="E99" s="109"/>
      <c r="F99" s="109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 ht="15.75" customHeight="1">
      <c r="A100" s="89"/>
      <c r="B100" s="108"/>
      <c r="C100" s="109"/>
      <c r="D100" s="109"/>
      <c r="E100" s="109"/>
      <c r="F100" s="109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 ht="15.75" customHeight="1">
      <c r="A101" s="89"/>
      <c r="B101" s="108"/>
      <c r="C101" s="109"/>
      <c r="D101" s="109"/>
      <c r="E101" s="109"/>
      <c r="F101" s="109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 ht="15.75" customHeight="1">
      <c r="A102" s="89"/>
      <c r="B102" s="108"/>
      <c r="C102" s="109"/>
      <c r="D102" s="109"/>
      <c r="E102" s="109"/>
      <c r="F102" s="109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 ht="15.75" customHeight="1">
      <c r="A103" s="89"/>
      <c r="B103" s="108"/>
      <c r="C103" s="109"/>
      <c r="D103" s="109"/>
      <c r="E103" s="109"/>
      <c r="F103" s="109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 ht="15.75" customHeight="1">
      <c r="A104" s="89"/>
      <c r="B104" s="108"/>
      <c r="C104" s="109"/>
      <c r="D104" s="109"/>
      <c r="E104" s="109"/>
      <c r="F104" s="109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 ht="15.75" customHeight="1">
      <c r="A105" s="89"/>
      <c r="B105" s="108"/>
      <c r="C105" s="109"/>
      <c r="D105" s="109"/>
      <c r="E105" s="109"/>
      <c r="F105" s="109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 ht="15.75" customHeight="1">
      <c r="A106" s="89"/>
      <c r="B106" s="108"/>
      <c r="C106" s="109"/>
      <c r="D106" s="109"/>
      <c r="E106" s="109"/>
      <c r="F106" s="109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 ht="15.75" customHeight="1">
      <c r="A107" s="89"/>
      <c r="B107" s="108"/>
      <c r="C107" s="109"/>
      <c r="D107" s="109"/>
      <c r="E107" s="109"/>
      <c r="F107" s="109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 ht="15.75" customHeight="1">
      <c r="A108" s="89"/>
      <c r="B108" s="108"/>
      <c r="C108" s="109"/>
      <c r="D108" s="109"/>
      <c r="E108" s="109"/>
      <c r="F108" s="109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 ht="15.75" customHeight="1">
      <c r="A109" s="89"/>
      <c r="B109" s="108"/>
      <c r="C109" s="109"/>
      <c r="D109" s="109"/>
      <c r="E109" s="109"/>
      <c r="F109" s="109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 ht="15.75" customHeight="1">
      <c r="A110" s="89"/>
      <c r="B110" s="108"/>
      <c r="C110" s="109"/>
      <c r="D110" s="109"/>
      <c r="E110" s="109"/>
      <c r="F110" s="109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 ht="15.75" customHeight="1">
      <c r="A111" s="89"/>
      <c r="B111" s="108"/>
      <c r="C111" s="109"/>
      <c r="D111" s="109"/>
      <c r="E111" s="109"/>
      <c r="F111" s="109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 ht="15.75" customHeight="1">
      <c r="A112" s="89"/>
      <c r="B112" s="108"/>
      <c r="C112" s="109"/>
      <c r="D112" s="109"/>
      <c r="E112" s="109"/>
      <c r="F112" s="109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 ht="15.75" customHeight="1">
      <c r="A113" s="89"/>
      <c r="B113" s="108"/>
      <c r="C113" s="109"/>
      <c r="D113" s="109"/>
      <c r="E113" s="109"/>
      <c r="F113" s="109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 ht="15.75" customHeight="1">
      <c r="A114" s="89"/>
      <c r="B114" s="108"/>
      <c r="C114" s="109"/>
      <c r="D114" s="109"/>
      <c r="E114" s="109"/>
      <c r="F114" s="109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 ht="15.75" customHeight="1">
      <c r="A115" s="89"/>
      <c r="B115" s="108"/>
      <c r="C115" s="109"/>
      <c r="D115" s="109"/>
      <c r="E115" s="109"/>
      <c r="F115" s="109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 ht="15.75" customHeight="1">
      <c r="A116" s="89"/>
      <c r="B116" s="108"/>
      <c r="C116" s="109"/>
      <c r="D116" s="109"/>
      <c r="E116" s="109"/>
      <c r="F116" s="109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 ht="15.75" customHeight="1">
      <c r="A117" s="89"/>
      <c r="B117" s="108"/>
      <c r="C117" s="109"/>
      <c r="D117" s="109"/>
      <c r="E117" s="109"/>
      <c r="F117" s="109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 ht="15.75" customHeight="1">
      <c r="A118" s="89"/>
      <c r="B118" s="108"/>
      <c r="C118" s="109"/>
      <c r="D118" s="109"/>
      <c r="E118" s="109"/>
      <c r="F118" s="109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 ht="15.75" customHeight="1">
      <c r="A119" s="89"/>
      <c r="B119" s="108"/>
      <c r="C119" s="109"/>
      <c r="D119" s="109"/>
      <c r="E119" s="109"/>
      <c r="F119" s="109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 ht="15.75" customHeight="1">
      <c r="A120" s="89"/>
      <c r="B120" s="108"/>
      <c r="C120" s="109"/>
      <c r="D120" s="109"/>
      <c r="E120" s="109"/>
      <c r="F120" s="109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 ht="15.75" customHeight="1">
      <c r="A121" s="89"/>
      <c r="B121" s="108"/>
      <c r="C121" s="109"/>
      <c r="D121" s="109"/>
      <c r="E121" s="109"/>
      <c r="F121" s="109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 ht="15.75" customHeight="1">
      <c r="A122" s="89"/>
      <c r="B122" s="108"/>
      <c r="C122" s="109"/>
      <c r="D122" s="109"/>
      <c r="E122" s="109"/>
      <c r="F122" s="109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 ht="15.75" customHeight="1">
      <c r="A123" s="89"/>
      <c r="B123" s="108"/>
      <c r="C123" s="109"/>
      <c r="D123" s="109"/>
      <c r="E123" s="109"/>
      <c r="F123" s="109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 ht="15.75" customHeight="1">
      <c r="A124" s="89"/>
      <c r="B124" s="108"/>
      <c r="C124" s="109"/>
      <c r="D124" s="109"/>
      <c r="E124" s="109"/>
      <c r="F124" s="109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 ht="15.75" customHeight="1">
      <c r="A125" s="89"/>
      <c r="B125" s="108"/>
      <c r="C125" s="109"/>
      <c r="D125" s="109"/>
      <c r="E125" s="109"/>
      <c r="F125" s="109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 ht="15.75" customHeight="1">
      <c r="A126" s="89"/>
      <c r="B126" s="108"/>
      <c r="C126" s="109"/>
      <c r="D126" s="109"/>
      <c r="E126" s="109"/>
      <c r="F126" s="109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 ht="15.75" customHeight="1">
      <c r="A127" s="89"/>
      <c r="B127" s="108"/>
      <c r="C127" s="109"/>
      <c r="D127" s="109"/>
      <c r="E127" s="109"/>
      <c r="F127" s="109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 ht="15.75" customHeight="1">
      <c r="A128" s="89"/>
      <c r="B128" s="108"/>
      <c r="C128" s="109"/>
      <c r="D128" s="109"/>
      <c r="E128" s="109"/>
      <c r="F128" s="109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 ht="15.75" customHeight="1">
      <c r="A129" s="89"/>
      <c r="B129" s="108"/>
      <c r="C129" s="109"/>
      <c r="D129" s="109"/>
      <c r="E129" s="109"/>
      <c r="F129" s="109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 ht="15.75" customHeight="1">
      <c r="A130" s="89"/>
      <c r="B130" s="108"/>
      <c r="C130" s="109"/>
      <c r="D130" s="109"/>
      <c r="E130" s="109"/>
      <c r="F130" s="109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 ht="15.75" customHeight="1">
      <c r="A131" s="89"/>
      <c r="B131" s="108"/>
      <c r="C131" s="109"/>
      <c r="D131" s="109"/>
      <c r="E131" s="109"/>
      <c r="F131" s="109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 ht="15.75" customHeight="1">
      <c r="A132" s="89"/>
      <c r="B132" s="108"/>
      <c r="C132" s="109"/>
      <c r="D132" s="109"/>
      <c r="E132" s="109"/>
      <c r="F132" s="109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 ht="15.75" customHeight="1">
      <c r="A133" s="89"/>
      <c r="B133" s="108"/>
      <c r="C133" s="109"/>
      <c r="D133" s="109"/>
      <c r="E133" s="109"/>
      <c r="F133" s="109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 ht="15.75" customHeight="1">
      <c r="A134" s="89"/>
      <c r="B134" s="108"/>
      <c r="C134" s="109"/>
      <c r="D134" s="109"/>
      <c r="E134" s="109"/>
      <c r="F134" s="109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 ht="15.75" customHeight="1">
      <c r="A135" s="89"/>
      <c r="B135" s="108"/>
      <c r="C135" s="109"/>
      <c r="D135" s="109"/>
      <c r="E135" s="109"/>
      <c r="F135" s="109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 ht="15.75" customHeight="1">
      <c r="A136" s="89"/>
      <c r="B136" s="108"/>
      <c r="C136" s="109"/>
      <c r="D136" s="109"/>
      <c r="E136" s="109"/>
      <c r="F136" s="109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 ht="15.75" customHeight="1">
      <c r="A137" s="89"/>
      <c r="B137" s="108"/>
      <c r="C137" s="109"/>
      <c r="D137" s="109"/>
      <c r="E137" s="109"/>
      <c r="F137" s="109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 ht="15.75" customHeight="1">
      <c r="A138" s="89"/>
      <c r="B138" s="108"/>
      <c r="C138" s="109"/>
      <c r="D138" s="109"/>
      <c r="E138" s="109"/>
      <c r="F138" s="109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 ht="15.75" customHeight="1">
      <c r="A139" s="89"/>
      <c r="B139" s="108"/>
      <c r="C139" s="109"/>
      <c r="D139" s="109"/>
      <c r="E139" s="109"/>
      <c r="F139" s="109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 ht="15.75" customHeight="1">
      <c r="A140" s="89"/>
      <c r="B140" s="108"/>
      <c r="C140" s="109"/>
      <c r="D140" s="109"/>
      <c r="E140" s="109"/>
      <c r="F140" s="109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 ht="15.75" customHeight="1">
      <c r="A141" s="89"/>
      <c r="B141" s="108"/>
      <c r="C141" s="109"/>
      <c r="D141" s="109"/>
      <c r="E141" s="109"/>
      <c r="F141" s="109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 ht="15.75" customHeight="1">
      <c r="A142" s="89"/>
      <c r="B142" s="108"/>
      <c r="C142" s="109"/>
      <c r="D142" s="109"/>
      <c r="E142" s="109"/>
      <c r="F142" s="109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 ht="15.75" customHeight="1">
      <c r="A143" s="89"/>
      <c r="B143" s="108"/>
      <c r="C143" s="109"/>
      <c r="D143" s="109"/>
      <c r="E143" s="109"/>
      <c r="F143" s="109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 ht="15.75" customHeight="1">
      <c r="A144" s="89"/>
      <c r="B144" s="108"/>
      <c r="C144" s="109"/>
      <c r="D144" s="109"/>
      <c r="E144" s="109"/>
      <c r="F144" s="109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 ht="15.75" customHeight="1">
      <c r="A145" s="89"/>
      <c r="B145" s="108"/>
      <c r="C145" s="109"/>
      <c r="D145" s="109"/>
      <c r="E145" s="109"/>
      <c r="F145" s="109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 ht="15.75" customHeight="1">
      <c r="A146" s="89"/>
      <c r="B146" s="108"/>
      <c r="C146" s="109"/>
      <c r="D146" s="109"/>
      <c r="E146" s="109"/>
      <c r="F146" s="109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 ht="15.75" customHeight="1">
      <c r="A147" s="89"/>
      <c r="B147" s="108"/>
      <c r="C147" s="109"/>
      <c r="D147" s="109"/>
      <c r="E147" s="109"/>
      <c r="F147" s="109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 ht="15.75" customHeight="1">
      <c r="A148" s="89"/>
      <c r="B148" s="108"/>
      <c r="C148" s="109"/>
      <c r="D148" s="109"/>
      <c r="E148" s="109"/>
      <c r="F148" s="109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 ht="15.75" customHeight="1">
      <c r="A149" s="89"/>
      <c r="B149" s="108"/>
      <c r="C149" s="109"/>
      <c r="D149" s="109"/>
      <c r="E149" s="109"/>
      <c r="F149" s="109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 ht="15.75" customHeight="1">
      <c r="A150" s="89"/>
      <c r="B150" s="108"/>
      <c r="C150" s="109"/>
      <c r="D150" s="109"/>
      <c r="E150" s="109"/>
      <c r="F150" s="109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 ht="15.75" customHeight="1">
      <c r="A151" s="89"/>
      <c r="B151" s="108"/>
      <c r="C151" s="109"/>
      <c r="D151" s="109"/>
      <c r="E151" s="109"/>
      <c r="F151" s="109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 ht="15.75" customHeight="1">
      <c r="A152" s="89"/>
      <c r="B152" s="108"/>
      <c r="C152" s="109"/>
      <c r="D152" s="109"/>
      <c r="E152" s="109"/>
      <c r="F152" s="109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 ht="15.75" customHeight="1">
      <c r="A153" s="89"/>
      <c r="B153" s="108"/>
      <c r="C153" s="109"/>
      <c r="D153" s="109"/>
      <c r="E153" s="109"/>
      <c r="F153" s="109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 ht="15.75" customHeight="1">
      <c r="A154" s="89"/>
      <c r="B154" s="108"/>
      <c r="C154" s="109"/>
      <c r="D154" s="109"/>
      <c r="E154" s="109"/>
      <c r="F154" s="109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 ht="15.75" customHeight="1">
      <c r="A155" s="89"/>
      <c r="B155" s="108"/>
      <c r="C155" s="109"/>
      <c r="D155" s="109"/>
      <c r="E155" s="109"/>
      <c r="F155" s="109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 ht="15.75" customHeight="1">
      <c r="A156" s="89"/>
      <c r="B156" s="108"/>
      <c r="C156" s="109"/>
      <c r="D156" s="109"/>
      <c r="E156" s="109"/>
      <c r="F156" s="109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 ht="15.75" customHeight="1">
      <c r="A157" s="89"/>
      <c r="B157" s="108"/>
      <c r="C157" s="109"/>
      <c r="D157" s="109"/>
      <c r="E157" s="109"/>
      <c r="F157" s="109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 ht="15.75" customHeight="1">
      <c r="A158" s="89"/>
      <c r="B158" s="108"/>
      <c r="C158" s="109"/>
      <c r="D158" s="109"/>
      <c r="E158" s="109"/>
      <c r="F158" s="109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 ht="15.75" customHeight="1">
      <c r="A159" s="89"/>
      <c r="B159" s="108"/>
      <c r="C159" s="109"/>
      <c r="D159" s="109"/>
      <c r="E159" s="109"/>
      <c r="F159" s="109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 ht="15.75" customHeight="1">
      <c r="A160" s="89"/>
      <c r="B160" s="108"/>
      <c r="C160" s="109"/>
      <c r="D160" s="109"/>
      <c r="E160" s="109"/>
      <c r="F160" s="109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 ht="15.75" customHeight="1">
      <c r="A161" s="89"/>
      <c r="B161" s="108"/>
      <c r="C161" s="109"/>
      <c r="D161" s="109"/>
      <c r="E161" s="109"/>
      <c r="F161" s="109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 ht="15.75" customHeight="1">
      <c r="A162" s="89"/>
      <c r="B162" s="108"/>
      <c r="C162" s="109"/>
      <c r="D162" s="109"/>
      <c r="E162" s="109"/>
      <c r="F162" s="109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 ht="15.75" customHeight="1">
      <c r="A163" s="89"/>
      <c r="B163" s="108"/>
      <c r="C163" s="109"/>
      <c r="D163" s="109"/>
      <c r="E163" s="109"/>
      <c r="F163" s="109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 ht="15.75" customHeight="1">
      <c r="A164" s="89"/>
      <c r="B164" s="108"/>
      <c r="C164" s="109"/>
      <c r="D164" s="109"/>
      <c r="E164" s="109"/>
      <c r="F164" s="109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 ht="15.75" customHeight="1">
      <c r="A165" s="89"/>
      <c r="B165" s="108"/>
      <c r="C165" s="109"/>
      <c r="D165" s="109"/>
      <c r="E165" s="109"/>
      <c r="F165" s="109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 ht="15.75" customHeight="1">
      <c r="A166" s="89"/>
      <c r="B166" s="108"/>
      <c r="C166" s="109"/>
      <c r="D166" s="109"/>
      <c r="E166" s="109"/>
      <c r="F166" s="109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 ht="15.75" customHeight="1">
      <c r="A167" s="89"/>
      <c r="B167" s="108"/>
      <c r="C167" s="109"/>
      <c r="D167" s="109"/>
      <c r="E167" s="109"/>
      <c r="F167" s="109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 ht="15.75" customHeight="1">
      <c r="A168" s="89"/>
      <c r="B168" s="108"/>
      <c r="C168" s="109"/>
      <c r="D168" s="109"/>
      <c r="E168" s="109"/>
      <c r="F168" s="109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 ht="15.75" customHeight="1">
      <c r="A169" s="89"/>
      <c r="B169" s="108"/>
      <c r="C169" s="109"/>
      <c r="D169" s="109"/>
      <c r="E169" s="109"/>
      <c r="F169" s="109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 ht="15.75" customHeight="1">
      <c r="A170" s="89"/>
      <c r="B170" s="108"/>
      <c r="C170" s="109"/>
      <c r="D170" s="109"/>
      <c r="E170" s="109"/>
      <c r="F170" s="109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 ht="15.75" customHeight="1">
      <c r="A171" s="89"/>
      <c r="B171" s="108"/>
      <c r="C171" s="109"/>
      <c r="D171" s="109"/>
      <c r="E171" s="109"/>
      <c r="F171" s="109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 ht="15.75" customHeight="1">
      <c r="A172" s="89"/>
      <c r="B172" s="108"/>
      <c r="C172" s="109"/>
      <c r="D172" s="109"/>
      <c r="E172" s="109"/>
      <c r="F172" s="109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 ht="15.75" customHeight="1">
      <c r="A173" s="89"/>
      <c r="B173" s="108"/>
      <c r="C173" s="109"/>
      <c r="D173" s="109"/>
      <c r="E173" s="109"/>
      <c r="F173" s="109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 ht="15.75" customHeight="1">
      <c r="A174" s="89"/>
      <c r="B174" s="108"/>
      <c r="C174" s="109"/>
      <c r="D174" s="109"/>
      <c r="E174" s="109"/>
      <c r="F174" s="109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 ht="15.75" customHeight="1">
      <c r="A175" s="89"/>
      <c r="B175" s="108"/>
      <c r="C175" s="109"/>
      <c r="D175" s="109"/>
      <c r="E175" s="109"/>
      <c r="F175" s="109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 ht="15.75" customHeight="1">
      <c r="A176" s="89"/>
      <c r="B176" s="108"/>
      <c r="C176" s="109"/>
      <c r="D176" s="109"/>
      <c r="E176" s="109"/>
      <c r="F176" s="109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 ht="15.75" customHeight="1">
      <c r="A177" s="89"/>
      <c r="B177" s="108"/>
      <c r="C177" s="109"/>
      <c r="D177" s="109"/>
      <c r="E177" s="109"/>
      <c r="F177" s="109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 ht="15.75" customHeight="1">
      <c r="A178" s="89"/>
      <c r="B178" s="108"/>
      <c r="C178" s="109"/>
      <c r="D178" s="109"/>
      <c r="E178" s="109"/>
      <c r="F178" s="109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 ht="15.75" customHeight="1">
      <c r="A179" s="89"/>
      <c r="B179" s="108"/>
      <c r="C179" s="109"/>
      <c r="D179" s="109"/>
      <c r="E179" s="109"/>
      <c r="F179" s="109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 ht="15.75" customHeight="1">
      <c r="A180" s="89"/>
      <c r="B180" s="108"/>
      <c r="C180" s="109"/>
      <c r="D180" s="109"/>
      <c r="E180" s="109"/>
      <c r="F180" s="109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 ht="15.75" customHeight="1">
      <c r="A181" s="89"/>
      <c r="B181" s="108"/>
      <c r="C181" s="109"/>
      <c r="D181" s="109"/>
      <c r="E181" s="109"/>
      <c r="F181" s="109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 ht="15.75" customHeight="1">
      <c r="A182" s="89"/>
      <c r="B182" s="108"/>
      <c r="C182" s="109"/>
      <c r="D182" s="109"/>
      <c r="E182" s="109"/>
      <c r="F182" s="109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 ht="15.75" customHeight="1">
      <c r="A183" s="89"/>
      <c r="B183" s="108"/>
      <c r="C183" s="109"/>
      <c r="D183" s="109"/>
      <c r="E183" s="109"/>
      <c r="F183" s="109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 ht="15.75" customHeight="1">
      <c r="A184" s="89"/>
      <c r="B184" s="108"/>
      <c r="C184" s="109"/>
      <c r="D184" s="109"/>
      <c r="E184" s="109"/>
      <c r="F184" s="109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 ht="15.75" customHeight="1">
      <c r="A185" s="89"/>
      <c r="B185" s="108"/>
      <c r="C185" s="109"/>
      <c r="D185" s="109"/>
      <c r="E185" s="109"/>
      <c r="F185" s="109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 ht="15.75" customHeight="1">
      <c r="A186" s="89"/>
      <c r="B186" s="108"/>
      <c r="C186" s="109"/>
      <c r="D186" s="109"/>
      <c r="E186" s="109"/>
      <c r="F186" s="109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 ht="15.75" customHeight="1">
      <c r="A187" s="89"/>
      <c r="B187" s="108"/>
      <c r="C187" s="109"/>
      <c r="D187" s="109"/>
      <c r="E187" s="109"/>
      <c r="F187" s="109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 ht="15.75" customHeight="1">
      <c r="A188" s="89"/>
      <c r="B188" s="108"/>
      <c r="C188" s="109"/>
      <c r="D188" s="109"/>
      <c r="E188" s="109"/>
      <c r="F188" s="109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 ht="15.75" customHeight="1">
      <c r="A189" s="89"/>
      <c r="B189" s="108"/>
      <c r="C189" s="109"/>
      <c r="D189" s="109"/>
      <c r="E189" s="109"/>
      <c r="F189" s="109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 ht="15.75" customHeight="1">
      <c r="A190" s="89"/>
      <c r="B190" s="108"/>
      <c r="C190" s="109"/>
      <c r="D190" s="109"/>
      <c r="E190" s="109"/>
      <c r="F190" s="109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 ht="15.75" customHeight="1">
      <c r="A191" s="89"/>
      <c r="B191" s="108"/>
      <c r="C191" s="109"/>
      <c r="D191" s="109"/>
      <c r="E191" s="109"/>
      <c r="F191" s="109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 ht="15.75" customHeight="1">
      <c r="A192" s="89"/>
      <c r="B192" s="108"/>
      <c r="C192" s="109"/>
      <c r="D192" s="109"/>
      <c r="E192" s="109"/>
      <c r="F192" s="109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 ht="15.75" customHeight="1">
      <c r="A193" s="89"/>
      <c r="B193" s="108"/>
      <c r="C193" s="109"/>
      <c r="D193" s="109"/>
      <c r="E193" s="109"/>
      <c r="F193" s="109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 ht="15.75" customHeight="1">
      <c r="A194" s="89"/>
      <c r="B194" s="108"/>
      <c r="C194" s="109"/>
      <c r="D194" s="109"/>
      <c r="E194" s="109"/>
      <c r="F194" s="109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 ht="15.75" customHeight="1">
      <c r="A195" s="89"/>
      <c r="B195" s="108"/>
      <c r="C195" s="109"/>
      <c r="D195" s="109"/>
      <c r="E195" s="109"/>
      <c r="F195" s="109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 ht="15.75" customHeight="1">
      <c r="A196" s="89"/>
      <c r="B196" s="108"/>
      <c r="C196" s="109"/>
      <c r="D196" s="109"/>
      <c r="E196" s="109"/>
      <c r="F196" s="109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 ht="15.75" customHeight="1">
      <c r="A197" s="89"/>
      <c r="B197" s="108"/>
      <c r="C197" s="109"/>
      <c r="D197" s="109"/>
      <c r="E197" s="109"/>
      <c r="F197" s="109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 ht="15.75" customHeight="1">
      <c r="A198" s="89"/>
      <c r="B198" s="108"/>
      <c r="C198" s="109"/>
      <c r="D198" s="109"/>
      <c r="E198" s="109"/>
      <c r="F198" s="109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 ht="15.75" customHeight="1">
      <c r="A199" s="89"/>
      <c r="B199" s="108"/>
      <c r="C199" s="109"/>
      <c r="D199" s="109"/>
      <c r="E199" s="109"/>
      <c r="F199" s="109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 ht="15.75" customHeight="1">
      <c r="A200" s="89"/>
      <c r="B200" s="108"/>
      <c r="C200" s="109"/>
      <c r="D200" s="109"/>
      <c r="E200" s="109"/>
      <c r="F200" s="109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 ht="15.75" customHeight="1">
      <c r="A201" s="89"/>
      <c r="B201" s="108"/>
      <c r="C201" s="109"/>
      <c r="D201" s="109"/>
      <c r="E201" s="109"/>
      <c r="F201" s="109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 ht="15.75" customHeight="1">
      <c r="A202" s="89"/>
      <c r="B202" s="108"/>
      <c r="C202" s="109"/>
      <c r="D202" s="109"/>
      <c r="E202" s="109"/>
      <c r="F202" s="109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 ht="15.75" customHeight="1">
      <c r="A203" s="89"/>
      <c r="B203" s="108"/>
      <c r="C203" s="109"/>
      <c r="D203" s="109"/>
      <c r="E203" s="109"/>
      <c r="F203" s="109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 ht="15.75" customHeight="1">
      <c r="A204" s="89"/>
      <c r="B204" s="108"/>
      <c r="C204" s="109"/>
      <c r="D204" s="109"/>
      <c r="E204" s="109"/>
      <c r="F204" s="109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 ht="15.75" customHeight="1">
      <c r="A205" s="89"/>
      <c r="B205" s="108"/>
      <c r="C205" s="109"/>
      <c r="D205" s="109"/>
      <c r="E205" s="109"/>
      <c r="F205" s="109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 ht="15.75" customHeight="1">
      <c r="A206" s="89"/>
      <c r="B206" s="108"/>
      <c r="C206" s="109"/>
      <c r="D206" s="109"/>
      <c r="E206" s="109"/>
      <c r="F206" s="109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 ht="15.75" customHeight="1">
      <c r="A207" s="89"/>
      <c r="B207" s="108"/>
      <c r="C207" s="109"/>
      <c r="D207" s="109"/>
      <c r="E207" s="109"/>
      <c r="F207" s="109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 ht="15.75" customHeight="1">
      <c r="A208" s="89"/>
      <c r="B208" s="108"/>
      <c r="C208" s="109"/>
      <c r="D208" s="109"/>
      <c r="E208" s="109"/>
      <c r="F208" s="109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 ht="15.75" customHeight="1">
      <c r="A209" s="89"/>
      <c r="B209" s="108"/>
      <c r="C209" s="109"/>
      <c r="D209" s="109"/>
      <c r="E209" s="109"/>
      <c r="F209" s="109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 ht="15.75" customHeight="1">
      <c r="A210" s="89"/>
      <c r="B210" s="108"/>
      <c r="C210" s="109"/>
      <c r="D210" s="109"/>
      <c r="E210" s="109"/>
      <c r="F210" s="109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 ht="15.75" customHeight="1">
      <c r="A211" s="89"/>
      <c r="B211" s="108"/>
      <c r="C211" s="109"/>
      <c r="D211" s="109"/>
      <c r="E211" s="109"/>
      <c r="F211" s="109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 ht="15.75" customHeight="1">
      <c r="A212" s="89"/>
      <c r="B212" s="108"/>
      <c r="C212" s="109"/>
      <c r="D212" s="109"/>
      <c r="E212" s="109"/>
      <c r="F212" s="109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 ht="15.75" customHeight="1">
      <c r="A213" s="89"/>
      <c r="B213" s="108"/>
      <c r="C213" s="109"/>
      <c r="D213" s="109"/>
      <c r="E213" s="109"/>
      <c r="F213" s="109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 ht="15.75" customHeight="1">
      <c r="A214" s="89"/>
      <c r="B214" s="108"/>
      <c r="C214" s="109"/>
      <c r="D214" s="109"/>
      <c r="E214" s="109"/>
      <c r="F214" s="109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 ht="15.75" customHeight="1">
      <c r="A215" s="89"/>
      <c r="B215" s="108"/>
      <c r="C215" s="109"/>
      <c r="D215" s="109"/>
      <c r="E215" s="109"/>
      <c r="F215" s="109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 ht="15.75" customHeight="1">
      <c r="A216" s="89"/>
      <c r="B216" s="108"/>
      <c r="C216" s="109"/>
      <c r="D216" s="109"/>
      <c r="E216" s="109"/>
      <c r="F216" s="109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 ht="15.75" customHeight="1">
      <c r="A217" s="89"/>
      <c r="B217" s="108"/>
      <c r="C217" s="109"/>
      <c r="D217" s="109"/>
      <c r="E217" s="109"/>
      <c r="F217" s="109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 ht="15.75" customHeight="1">
      <c r="A218" s="89"/>
      <c r="B218" s="108"/>
      <c r="C218" s="109"/>
      <c r="D218" s="109"/>
      <c r="E218" s="109"/>
      <c r="F218" s="109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 ht="15.75" customHeight="1">
      <c r="A219" s="89"/>
      <c r="B219" s="108"/>
      <c r="C219" s="109"/>
      <c r="D219" s="109"/>
      <c r="E219" s="109"/>
      <c r="F219" s="109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 ht="15.75" customHeight="1">
      <c r="A220" s="89"/>
      <c r="B220" s="108"/>
      <c r="C220" s="109"/>
      <c r="D220" s="109"/>
      <c r="E220" s="109"/>
      <c r="F220" s="109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20.75"/>
    <col customWidth="1" min="3" max="3" width="16.88"/>
    <col customWidth="1" min="4" max="4" width="22.88"/>
    <col customWidth="1" min="5" max="5" width="23.88"/>
    <col customWidth="1" min="6" max="6" width="24.0"/>
    <col customWidth="1" min="7" max="9" width="23.0"/>
    <col customWidth="1" min="10" max="10" width="11.25"/>
    <col customWidth="1" min="11" max="29" width="9.13"/>
  </cols>
  <sheetData>
    <row r="1">
      <c r="A1" s="89"/>
      <c r="B1" s="90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>
      <c r="A2" s="89"/>
      <c r="B2" s="90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>
      <c r="A3" s="92"/>
      <c r="B3" s="93" t="s">
        <v>115</v>
      </c>
      <c r="C3" s="103" t="s">
        <v>118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>
      <c r="A4" s="89"/>
      <c r="B4" s="90"/>
      <c r="C4" s="110"/>
      <c r="D4" s="110"/>
      <c r="E4" s="110"/>
      <c r="F4" s="110"/>
      <c r="G4" s="110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>
      <c r="A5" s="94"/>
      <c r="B5" s="95" t="s">
        <v>6</v>
      </c>
      <c r="C5" s="104" t="s">
        <v>43</v>
      </c>
      <c r="D5" s="104" t="s">
        <v>44</v>
      </c>
      <c r="E5" s="104" t="s">
        <v>45</v>
      </c>
      <c r="F5" s="104" t="s">
        <v>47</v>
      </c>
      <c r="G5" s="104" t="s">
        <v>46</v>
      </c>
      <c r="H5" s="104" t="s">
        <v>48</v>
      </c>
      <c r="I5" s="104" t="s">
        <v>119</v>
      </c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97"/>
      <c r="AC5" s="94"/>
    </row>
    <row r="6">
      <c r="A6" s="97"/>
      <c r="B6" s="98" t="s">
        <v>120</v>
      </c>
      <c r="C6" s="111">
        <v>10532.97</v>
      </c>
      <c r="D6" s="111">
        <v>241674.84</v>
      </c>
      <c r="E6" s="111">
        <v>100000.0</v>
      </c>
      <c r="F6" s="111">
        <v>737.3098659499411</v>
      </c>
      <c r="G6" s="111">
        <v>16917.283907945573</v>
      </c>
      <c r="H6" s="111"/>
      <c r="I6" s="111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  <c r="AA6" s="97"/>
      <c r="AB6" s="97"/>
      <c r="AC6" s="97"/>
    </row>
    <row r="7">
      <c r="A7" s="89"/>
      <c r="B7" s="98" t="s">
        <v>121</v>
      </c>
      <c r="C7" s="112">
        <v>0.0</v>
      </c>
      <c r="D7" s="112">
        <v>0.0</v>
      </c>
      <c r="E7" s="112">
        <v>30000.0</v>
      </c>
      <c r="F7" s="112">
        <v>0.0</v>
      </c>
      <c r="G7" s="112">
        <v>0.0</v>
      </c>
      <c r="H7" s="112"/>
      <c r="I7" s="112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</row>
    <row r="8">
      <c r="A8" s="89"/>
      <c r="B8" s="98" t="s">
        <v>122</v>
      </c>
      <c r="C8" s="112">
        <v>0.0</v>
      </c>
      <c r="D8" s="112">
        <v>0.0</v>
      </c>
      <c r="E8" s="112">
        <v>60000.0</v>
      </c>
      <c r="F8" s="112">
        <v>0.0</v>
      </c>
      <c r="G8" s="112">
        <v>0.0</v>
      </c>
      <c r="H8" s="112"/>
      <c r="I8" s="112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</row>
    <row r="9">
      <c r="A9" s="89"/>
      <c r="B9" s="98" t="s">
        <v>123</v>
      </c>
      <c r="C9" s="112">
        <v>982144.8</v>
      </c>
      <c r="D9" s="112">
        <v>332719.2</v>
      </c>
      <c r="E9" s="112">
        <v>150000.0</v>
      </c>
      <c r="F9" s="112">
        <v>68750.4124158704</v>
      </c>
      <c r="G9" s="112">
        <v>23290.437640843254</v>
      </c>
      <c r="H9" s="112"/>
      <c r="I9" s="112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</row>
    <row r="10">
      <c r="A10" s="89"/>
      <c r="B10" s="98" t="s">
        <v>124</v>
      </c>
      <c r="C10" s="112">
        <v>480504.13</v>
      </c>
      <c r="D10" s="112">
        <v>0.01</v>
      </c>
      <c r="E10" s="112">
        <v>2100.0</v>
      </c>
      <c r="F10" s="112">
        <v>33635.22941721284</v>
      </c>
      <c r="G10" s="112">
        <v>6.999987579131285E-4</v>
      </c>
      <c r="H10" s="112"/>
      <c r="I10" s="112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</row>
    <row r="11">
      <c r="A11" s="89"/>
      <c r="B11" s="98" t="s">
        <v>125</v>
      </c>
      <c r="C11" s="112">
        <v>1524520.62</v>
      </c>
      <c r="D11" s="112">
        <v>0.0</v>
      </c>
      <c r="E11" s="112">
        <v>1.0</v>
      </c>
      <c r="F11" s="112">
        <v>106716.72268272666</v>
      </c>
      <c r="G11" s="112">
        <v>0.0</v>
      </c>
      <c r="H11" s="112"/>
      <c r="I11" s="112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</row>
    <row r="12">
      <c r="A12" s="89"/>
      <c r="B12" s="98" t="s">
        <v>126</v>
      </c>
      <c r="C12" s="112">
        <v>0.0</v>
      </c>
      <c r="D12" s="112">
        <v>0.0</v>
      </c>
      <c r="E12" s="112">
        <v>0.0</v>
      </c>
      <c r="F12" s="112">
        <v>2050407.0</v>
      </c>
      <c r="G12" s="112">
        <v>0.0</v>
      </c>
      <c r="H12" s="112"/>
      <c r="I12" s="112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</row>
    <row r="13">
      <c r="A13" s="89"/>
      <c r="B13" s="98" t="s">
        <v>127</v>
      </c>
      <c r="C13" s="112">
        <v>0.0</v>
      </c>
      <c r="D13" s="112"/>
      <c r="E13" s="112">
        <v>0.0</v>
      </c>
      <c r="F13" s="112">
        <v>0.0</v>
      </c>
      <c r="G13" s="112">
        <v>0.0</v>
      </c>
      <c r="H13" s="112"/>
      <c r="I13" s="112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89"/>
      <c r="AC13" s="89"/>
    </row>
    <row r="14">
      <c r="A14" s="89"/>
      <c r="B14" s="98" t="s">
        <v>128</v>
      </c>
      <c r="C14" s="112">
        <v>367561.0</v>
      </c>
      <c r="D14" s="112">
        <v>0.0</v>
      </c>
      <c r="E14" s="112">
        <v>19968.0</v>
      </c>
      <c r="F14" s="112">
        <v>25729.013933290506</v>
      </c>
      <c r="G14" s="112">
        <v>0.0</v>
      </c>
      <c r="H14" s="112"/>
      <c r="I14" s="112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  <c r="AA14" s="89"/>
      <c r="AB14" s="89"/>
      <c r="AC14" s="89"/>
    </row>
    <row r="15">
      <c r="A15" s="89"/>
      <c r="B15" s="98" t="s">
        <v>129</v>
      </c>
      <c r="C15" s="112">
        <v>140365.73</v>
      </c>
      <c r="D15" s="112">
        <v>5442.48</v>
      </c>
      <c r="E15" s="112">
        <v>1.0</v>
      </c>
      <c r="F15" s="112">
        <v>9825.601100000002</v>
      </c>
      <c r="G15" s="112">
        <v>380.97360000000003</v>
      </c>
      <c r="H15" s="112"/>
      <c r="I15" s="112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89"/>
      <c r="AC15" s="89"/>
    </row>
    <row r="16">
      <c r="A16" s="89"/>
      <c r="B16" s="98" t="s">
        <v>130</v>
      </c>
      <c r="C16" s="112">
        <v>0.0</v>
      </c>
      <c r="D16" s="112">
        <v>0.0</v>
      </c>
      <c r="E16" s="112">
        <v>50000.0</v>
      </c>
      <c r="F16" s="112">
        <v>0.0</v>
      </c>
      <c r="G16" s="112">
        <v>0.0</v>
      </c>
      <c r="H16" s="112"/>
      <c r="I16" s="112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  <c r="AA16" s="89"/>
      <c r="AB16" s="89"/>
      <c r="AC16" s="89"/>
    </row>
    <row r="17">
      <c r="A17" s="89"/>
      <c r="B17" s="98" t="s">
        <v>131</v>
      </c>
      <c r="C17" s="112">
        <v>0.0</v>
      </c>
      <c r="D17" s="112">
        <v>0.0</v>
      </c>
      <c r="E17" s="112">
        <v>150000.0</v>
      </c>
      <c r="F17" s="112">
        <v>0.0</v>
      </c>
      <c r="G17" s="112">
        <v>0.0</v>
      </c>
      <c r="H17" s="112"/>
      <c r="I17" s="112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</row>
    <row r="18">
      <c r="A18" s="89"/>
      <c r="B18" s="98" t="s">
        <v>132</v>
      </c>
      <c r="C18" s="112">
        <v>0.0</v>
      </c>
      <c r="D18" s="112">
        <v>0.0</v>
      </c>
      <c r="E18" s="112">
        <v>30000.0</v>
      </c>
      <c r="F18" s="112">
        <v>0.0</v>
      </c>
      <c r="G18" s="112">
        <v>0.0</v>
      </c>
      <c r="H18" s="112"/>
      <c r="I18" s="112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  <c r="AA18" s="89"/>
      <c r="AB18" s="89"/>
      <c r="AC18" s="89"/>
    </row>
    <row r="19">
      <c r="A19" s="89"/>
      <c r="B19" s="98" t="s">
        <v>133</v>
      </c>
      <c r="C19" s="112">
        <v>203823.0</v>
      </c>
      <c r="D19" s="112">
        <v>0.0</v>
      </c>
      <c r="E19" s="112"/>
      <c r="F19" s="112">
        <v>14267.999999999998</v>
      </c>
      <c r="G19" s="112">
        <v>0.0</v>
      </c>
      <c r="H19" s="112"/>
      <c r="I19" s="112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89"/>
      <c r="AC19" s="89"/>
    </row>
    <row r="20">
      <c r="A20" s="89"/>
      <c r="B20" s="98" t="s">
        <v>134</v>
      </c>
      <c r="C20" s="112">
        <v>105551.66</v>
      </c>
      <c r="D20" s="112">
        <v>5029.94</v>
      </c>
      <c r="E20" s="112">
        <v>50000.0</v>
      </c>
      <c r="F20" s="112">
        <v>7388.786122256548</v>
      </c>
      <c r="G20" s="112">
        <v>352.1038974449393</v>
      </c>
      <c r="H20" s="112"/>
      <c r="I20" s="112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  <c r="AB20" s="89"/>
      <c r="AC20" s="89"/>
    </row>
    <row r="21" ht="15.75" customHeight="1">
      <c r="A21" s="89"/>
      <c r="B21" s="98" t="s">
        <v>135</v>
      </c>
      <c r="C21" s="112">
        <v>166401.4</v>
      </c>
      <c r="D21" s="112">
        <v>1013.27</v>
      </c>
      <c r="E21" s="112">
        <v>70000.0</v>
      </c>
      <c r="F21" s="112">
        <v>11645.39754391894</v>
      </c>
      <c r="G21" s="112">
        <v>70.92755540179333</v>
      </c>
      <c r="H21" s="112"/>
      <c r="I21" s="112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89"/>
      <c r="AC21" s="89"/>
    </row>
    <row r="22" ht="15.75" customHeight="1">
      <c r="A22" s="89"/>
      <c r="B22" s="98" t="s">
        <v>136</v>
      </c>
      <c r="C22" s="112">
        <v>300172.75</v>
      </c>
      <c r="D22" s="112">
        <v>23906.87</v>
      </c>
      <c r="E22" s="112">
        <v>20000.0</v>
      </c>
      <c r="F22" s="112">
        <v>21011.561398862414</v>
      </c>
      <c r="G22" s="112">
        <v>1673.4809</v>
      </c>
      <c r="H22" s="112"/>
      <c r="I22" s="112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  <c r="AB22" s="89"/>
      <c r="AC22" s="89"/>
    </row>
    <row r="23" ht="15.75" customHeight="1">
      <c r="A23" s="89"/>
      <c r="B23" s="98" t="s">
        <v>137</v>
      </c>
      <c r="C23" s="112">
        <v>157649.45</v>
      </c>
      <c r="D23" s="112">
        <v>483.11</v>
      </c>
      <c r="E23" s="112">
        <v>10000.0</v>
      </c>
      <c r="F23" s="112">
        <v>11035.011244525896</v>
      </c>
      <c r="G23" s="112">
        <v>33.816320211348064</v>
      </c>
      <c r="H23" s="112"/>
      <c r="I23" s="112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89"/>
      <c r="AC23" s="89"/>
    </row>
    <row r="24" ht="15.75" customHeight="1">
      <c r="A24" s="89"/>
      <c r="B24" s="98" t="s">
        <v>138</v>
      </c>
      <c r="C24" s="112">
        <v>225628.97</v>
      </c>
      <c r="D24" s="112">
        <v>676.03</v>
      </c>
      <c r="E24" s="112">
        <v>1.0</v>
      </c>
      <c r="F24" s="112">
        <v>15793.6789455381</v>
      </c>
      <c r="G24" s="112">
        <v>47.32105446189877</v>
      </c>
      <c r="H24" s="112"/>
      <c r="I24" s="112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  <c r="AA24" s="89"/>
      <c r="AB24" s="89"/>
      <c r="AC24" s="89"/>
    </row>
    <row r="25" ht="15.75" customHeight="1">
      <c r="A25" s="89"/>
      <c r="B25" s="98" t="s">
        <v>139</v>
      </c>
      <c r="C25" s="112">
        <v>6012.45</v>
      </c>
      <c r="D25" s="112">
        <v>0.01</v>
      </c>
      <c r="E25" s="112">
        <v>30000.0</v>
      </c>
      <c r="F25" s="112">
        <v>420.85432811309977</v>
      </c>
      <c r="G25" s="112">
        <v>6.999714394516376E-4</v>
      </c>
      <c r="H25" s="112"/>
      <c r="I25" s="112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</row>
    <row r="26" ht="15.75" customHeight="1">
      <c r="A26" s="89"/>
      <c r="B26" s="98" t="s">
        <v>140</v>
      </c>
      <c r="C26" s="112">
        <v>239824.43</v>
      </c>
      <c r="D26" s="112">
        <v>-0.01</v>
      </c>
      <c r="E26" s="112">
        <v>1.0</v>
      </c>
      <c r="F26" s="112">
        <v>16787.807088890688</v>
      </c>
      <c r="G26" s="112">
        <v>-7.000040441622518E-4</v>
      </c>
      <c r="H26" s="112"/>
      <c r="I26" s="112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  <c r="AA26" s="89"/>
      <c r="AB26" s="89"/>
      <c r="AC26" s="89"/>
    </row>
    <row r="27" ht="15.75" customHeight="1">
      <c r="A27" s="89"/>
      <c r="B27" s="98" t="s">
        <v>141</v>
      </c>
      <c r="C27" s="112">
        <v>113810.39</v>
      </c>
      <c r="D27" s="112">
        <v>163.46</v>
      </c>
      <c r="E27" s="112">
        <v>40000.0</v>
      </c>
      <c r="F27" s="112">
        <v>7966.856161401722</v>
      </c>
      <c r="G27" s="112">
        <v>11.442385076992755</v>
      </c>
      <c r="H27" s="112"/>
      <c r="I27" s="112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</row>
    <row r="28" ht="15.75" customHeight="1">
      <c r="A28" s="89"/>
      <c r="B28" s="98" t="s">
        <v>142</v>
      </c>
      <c r="C28" s="112">
        <v>102739.89</v>
      </c>
      <c r="D28" s="112">
        <v>12753.1</v>
      </c>
      <c r="E28" s="112">
        <v>100000.0</v>
      </c>
      <c r="F28" s="112">
        <v>7191.871254429482</v>
      </c>
      <c r="G28" s="112">
        <v>892.7268006113753</v>
      </c>
      <c r="H28" s="112"/>
      <c r="I28" s="112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</row>
    <row r="29" ht="15.75" customHeight="1">
      <c r="A29" s="89"/>
      <c r="B29" s="98" t="s">
        <v>143</v>
      </c>
      <c r="C29" s="112">
        <v>127671.83</v>
      </c>
      <c r="D29" s="112">
        <v>46857.14</v>
      </c>
      <c r="E29" s="112">
        <v>150000.0</v>
      </c>
      <c r="F29" s="112">
        <v>8976.714719867998</v>
      </c>
      <c r="G29" s="112">
        <v>3294.565280132004</v>
      </c>
      <c r="H29" s="112"/>
      <c r="I29" s="112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</row>
    <row r="30" ht="15.75" customHeight="1">
      <c r="A30" s="89"/>
      <c r="B30" s="98" t="s">
        <v>144</v>
      </c>
      <c r="C30" s="112">
        <v>0.0</v>
      </c>
      <c r="D30" s="112">
        <v>0.0</v>
      </c>
      <c r="E30" s="112">
        <v>15000.0</v>
      </c>
      <c r="F30" s="112">
        <v>0.0</v>
      </c>
      <c r="G30" s="112">
        <v>0.0</v>
      </c>
      <c r="H30" s="112"/>
      <c r="I30" s="112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</row>
    <row r="31" ht="15.75" customHeight="1">
      <c r="A31" s="89"/>
      <c r="B31" s="98" t="s">
        <v>145</v>
      </c>
      <c r="C31" s="112">
        <v>296005.65</v>
      </c>
      <c r="D31" s="112">
        <v>20154.35</v>
      </c>
      <c r="E31" s="112">
        <v>1.0</v>
      </c>
      <c r="F31" s="112">
        <v>20720.208249462303</v>
      </c>
      <c r="G31" s="112">
        <v>1410.7917505377027</v>
      </c>
      <c r="H31" s="112"/>
      <c r="I31" s="112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</row>
    <row r="32" ht="15.75" customHeight="1">
      <c r="A32" s="89"/>
      <c r="B32" s="98" t="s">
        <v>146</v>
      </c>
      <c r="C32" s="112">
        <v>164347.95</v>
      </c>
      <c r="D32" s="112">
        <v>18229.8</v>
      </c>
      <c r="E32" s="112">
        <v>80000.0</v>
      </c>
      <c r="F32" s="112">
        <v>11504.733185652076</v>
      </c>
      <c r="G32" s="112">
        <v>1276.127782718313</v>
      </c>
      <c r="H32" s="112"/>
      <c r="I32" s="112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</row>
    <row r="33" ht="15.75" customHeight="1">
      <c r="A33" s="89"/>
      <c r="B33" s="98" t="s">
        <v>147</v>
      </c>
      <c r="C33" s="112">
        <v>98669.36</v>
      </c>
      <c r="D33" s="112">
        <v>0.36</v>
      </c>
      <c r="E33" s="112"/>
      <c r="F33" s="112">
        <v>6906.654978084416</v>
      </c>
      <c r="G33" s="112">
        <v>0.025199269480519478</v>
      </c>
      <c r="H33" s="112"/>
      <c r="I33" s="112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</row>
    <row r="34" ht="15.75" customHeight="1">
      <c r="A34" s="89"/>
      <c r="B34" s="98" t="s">
        <v>148</v>
      </c>
      <c r="C34" s="112">
        <v>42829.16</v>
      </c>
      <c r="D34" s="112">
        <v>8665.92</v>
      </c>
      <c r="E34" s="112">
        <v>50000.0</v>
      </c>
      <c r="F34" s="112">
        <v>2997.9542901785717</v>
      </c>
      <c r="G34" s="112">
        <v>606.5968149350649</v>
      </c>
      <c r="H34" s="112"/>
      <c r="I34" s="112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</row>
    <row r="35" ht="15.75" customHeight="1">
      <c r="A35" s="89"/>
      <c r="B35" s="98" t="s">
        <v>149</v>
      </c>
      <c r="C35" s="112">
        <v>151042.46</v>
      </c>
      <c r="D35" s="112">
        <v>13548.3</v>
      </c>
      <c r="E35" s="112">
        <v>13000.0</v>
      </c>
      <c r="F35" s="112">
        <v>10573.437282722312</v>
      </c>
      <c r="G35" s="112">
        <v>948.3586066444713</v>
      </c>
      <c r="H35" s="112"/>
      <c r="I35" s="112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</row>
    <row r="36" ht="15.75" customHeight="1">
      <c r="A36" s="89"/>
      <c r="B36" s="98" t="s">
        <v>150</v>
      </c>
      <c r="C36" s="112">
        <v>11955.76</v>
      </c>
      <c r="D36" s="112">
        <v>6038.47</v>
      </c>
      <c r="E36" s="112">
        <v>40000.0</v>
      </c>
      <c r="F36" s="112">
        <v>836.9230794080619</v>
      </c>
      <c r="G36" s="112">
        <v>422.7029404498919</v>
      </c>
      <c r="H36" s="112"/>
      <c r="I36" s="112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</row>
    <row r="37" ht="15.75" customHeight="1">
      <c r="A37" s="89"/>
      <c r="B37" s="98" t="s">
        <v>151</v>
      </c>
      <c r="C37" s="112">
        <v>14447.45</v>
      </c>
      <c r="D37" s="112">
        <v>2369.61</v>
      </c>
      <c r="E37" s="112">
        <v>80000.0</v>
      </c>
      <c r="F37" s="112">
        <v>1011.3371560117034</v>
      </c>
      <c r="G37" s="112">
        <v>165.87526783320882</v>
      </c>
      <c r="H37" s="112"/>
      <c r="I37" s="112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</row>
    <row r="38" ht="15.75" customHeight="1">
      <c r="A38" s="89"/>
      <c r="B38" s="98" t="s">
        <v>152</v>
      </c>
      <c r="C38" s="112">
        <v>174767.0</v>
      </c>
      <c r="D38" s="112">
        <v>228273.46</v>
      </c>
      <c r="E38" s="112">
        <v>120000.0</v>
      </c>
      <c r="F38" s="112">
        <v>12233.819999504103</v>
      </c>
      <c r="G38" s="112">
        <v>15979.311999999998</v>
      </c>
      <c r="H38" s="112"/>
      <c r="I38" s="112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</row>
    <row r="39" ht="15.75" customHeight="1">
      <c r="A39" s="89"/>
      <c r="B39" s="98" t="s">
        <v>153</v>
      </c>
      <c r="C39" s="112">
        <v>554669.96</v>
      </c>
      <c r="D39" s="112">
        <v>0.0</v>
      </c>
      <c r="E39" s="112">
        <v>1.0</v>
      </c>
      <c r="F39" s="112">
        <v>41600.34991512026</v>
      </c>
      <c r="G39" s="112">
        <v>0.0</v>
      </c>
      <c r="H39" s="112"/>
      <c r="I39" s="112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</row>
    <row r="40" ht="15.75" customHeight="1">
      <c r="A40" s="89"/>
      <c r="B40" s="98" t="s">
        <v>154</v>
      </c>
      <c r="C40" s="112">
        <v>71914.0</v>
      </c>
      <c r="D40" s="112">
        <v>0.0</v>
      </c>
      <c r="E40" s="112">
        <v>1.0</v>
      </c>
      <c r="F40" s="112">
        <v>5393.55</v>
      </c>
      <c r="G40" s="112">
        <v>0.0</v>
      </c>
      <c r="H40" s="112"/>
      <c r="I40" s="112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</row>
    <row r="41" ht="15.75" customHeight="1">
      <c r="A41" s="89"/>
      <c r="B41" s="98" t="s">
        <v>155</v>
      </c>
      <c r="C41" s="112">
        <v>36185.9</v>
      </c>
      <c r="D41" s="112">
        <v>118693.79</v>
      </c>
      <c r="E41" s="112">
        <v>110000.0</v>
      </c>
      <c r="F41" s="112">
        <v>2532.972514544641</v>
      </c>
      <c r="G41" s="112">
        <v>8308.432503188631</v>
      </c>
      <c r="H41" s="112"/>
      <c r="I41" s="112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</row>
    <row r="42" ht="15.75" customHeight="1">
      <c r="A42" s="89"/>
      <c r="B42" s="98" t="s">
        <v>156</v>
      </c>
      <c r="C42" s="112">
        <v>130178.55</v>
      </c>
      <c r="D42" s="112">
        <v>2093.02</v>
      </c>
      <c r="E42" s="112">
        <v>1.0</v>
      </c>
      <c r="F42" s="112">
        <v>9112.498500000002</v>
      </c>
      <c r="G42" s="112">
        <v>146.5114</v>
      </c>
      <c r="H42" s="112"/>
      <c r="I42" s="112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</row>
    <row r="43" ht="15.75" customHeight="1">
      <c r="A43" s="89"/>
      <c r="B43" s="98" t="s">
        <v>157</v>
      </c>
      <c r="C43" s="112">
        <v>9399.21</v>
      </c>
      <c r="D43" s="112">
        <v>94088.42</v>
      </c>
      <c r="E43" s="112">
        <v>20000.0</v>
      </c>
      <c r="F43" s="112">
        <v>657.9447</v>
      </c>
      <c r="G43" s="112">
        <v>6586.1894</v>
      </c>
      <c r="H43" s="112"/>
      <c r="I43" s="112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89"/>
      <c r="AC43" s="89"/>
    </row>
    <row r="44" ht="15.75" customHeight="1">
      <c r="A44" s="89"/>
      <c r="B44" s="98" t="s">
        <v>158</v>
      </c>
      <c r="C44" s="112">
        <v>72133.03</v>
      </c>
      <c r="D44" s="112">
        <v>2092.06</v>
      </c>
      <c r="E44" s="112">
        <v>2000.0</v>
      </c>
      <c r="F44" s="112">
        <v>6491.972699999999</v>
      </c>
      <c r="G44" s="112">
        <v>188.2854</v>
      </c>
      <c r="H44" s="112"/>
      <c r="I44" s="112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</row>
    <row r="45" ht="15.75" customHeight="1">
      <c r="A45" s="89"/>
      <c r="B45" s="98" t="s">
        <v>159</v>
      </c>
      <c r="C45" s="112">
        <v>54057.84</v>
      </c>
      <c r="D45" s="112">
        <v>212552.34</v>
      </c>
      <c r="E45" s="112">
        <v>100000.0</v>
      </c>
      <c r="F45" s="112">
        <v>3782.375504065149</v>
      </c>
      <c r="G45" s="112">
        <v>14872.08449593485</v>
      </c>
      <c r="H45" s="112"/>
      <c r="I45" s="112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</row>
    <row r="46" ht="15.75" customHeight="1">
      <c r="A46" s="89"/>
      <c r="B46" s="106" t="s">
        <v>160</v>
      </c>
      <c r="C46" s="112">
        <v>143053.11</v>
      </c>
      <c r="D46" s="112">
        <v>7509.68</v>
      </c>
      <c r="E46" s="112">
        <v>1000.0</v>
      </c>
      <c r="F46" s="112">
        <v>10728.98325</v>
      </c>
      <c r="G46" s="112">
        <v>563.226</v>
      </c>
      <c r="H46" s="112"/>
      <c r="I46" s="112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</row>
    <row r="47" ht="15.75" customHeight="1">
      <c r="A47" s="89"/>
      <c r="B47" s="106" t="s">
        <v>161</v>
      </c>
      <c r="C47" s="112">
        <v>881337.14</v>
      </c>
      <c r="D47" s="112">
        <v>-0.01</v>
      </c>
      <c r="E47" s="112">
        <v>100000.0</v>
      </c>
      <c r="F47" s="112">
        <v>66100.60495005292</v>
      </c>
      <c r="G47" s="112">
        <v>-7.500036246067302E-4</v>
      </c>
      <c r="H47" s="112"/>
      <c r="I47" s="112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</row>
    <row r="48" ht="15.75" customHeight="1">
      <c r="A48" s="89"/>
      <c r="B48" s="106" t="s">
        <v>162</v>
      </c>
      <c r="C48" s="112">
        <v>3498575.96</v>
      </c>
      <c r="D48" s="112">
        <v>7611.92</v>
      </c>
      <c r="E48" s="112">
        <v>7000.0</v>
      </c>
      <c r="F48" s="112">
        <v>262393.44615437905</v>
      </c>
      <c r="G48" s="112">
        <v>570.8945420900454</v>
      </c>
      <c r="H48" s="112"/>
      <c r="I48" s="112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  <c r="AB48" s="89"/>
      <c r="AC48" s="89"/>
    </row>
    <row r="49" ht="15.75" customHeight="1">
      <c r="A49" s="89"/>
      <c r="B49" s="106" t="s">
        <v>163</v>
      </c>
      <c r="C49" s="112">
        <v>713585.27</v>
      </c>
      <c r="D49" s="112">
        <v>229360.64</v>
      </c>
      <c r="E49" s="112">
        <v>1.0</v>
      </c>
      <c r="F49" s="112">
        <v>49951.01532915303</v>
      </c>
      <c r="G49" s="112">
        <v>16055.259723262434</v>
      </c>
      <c r="H49" s="112"/>
      <c r="I49" s="112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89"/>
      <c r="AB49" s="89"/>
      <c r="AC49" s="89"/>
    </row>
    <row r="50" ht="15.75" customHeight="1">
      <c r="A50" s="89"/>
      <c r="B50" s="108" t="s">
        <v>164</v>
      </c>
      <c r="C50" s="112">
        <v>39792.37</v>
      </c>
      <c r="D50" s="112">
        <v>10198.0</v>
      </c>
      <c r="E50" s="112">
        <v>1.0</v>
      </c>
      <c r="F50" s="112">
        <v>2785.375372918089</v>
      </c>
      <c r="G50" s="112">
        <v>713.8367996934757</v>
      </c>
      <c r="H50" s="112"/>
      <c r="I50" s="112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  <c r="AB50" s="89"/>
      <c r="AC50" s="89"/>
    </row>
    <row r="51" ht="15.75" customHeight="1">
      <c r="A51" s="89"/>
      <c r="B51" s="108" t="s">
        <v>165</v>
      </c>
      <c r="C51" s="112">
        <v>1843634.29</v>
      </c>
      <c r="D51" s="112">
        <v>2.11</v>
      </c>
      <c r="E51" s="112">
        <v>1.0</v>
      </c>
      <c r="F51" s="112">
        <v>129054.71916029627</v>
      </c>
      <c r="G51" s="112">
        <v>0.147700364928787</v>
      </c>
      <c r="H51" s="112"/>
      <c r="I51" s="112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  <c r="AA51" s="89"/>
      <c r="AB51" s="89"/>
      <c r="AC51" s="89"/>
    </row>
    <row r="52" ht="15.75" customHeight="1">
      <c r="A52" s="89"/>
      <c r="B52" s="108" t="s">
        <v>166</v>
      </c>
      <c r="C52" s="112">
        <v>14761.33</v>
      </c>
      <c r="D52" s="112">
        <v>4614.23</v>
      </c>
      <c r="E52" s="112">
        <v>50.0</v>
      </c>
      <c r="F52" s="112">
        <v>1033.50379863119</v>
      </c>
      <c r="G52" s="112">
        <v>323.0619620832266</v>
      </c>
      <c r="H52" s="112"/>
      <c r="I52" s="112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</row>
    <row r="53" ht="15.75" customHeight="1">
      <c r="A53" s="89"/>
      <c r="B53" s="108" t="s">
        <v>167</v>
      </c>
      <c r="C53" s="112">
        <v>0.0</v>
      </c>
      <c r="D53" s="112">
        <v>0.0</v>
      </c>
      <c r="E53" s="112">
        <v>1.0</v>
      </c>
      <c r="F53" s="112">
        <v>0.0</v>
      </c>
      <c r="G53" s="112">
        <v>0.0</v>
      </c>
      <c r="H53" s="112"/>
      <c r="I53" s="112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</row>
    <row r="54" ht="15.75" customHeight="1">
      <c r="A54" s="89"/>
      <c r="B54" s="108" t="s">
        <v>168</v>
      </c>
      <c r="C54" s="112">
        <v>0.0</v>
      </c>
      <c r="D54" s="112">
        <v>7935.61</v>
      </c>
      <c r="E54" s="112">
        <v>1000.0</v>
      </c>
      <c r="F54" s="112">
        <v>0.0</v>
      </c>
      <c r="G54" s="112">
        <v>714.2049</v>
      </c>
      <c r="H54" s="112"/>
      <c r="I54" s="112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  <c r="AB54" s="89"/>
      <c r="AC54" s="89"/>
    </row>
    <row r="55" ht="15.75" customHeight="1">
      <c r="A55" s="89"/>
      <c r="B55" s="108" t="s">
        <v>169</v>
      </c>
      <c r="C55" s="112">
        <v>0.0</v>
      </c>
      <c r="D55" s="112">
        <v>0.0</v>
      </c>
      <c r="E55" s="112">
        <v>50000.0</v>
      </c>
      <c r="F55" s="112">
        <v>0.0</v>
      </c>
      <c r="G55" s="112">
        <v>0.0</v>
      </c>
      <c r="H55" s="112"/>
      <c r="I55" s="112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  <c r="AA55" s="89"/>
      <c r="AB55" s="89"/>
      <c r="AC55" s="89"/>
    </row>
    <row r="56" ht="15.75" customHeight="1">
      <c r="A56" s="89"/>
      <c r="B56" s="108" t="s">
        <v>170</v>
      </c>
      <c r="C56" s="112">
        <v>30341.32</v>
      </c>
      <c r="D56" s="112">
        <v>0.0</v>
      </c>
      <c r="E56" s="112">
        <v>1.0</v>
      </c>
      <c r="F56" s="112">
        <v>2123.8924</v>
      </c>
      <c r="G56" s="112">
        <v>0.0</v>
      </c>
      <c r="H56" s="112"/>
      <c r="I56" s="112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  <c r="AB56" s="89"/>
      <c r="AC56" s="89"/>
    </row>
    <row r="57" ht="15.75" customHeight="1">
      <c r="A57" s="89"/>
      <c r="B57" s="108" t="s">
        <v>171</v>
      </c>
      <c r="C57" s="112">
        <v>656193.34</v>
      </c>
      <c r="D57" s="112">
        <v>220010.89</v>
      </c>
      <c r="E57" s="112">
        <v>150000.0</v>
      </c>
      <c r="F57" s="112">
        <v>45929.28294284861</v>
      </c>
      <c r="G57" s="112">
        <v>15399.337057151393</v>
      </c>
      <c r="H57" s="112"/>
      <c r="I57" s="112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  <c r="AA57" s="89"/>
      <c r="AB57" s="89"/>
      <c r="AC57" s="89"/>
    </row>
    <row r="58" ht="15.75" customHeight="1">
      <c r="A58" s="89"/>
      <c r="B58" s="108" t="s">
        <v>172</v>
      </c>
      <c r="C58" s="112">
        <v>9316.74</v>
      </c>
      <c r="D58" s="112">
        <v>33008.26</v>
      </c>
      <c r="E58" s="112">
        <v>15000.0</v>
      </c>
      <c r="F58" s="112">
        <v>652.2268309509747</v>
      </c>
      <c r="G58" s="112">
        <v>2310.7731690490255</v>
      </c>
      <c r="H58" s="112"/>
      <c r="I58" s="112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  <c r="AA58" s="89"/>
      <c r="AB58" s="89"/>
      <c r="AC58" s="89"/>
    </row>
    <row r="59" ht="15.75" customHeight="1">
      <c r="A59" s="89"/>
      <c r="B59" s="108" t="s">
        <v>173</v>
      </c>
      <c r="C59" s="112">
        <v>319838.62</v>
      </c>
      <c r="D59" s="112">
        <v>180210.81</v>
      </c>
      <c r="E59" s="112">
        <v>170000.0</v>
      </c>
      <c r="F59" s="112">
        <v>22388.805827842403</v>
      </c>
      <c r="G59" s="112">
        <v>12614.814412243899</v>
      </c>
      <c r="H59" s="112"/>
      <c r="I59" s="112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  <c r="AA59" s="89"/>
      <c r="AB59" s="89"/>
      <c r="AC59" s="89"/>
    </row>
    <row r="60" ht="15.75" customHeight="1">
      <c r="A60" s="89"/>
      <c r="B60" s="108" t="s">
        <v>174</v>
      </c>
      <c r="C60" s="112">
        <v>110170.55</v>
      </c>
      <c r="D60" s="112">
        <v>651.01</v>
      </c>
      <c r="E60" s="112">
        <v>1.0</v>
      </c>
      <c r="F60" s="112">
        <v>7711.938500000001</v>
      </c>
      <c r="G60" s="112">
        <v>45.5707</v>
      </c>
      <c r="H60" s="112"/>
      <c r="I60" s="112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  <c r="AA60" s="89"/>
      <c r="AB60" s="89"/>
      <c r="AC60" s="89"/>
    </row>
    <row r="61" ht="15.75" customHeight="1">
      <c r="A61" s="89"/>
      <c r="B61" s="108" t="s">
        <v>175</v>
      </c>
      <c r="C61" s="112">
        <v>131426.5</v>
      </c>
      <c r="D61" s="112">
        <v>0.0</v>
      </c>
      <c r="E61" s="112">
        <v>1.0</v>
      </c>
      <c r="F61" s="112">
        <v>11827.966628264792</v>
      </c>
      <c r="G61" s="112">
        <v>0.0</v>
      </c>
      <c r="H61" s="112"/>
      <c r="I61" s="112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  <c r="AB61" s="89"/>
      <c r="AC61" s="89"/>
    </row>
    <row r="62" ht="15.75" customHeight="1">
      <c r="A62" s="89"/>
      <c r="B62" s="108" t="s">
        <v>176</v>
      </c>
      <c r="C62" s="112">
        <v>18410.65</v>
      </c>
      <c r="D62" s="112">
        <v>10678.27</v>
      </c>
      <c r="E62" s="112">
        <v>30000.0</v>
      </c>
      <c r="F62" s="112">
        <v>1288.7455000000002</v>
      </c>
      <c r="G62" s="112">
        <v>747.4789000000002</v>
      </c>
      <c r="H62" s="112"/>
      <c r="I62" s="112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  <c r="AA62" s="89"/>
      <c r="AB62" s="89"/>
      <c r="AC62" s="89"/>
    </row>
    <row r="63" ht="15.75" customHeight="1">
      <c r="A63" s="89"/>
      <c r="B63" s="108" t="s">
        <v>177</v>
      </c>
      <c r="C63" s="112">
        <v>53880.18</v>
      </c>
      <c r="D63" s="112">
        <v>0.0</v>
      </c>
      <c r="E63" s="112">
        <v>1.0</v>
      </c>
      <c r="F63" s="112">
        <v>4849.2162</v>
      </c>
      <c r="G63" s="112">
        <v>0.0</v>
      </c>
      <c r="H63" s="112"/>
      <c r="I63" s="112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  <c r="AA63" s="89"/>
      <c r="AB63" s="89"/>
      <c r="AC63" s="89"/>
    </row>
    <row r="64" ht="15.75" customHeight="1">
      <c r="A64" s="89"/>
      <c r="B64" s="108" t="s">
        <v>178</v>
      </c>
      <c r="C64" s="112">
        <v>76492.02</v>
      </c>
      <c r="D64" s="112">
        <v>13507.97</v>
      </c>
      <c r="E64" s="112">
        <v>1.0</v>
      </c>
      <c r="F64" s="112">
        <v>5354.441400000001</v>
      </c>
      <c r="G64" s="112">
        <v>945.5579000000001</v>
      </c>
      <c r="H64" s="112"/>
      <c r="I64" s="112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</row>
    <row r="65" ht="15.75" customHeight="1">
      <c r="A65" s="89"/>
      <c r="B65" s="108" t="s">
        <v>179</v>
      </c>
      <c r="C65" s="112">
        <v>27969.04</v>
      </c>
      <c r="D65" s="112">
        <v>0.0</v>
      </c>
      <c r="E65" s="112">
        <v>40000.0</v>
      </c>
      <c r="F65" s="112">
        <v>1957.784177295877</v>
      </c>
      <c r="G65" s="112">
        <v>0.0</v>
      </c>
      <c r="H65" s="112"/>
      <c r="I65" s="112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  <c r="AA65" s="89"/>
      <c r="AB65" s="89"/>
      <c r="AC65" s="89"/>
    </row>
    <row r="66" ht="15.75" customHeight="1">
      <c r="A66" s="89"/>
      <c r="B66" s="108" t="s">
        <v>180</v>
      </c>
      <c r="C66" s="112">
        <v>126880.88</v>
      </c>
      <c r="D66" s="112">
        <v>1998.37</v>
      </c>
      <c r="E66" s="112">
        <v>1.0</v>
      </c>
      <c r="F66" s="112">
        <v>8882.123954442195</v>
      </c>
      <c r="G66" s="112">
        <v>139.89318206839872</v>
      </c>
      <c r="H66" s="112"/>
      <c r="I66" s="112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  <c r="AA66" s="89"/>
      <c r="AB66" s="89"/>
      <c r="AC66" s="89"/>
    </row>
    <row r="67" ht="15.75" customHeight="1">
      <c r="A67" s="89"/>
      <c r="B67" s="108" t="s">
        <v>181</v>
      </c>
      <c r="C67" s="112">
        <v>2645372.99</v>
      </c>
      <c r="D67" s="112">
        <v>58091.32</v>
      </c>
      <c r="E67" s="112">
        <v>50000.0</v>
      </c>
      <c r="F67" s="112">
        <v>185176.10930000004</v>
      </c>
      <c r="G67" s="112">
        <v>4066.3924</v>
      </c>
      <c r="H67" s="112"/>
      <c r="I67" s="112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  <c r="AA67" s="89"/>
      <c r="AB67" s="89"/>
      <c r="AC67" s="89"/>
    </row>
    <row r="68" ht="15.75" customHeight="1">
      <c r="A68" s="89"/>
      <c r="B68" s="108" t="s">
        <v>182</v>
      </c>
      <c r="C68" s="112">
        <v>125292.37</v>
      </c>
      <c r="D68" s="112">
        <v>7833.0</v>
      </c>
      <c r="E68" s="112">
        <v>1.0</v>
      </c>
      <c r="F68" s="112">
        <v>8770.582946447757</v>
      </c>
      <c r="G68" s="112">
        <v>548.3173174833015</v>
      </c>
      <c r="H68" s="112"/>
      <c r="I68" s="112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  <c r="AA68" s="89"/>
      <c r="AB68" s="89"/>
      <c r="AC68" s="89"/>
    </row>
    <row r="69" ht="15.75" customHeight="1">
      <c r="A69" s="89"/>
      <c r="B69" s="108" t="s">
        <v>183</v>
      </c>
      <c r="C69" s="112">
        <v>97590.92</v>
      </c>
      <c r="D69" s="112">
        <v>1614.93</v>
      </c>
      <c r="E69" s="112">
        <v>22000.0</v>
      </c>
      <c r="F69" s="112">
        <v>6831.348213888843</v>
      </c>
      <c r="G69" s="112">
        <v>113.04483215298626</v>
      </c>
      <c r="H69" s="112"/>
      <c r="I69" s="112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  <c r="AA69" s="89"/>
      <c r="AB69" s="89"/>
      <c r="AC69" s="89"/>
    </row>
    <row r="70" ht="15.75" customHeight="1">
      <c r="A70" s="89"/>
      <c r="B70" s="108" t="s">
        <v>184</v>
      </c>
      <c r="C70" s="112">
        <v>635581.64</v>
      </c>
      <c r="D70" s="112">
        <v>1613.21</v>
      </c>
      <c r="E70" s="112">
        <v>1.0</v>
      </c>
      <c r="F70" s="112">
        <v>44490.97164776136</v>
      </c>
      <c r="G70" s="112">
        <v>112.9253519215645</v>
      </c>
      <c r="H70" s="112"/>
      <c r="I70" s="112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  <c r="AA70" s="89"/>
      <c r="AB70" s="89"/>
      <c r="AC70" s="89"/>
    </row>
    <row r="71" ht="15.75" customHeight="1">
      <c r="A71" s="89"/>
      <c r="B71" s="108" t="s">
        <v>185</v>
      </c>
      <c r="C71" s="112">
        <v>0.0</v>
      </c>
      <c r="D71" s="112">
        <v>613.5</v>
      </c>
      <c r="E71" s="112">
        <v>50000.0</v>
      </c>
      <c r="F71" s="112">
        <v>0.0</v>
      </c>
      <c r="G71" s="112">
        <v>42.945017379258765</v>
      </c>
      <c r="H71" s="112"/>
      <c r="I71" s="112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  <c r="AA71" s="89"/>
      <c r="AB71" s="89"/>
      <c r="AC71" s="89"/>
    </row>
    <row r="72" ht="15.75" customHeight="1">
      <c r="A72" s="89"/>
      <c r="B72" s="108" t="s">
        <v>186</v>
      </c>
      <c r="C72" s="112">
        <v>1899484.02</v>
      </c>
      <c r="D72" s="112">
        <v>0.0</v>
      </c>
      <c r="E72" s="112">
        <v>20000.0</v>
      </c>
      <c r="F72" s="112">
        <v>132964.36336798355</v>
      </c>
      <c r="G72" s="112">
        <v>0.0</v>
      </c>
      <c r="H72" s="112"/>
      <c r="I72" s="112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  <c r="AA72" s="89"/>
      <c r="AB72" s="89"/>
      <c r="AC72" s="89"/>
    </row>
    <row r="73" ht="15.75" customHeight="1">
      <c r="A73" s="89"/>
      <c r="B73" s="108" t="s">
        <v>187</v>
      </c>
      <c r="C73" s="112">
        <v>66856.1</v>
      </c>
      <c r="D73" s="112">
        <v>163080.0</v>
      </c>
      <c r="E73" s="112">
        <v>160000.0</v>
      </c>
      <c r="F73" s="112">
        <v>5014.2075</v>
      </c>
      <c r="G73" s="112">
        <v>12231.0</v>
      </c>
      <c r="H73" s="112"/>
      <c r="I73" s="112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89"/>
    </row>
    <row r="74" ht="15.75" customHeight="1">
      <c r="A74" s="89"/>
      <c r="B74" s="108" t="s">
        <v>188</v>
      </c>
      <c r="C74" s="112">
        <v>89365.69</v>
      </c>
      <c r="D74" s="112">
        <v>101527.31</v>
      </c>
      <c r="E74" s="112">
        <v>60000.0</v>
      </c>
      <c r="F74" s="112">
        <v>6259.3247378075675</v>
      </c>
      <c r="G74" s="112">
        <v>7111.145262192432</v>
      </c>
      <c r="H74" s="112"/>
      <c r="I74" s="112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89"/>
    </row>
    <row r="75" ht="15.75" customHeight="1">
      <c r="A75" s="89"/>
      <c r="B75" s="108" t="s">
        <v>189</v>
      </c>
      <c r="C75" s="112">
        <v>139212.94</v>
      </c>
      <c r="D75" s="112">
        <v>2229.05</v>
      </c>
      <c r="E75" s="112">
        <v>1.0</v>
      </c>
      <c r="F75" s="112">
        <v>9744.905800000002</v>
      </c>
      <c r="G75" s="112">
        <v>156.03350000000003</v>
      </c>
      <c r="H75" s="112"/>
      <c r="I75" s="112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  <c r="AA75" s="89"/>
      <c r="AB75" s="89"/>
      <c r="AC75" s="89"/>
    </row>
    <row r="76" ht="15.75" customHeight="1">
      <c r="A76" s="89"/>
      <c r="B76" s="108" t="s">
        <v>190</v>
      </c>
      <c r="C76" s="112">
        <v>525852.16</v>
      </c>
      <c r="D76" s="112">
        <v>24122.63</v>
      </c>
      <c r="E76" s="112">
        <v>1.0</v>
      </c>
      <c r="F76" s="112">
        <v>36809.65120000001</v>
      </c>
      <c r="G76" s="112">
        <v>1688.5841000000003</v>
      </c>
      <c r="H76" s="112"/>
      <c r="I76" s="112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  <c r="AA76" s="89"/>
      <c r="AB76" s="89"/>
      <c r="AC76" s="89"/>
    </row>
    <row r="77" ht="15.75" customHeight="1">
      <c r="A77" s="89"/>
      <c r="B77" s="108" t="s">
        <v>191</v>
      </c>
      <c r="C77" s="112">
        <v>24474.76</v>
      </c>
      <c r="D77" s="112">
        <v>53247.36</v>
      </c>
      <c r="E77" s="112">
        <v>1.0</v>
      </c>
      <c r="F77" s="112">
        <v>2202.7284</v>
      </c>
      <c r="G77" s="112">
        <v>4792.2624000000005</v>
      </c>
      <c r="H77" s="112"/>
      <c r="I77" s="112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  <c r="AA77" s="89"/>
      <c r="AB77" s="89"/>
      <c r="AC77" s="89"/>
    </row>
    <row r="78" ht="15.75" customHeight="1">
      <c r="A78" s="89"/>
      <c r="B78" s="108" t="s">
        <v>192</v>
      </c>
      <c r="C78" s="112">
        <v>11914.48</v>
      </c>
      <c r="D78" s="112">
        <v>0.0</v>
      </c>
      <c r="E78" s="112">
        <v>1.0</v>
      </c>
      <c r="F78" s="112">
        <v>1072.3031999999998</v>
      </c>
      <c r="G78" s="112">
        <v>0.0</v>
      </c>
      <c r="H78" s="112"/>
      <c r="I78" s="112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  <c r="AA78" s="89"/>
      <c r="AB78" s="89"/>
      <c r="AC78" s="89"/>
    </row>
    <row r="79" ht="15.75" customHeight="1">
      <c r="A79" s="89"/>
      <c r="B79" s="108" t="s">
        <v>193</v>
      </c>
      <c r="C79" s="112">
        <v>309506.14</v>
      </c>
      <c r="D79" s="112">
        <v>147378.84</v>
      </c>
      <c r="E79" s="112">
        <v>140000.0</v>
      </c>
      <c r="F79" s="112">
        <v>21665.4298</v>
      </c>
      <c r="G79" s="112">
        <v>10316.5188</v>
      </c>
      <c r="H79" s="112"/>
      <c r="I79" s="112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  <c r="AA79" s="89"/>
      <c r="AB79" s="89"/>
      <c r="AC79" s="89"/>
    </row>
    <row r="80" ht="15.75" customHeight="1">
      <c r="A80" s="89"/>
      <c r="B80" s="108" t="s">
        <v>194</v>
      </c>
      <c r="C80" s="112">
        <v>60409.4</v>
      </c>
      <c r="D80" s="112">
        <v>48319.8</v>
      </c>
      <c r="E80" s="112">
        <v>48000.0</v>
      </c>
      <c r="F80" s="112">
        <v>5436.8460000000005</v>
      </c>
      <c r="G80" s="112">
        <v>4348.782</v>
      </c>
      <c r="H80" s="112"/>
      <c r="I80" s="112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  <c r="AB80" s="89"/>
      <c r="AC80" s="89"/>
    </row>
    <row r="81" ht="15.75" customHeight="1">
      <c r="A81" s="89"/>
      <c r="B81" s="108" t="s">
        <v>195</v>
      </c>
      <c r="C81" s="112">
        <v>120451.56</v>
      </c>
      <c r="D81" s="112">
        <v>0.01</v>
      </c>
      <c r="E81" s="112">
        <v>1.0</v>
      </c>
      <c r="F81" s="112">
        <v>8431.6092</v>
      </c>
      <c r="G81" s="112">
        <v>7.000000000000001E-4</v>
      </c>
      <c r="H81" s="112"/>
      <c r="I81" s="112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</row>
    <row r="82" ht="15.75" customHeight="1">
      <c r="A82" s="89"/>
      <c r="B82" s="108" t="s">
        <v>196</v>
      </c>
      <c r="C82" s="112">
        <v>19002.09</v>
      </c>
      <c r="D82" s="112">
        <v>997.92</v>
      </c>
      <c r="E82" s="112">
        <v>900.0</v>
      </c>
      <c r="F82" s="112">
        <v>1330.1463000000003</v>
      </c>
      <c r="G82" s="112">
        <v>69.8544</v>
      </c>
      <c r="H82" s="112"/>
      <c r="I82" s="112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</row>
    <row r="83" ht="15.75" customHeight="1">
      <c r="A83" s="89"/>
      <c r="B83" s="108" t="s">
        <v>197</v>
      </c>
      <c r="C83" s="112">
        <v>10583.68</v>
      </c>
      <c r="D83" s="112">
        <v>37998.1</v>
      </c>
      <c r="E83" s="112">
        <v>1.0</v>
      </c>
      <c r="F83" s="112">
        <v>793.776</v>
      </c>
      <c r="G83" s="112">
        <v>2849.8575</v>
      </c>
      <c r="H83" s="112"/>
      <c r="I83" s="112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  <c r="AA83" s="89"/>
      <c r="AB83" s="89"/>
      <c r="AC83" s="89"/>
    </row>
    <row r="84" ht="15.75" customHeight="1">
      <c r="A84" s="89"/>
      <c r="B84" s="108" t="s">
        <v>198</v>
      </c>
      <c r="C84" s="112">
        <v>34493.68</v>
      </c>
      <c r="D84" s="112">
        <v>-420.0</v>
      </c>
      <c r="E84" s="112">
        <v>1.0</v>
      </c>
      <c r="F84" s="112">
        <v>2414.5576000000005</v>
      </c>
      <c r="G84" s="112">
        <v>-29.400000000000006</v>
      </c>
      <c r="H84" s="112"/>
      <c r="I84" s="112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  <c r="AA84" s="89"/>
      <c r="AB84" s="89"/>
      <c r="AC84" s="89"/>
    </row>
    <row r="85" ht="15.75" customHeight="1">
      <c r="A85" s="89"/>
      <c r="B85" s="108" t="s">
        <v>199</v>
      </c>
      <c r="C85" s="112">
        <v>69310.75</v>
      </c>
      <c r="D85" s="112">
        <v>152.0</v>
      </c>
      <c r="E85" s="112">
        <v>1.0</v>
      </c>
      <c r="F85" s="112">
        <v>6237.9675</v>
      </c>
      <c r="G85" s="112">
        <v>13.68</v>
      </c>
      <c r="H85" s="112"/>
      <c r="I85" s="112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  <c r="AA85" s="89"/>
      <c r="AB85" s="89"/>
      <c r="AC85" s="89"/>
    </row>
    <row r="86" ht="15.75" customHeight="1">
      <c r="A86" s="89"/>
      <c r="B86" s="108" t="s">
        <v>200</v>
      </c>
      <c r="C86" s="112">
        <v>117591.87</v>
      </c>
      <c r="D86" s="112">
        <v>0.0</v>
      </c>
      <c r="E86" s="112">
        <v>1.0</v>
      </c>
      <c r="F86" s="112">
        <v>8230.9912743432</v>
      </c>
      <c r="G86" s="112">
        <v>0.0</v>
      </c>
      <c r="H86" s="112"/>
      <c r="I86" s="112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  <c r="AA86" s="89"/>
      <c r="AB86" s="89"/>
      <c r="AC86" s="89"/>
    </row>
    <row r="87" ht="15.75" customHeight="1">
      <c r="A87" s="89"/>
      <c r="B87" s="108" t="s">
        <v>201</v>
      </c>
      <c r="C87" s="112">
        <v>1816.81</v>
      </c>
      <c r="D87" s="112">
        <v>0.0</v>
      </c>
      <c r="E87" s="112">
        <v>1.0</v>
      </c>
      <c r="F87" s="112">
        <v>127.18005510314713</v>
      </c>
      <c r="G87" s="112">
        <v>0.0</v>
      </c>
      <c r="H87" s="112"/>
      <c r="I87" s="112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  <c r="AA87" s="89"/>
      <c r="AB87" s="89"/>
      <c r="AC87" s="89"/>
    </row>
    <row r="88" ht="15.75" customHeight="1">
      <c r="A88" s="89"/>
      <c r="B88" s="108" t="s">
        <v>202</v>
      </c>
      <c r="C88" s="112">
        <v>622453.42</v>
      </c>
      <c r="D88" s="112">
        <v>0.01</v>
      </c>
      <c r="E88" s="112"/>
      <c r="F88" s="112">
        <v>43572.14941081588</v>
      </c>
      <c r="G88" s="112">
        <v>7.000065870120189E-4</v>
      </c>
      <c r="H88" s="112"/>
      <c r="I88" s="112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  <c r="AA88" s="89"/>
      <c r="AB88" s="89"/>
      <c r="AC88" s="89"/>
    </row>
    <row r="89" ht="15.75" customHeight="1">
      <c r="A89" s="89"/>
      <c r="B89" s="108" t="s">
        <v>203</v>
      </c>
      <c r="C89" s="112">
        <v>984349.39</v>
      </c>
      <c r="D89" s="112">
        <v>0.0</v>
      </c>
      <c r="E89" s="112">
        <v>20000.0</v>
      </c>
      <c r="F89" s="112">
        <v>68901.01</v>
      </c>
      <c r="G89" s="112">
        <v>0.0</v>
      </c>
      <c r="H89" s="112"/>
      <c r="I89" s="112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</row>
    <row r="90" ht="15.75" customHeight="1">
      <c r="A90" s="89"/>
      <c r="B90" s="108" t="s">
        <v>204</v>
      </c>
      <c r="C90" s="112">
        <v>177224.63</v>
      </c>
      <c r="D90" s="112">
        <v>0.0</v>
      </c>
      <c r="E90" s="112">
        <v>1.0</v>
      </c>
      <c r="F90" s="112">
        <v>13291.84725</v>
      </c>
      <c r="G90" s="112">
        <v>0.0</v>
      </c>
      <c r="H90" s="112"/>
      <c r="I90" s="112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  <c r="AA90" s="89"/>
      <c r="AB90" s="89"/>
      <c r="AC90" s="89"/>
    </row>
    <row r="91" ht="15.75" customHeight="1">
      <c r="A91" s="89"/>
      <c r="B91" s="108" t="s">
        <v>205</v>
      </c>
      <c r="C91" s="112">
        <v>26254.0</v>
      </c>
      <c r="D91" s="112">
        <v>2081.17</v>
      </c>
      <c r="E91" s="112">
        <v>1.0</v>
      </c>
      <c r="F91" s="112">
        <v>1837.7800000000004</v>
      </c>
      <c r="G91" s="112">
        <v>145.68190000000004</v>
      </c>
      <c r="H91" s="112"/>
      <c r="I91" s="112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  <c r="AA91" s="89"/>
      <c r="AB91" s="89"/>
      <c r="AC91" s="89"/>
    </row>
    <row r="92" ht="15.75" customHeight="1">
      <c r="A92" s="89"/>
      <c r="B92" s="108" t="s">
        <v>206</v>
      </c>
      <c r="C92" s="112">
        <v>655722.93</v>
      </c>
      <c r="D92" s="112">
        <v>24100.01</v>
      </c>
      <c r="E92" s="112">
        <v>1.0</v>
      </c>
      <c r="F92" s="112">
        <v>45900.740122033014</v>
      </c>
      <c r="G92" s="112">
        <v>1687.005662511141</v>
      </c>
      <c r="H92" s="112"/>
      <c r="I92" s="112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  <c r="AA92" s="89"/>
      <c r="AB92" s="89"/>
      <c r="AC92" s="89"/>
    </row>
    <row r="93" ht="15.75" customHeight="1">
      <c r="A93" s="89"/>
      <c r="B93" s="108" t="s">
        <v>207</v>
      </c>
      <c r="C93" s="112">
        <v>0.0</v>
      </c>
      <c r="D93" s="112">
        <v>0.0</v>
      </c>
      <c r="E93" s="112">
        <v>17000.0</v>
      </c>
      <c r="F93" s="112">
        <v>0.0</v>
      </c>
      <c r="G93" s="112">
        <v>0.0</v>
      </c>
      <c r="H93" s="112"/>
      <c r="I93" s="112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  <c r="AA93" s="89"/>
      <c r="AB93" s="89"/>
      <c r="AC93" s="89"/>
    </row>
    <row r="94" ht="15.75" customHeight="1">
      <c r="A94" s="89"/>
      <c r="B94" s="108" t="s">
        <v>208</v>
      </c>
      <c r="C94" s="112">
        <v>0.0</v>
      </c>
      <c r="D94" s="112">
        <v>0.0</v>
      </c>
      <c r="E94" s="112">
        <v>30000.0</v>
      </c>
      <c r="F94" s="112">
        <v>0.0</v>
      </c>
      <c r="G94" s="112">
        <v>0.0</v>
      </c>
      <c r="H94" s="112"/>
      <c r="I94" s="112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  <c r="AA94" s="89"/>
      <c r="AB94" s="89"/>
      <c r="AC94" s="89"/>
    </row>
    <row r="95" ht="15.75" customHeight="1">
      <c r="A95" s="89"/>
      <c r="B95" s="108" t="s">
        <v>209</v>
      </c>
      <c r="C95" s="112">
        <v>0.0</v>
      </c>
      <c r="D95" s="112">
        <v>0.0</v>
      </c>
      <c r="E95" s="112">
        <v>10000.0</v>
      </c>
      <c r="F95" s="112">
        <v>0.0</v>
      </c>
      <c r="G95" s="112">
        <v>0.0</v>
      </c>
      <c r="H95" s="112"/>
      <c r="I95" s="112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  <c r="AA95" s="89"/>
      <c r="AB95" s="89"/>
      <c r="AC95" s="89"/>
    </row>
    <row r="96" ht="15.75" customHeight="1">
      <c r="A96" s="89"/>
      <c r="B96" s="108" t="s">
        <v>210</v>
      </c>
      <c r="C96" s="112">
        <v>0.0</v>
      </c>
      <c r="D96" s="112">
        <v>0.0</v>
      </c>
      <c r="E96" s="112">
        <v>15000.0</v>
      </c>
      <c r="F96" s="112">
        <v>0.0</v>
      </c>
      <c r="G96" s="112">
        <v>0.0</v>
      </c>
      <c r="H96" s="112"/>
      <c r="I96" s="112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  <c r="AA96" s="89"/>
      <c r="AB96" s="89"/>
      <c r="AC96" s="89"/>
    </row>
    <row r="97" ht="15.75" customHeight="1">
      <c r="A97" s="89"/>
      <c r="B97" s="108" t="s">
        <v>211</v>
      </c>
      <c r="C97" s="112">
        <v>0.0</v>
      </c>
      <c r="D97" s="112">
        <v>0.0</v>
      </c>
      <c r="E97" s="112">
        <v>40000.0</v>
      </c>
      <c r="F97" s="112">
        <v>0.0</v>
      </c>
      <c r="G97" s="112">
        <v>0.0</v>
      </c>
      <c r="H97" s="112"/>
      <c r="I97" s="112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  <c r="AA97" s="89"/>
      <c r="AB97" s="89"/>
      <c r="AC97" s="89"/>
    </row>
    <row r="98" ht="15.75" customHeight="1">
      <c r="A98" s="89"/>
      <c r="B98" s="108" t="s">
        <v>212</v>
      </c>
      <c r="C98" s="112">
        <v>0.0</v>
      </c>
      <c r="D98" s="112">
        <v>0.0</v>
      </c>
      <c r="E98" s="112">
        <v>10000.0</v>
      </c>
      <c r="F98" s="112">
        <v>0.0</v>
      </c>
      <c r="G98" s="112">
        <v>0.0</v>
      </c>
      <c r="H98" s="112"/>
      <c r="I98" s="112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  <c r="AA98" s="89"/>
      <c r="AB98" s="89"/>
      <c r="AC98" s="89"/>
    </row>
    <row r="99" ht="15.75" customHeight="1">
      <c r="A99" s="89"/>
      <c r="B99" s="108" t="s">
        <v>213</v>
      </c>
      <c r="C99" s="112">
        <v>0.0</v>
      </c>
      <c r="D99" s="112">
        <v>0.0</v>
      </c>
      <c r="E99" s="112">
        <v>20000.0</v>
      </c>
      <c r="F99" s="112">
        <v>0.0</v>
      </c>
      <c r="G99" s="112">
        <v>0.0</v>
      </c>
      <c r="H99" s="112"/>
      <c r="I99" s="112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  <c r="AA99" s="89"/>
      <c r="AB99" s="89"/>
      <c r="AC99" s="89"/>
    </row>
    <row r="100" ht="15.75" customHeight="1">
      <c r="A100" s="89"/>
      <c r="B100" s="108" t="s">
        <v>214</v>
      </c>
      <c r="C100" s="112">
        <v>0.0</v>
      </c>
      <c r="D100" s="112">
        <v>0.0</v>
      </c>
      <c r="E100" s="112">
        <v>5000.0</v>
      </c>
      <c r="F100" s="112">
        <v>0.0</v>
      </c>
      <c r="G100" s="112">
        <v>0.0</v>
      </c>
      <c r="H100" s="112"/>
      <c r="I100" s="112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  <c r="AA100" s="89"/>
      <c r="AB100" s="89"/>
      <c r="AC100" s="89"/>
    </row>
    <row r="101" ht="15.75" customHeight="1">
      <c r="A101" s="89"/>
      <c r="B101" s="108" t="s">
        <v>215</v>
      </c>
      <c r="C101" s="112">
        <v>1053.73</v>
      </c>
      <c r="D101" s="112">
        <v>313284.8</v>
      </c>
      <c r="E101" s="112">
        <v>100000.0</v>
      </c>
      <c r="F101" s="112">
        <v>73.76110000000001</v>
      </c>
      <c r="G101" s="112">
        <v>21929.936</v>
      </c>
      <c r="H101" s="112"/>
      <c r="I101" s="112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  <c r="AA101" s="89"/>
      <c r="AB101" s="89"/>
      <c r="AC101" s="89"/>
    </row>
    <row r="102" ht="15.75" customHeight="1">
      <c r="A102" s="89"/>
      <c r="B102" s="108" t="s">
        <v>216</v>
      </c>
      <c r="C102" s="112">
        <v>575.63</v>
      </c>
      <c r="D102" s="112">
        <v>0.0</v>
      </c>
      <c r="E102" s="112">
        <v>450000.0</v>
      </c>
      <c r="F102" s="112">
        <v>40.2941</v>
      </c>
      <c r="G102" s="112">
        <v>0.0</v>
      </c>
      <c r="H102" s="112"/>
      <c r="I102" s="112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  <c r="AA102" s="89"/>
      <c r="AB102" s="89"/>
      <c r="AC102" s="89"/>
    </row>
    <row r="103" ht="15.75" customHeight="1">
      <c r="A103" s="89"/>
      <c r="B103" s="108" t="s">
        <v>217</v>
      </c>
      <c r="C103" s="112">
        <v>34640.62</v>
      </c>
      <c r="D103" s="112">
        <v>663.32</v>
      </c>
      <c r="E103" s="112">
        <v>80000.0</v>
      </c>
      <c r="F103" s="112">
        <v>2424.8434</v>
      </c>
      <c r="G103" s="112">
        <v>46.43240000000001</v>
      </c>
      <c r="H103" s="112"/>
      <c r="I103" s="112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  <c r="AA103" s="89"/>
      <c r="AB103" s="89"/>
      <c r="AC103" s="89"/>
    </row>
    <row r="104" ht="15.75" customHeight="1">
      <c r="A104" s="89"/>
      <c r="B104" s="108" t="s">
        <v>218</v>
      </c>
      <c r="C104" s="112">
        <v>1000000.0</v>
      </c>
      <c r="D104" s="112">
        <v>999800.0</v>
      </c>
      <c r="E104" s="112">
        <v>800000.0</v>
      </c>
      <c r="F104" s="112">
        <v>70000.00000000001</v>
      </c>
      <c r="G104" s="112">
        <v>69986.00000000001</v>
      </c>
      <c r="H104" s="112"/>
      <c r="I104" s="112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  <c r="AA104" s="89"/>
      <c r="AB104" s="89"/>
      <c r="AC104" s="89"/>
    </row>
    <row r="105" ht="15.75" customHeight="1">
      <c r="A105" s="89"/>
      <c r="B105" s="108" t="s">
        <v>219</v>
      </c>
      <c r="C105" s="112">
        <v>20296.95</v>
      </c>
      <c r="D105" s="112">
        <v>1284.66</v>
      </c>
      <c r="E105" s="112">
        <v>20000.0</v>
      </c>
      <c r="F105" s="112">
        <v>1710.0</v>
      </c>
      <c r="G105" s="112">
        <v>108.0</v>
      </c>
      <c r="H105" s="112"/>
      <c r="I105" s="112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  <c r="AA105" s="89"/>
      <c r="AB105" s="89"/>
      <c r="AC105" s="89"/>
    </row>
    <row r="106" ht="15.75" customHeight="1">
      <c r="A106" s="89"/>
      <c r="B106" s="108" t="s">
        <v>220</v>
      </c>
      <c r="C106" s="112">
        <v>0.0</v>
      </c>
      <c r="D106" s="112">
        <v>0.0</v>
      </c>
      <c r="E106" s="112">
        <v>20000.0</v>
      </c>
      <c r="F106" s="112">
        <v>0.0</v>
      </c>
      <c r="G106" s="112">
        <v>0.0</v>
      </c>
      <c r="H106" s="112"/>
      <c r="I106" s="112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  <c r="AA106" s="89"/>
      <c r="AB106" s="89"/>
      <c r="AC106" s="89"/>
    </row>
    <row r="107" ht="15.75" customHeight="1">
      <c r="A107" s="89"/>
      <c r="B107" s="108" t="s">
        <v>221</v>
      </c>
      <c r="C107" s="112">
        <v>362523.96</v>
      </c>
      <c r="D107" s="112">
        <v>15514.05</v>
      </c>
      <c r="E107" s="112">
        <v>30000.0</v>
      </c>
      <c r="F107" s="112">
        <v>25329.5052043608</v>
      </c>
      <c r="G107" s="112">
        <v>1083.9647956392007</v>
      </c>
      <c r="H107" s="112"/>
      <c r="I107" s="112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  <c r="AA107" s="89"/>
      <c r="AB107" s="89"/>
      <c r="AC107" s="89"/>
    </row>
    <row r="108" ht="15.75" customHeight="1">
      <c r="A108" s="89"/>
      <c r="B108" s="108" t="s">
        <v>222</v>
      </c>
      <c r="C108" s="112">
        <v>87673.02</v>
      </c>
      <c r="D108" s="112">
        <v>326.98</v>
      </c>
      <c r="E108" s="112">
        <v>100.0</v>
      </c>
      <c r="F108" s="112">
        <v>7890.571800000001</v>
      </c>
      <c r="G108" s="112">
        <v>29.4282</v>
      </c>
      <c r="H108" s="112"/>
      <c r="I108" s="112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  <c r="AA108" s="89"/>
      <c r="AB108" s="89"/>
      <c r="AC108" s="89"/>
    </row>
    <row r="109" ht="15.75" customHeight="1">
      <c r="A109" s="89"/>
      <c r="B109" s="108" t="s">
        <v>223</v>
      </c>
      <c r="C109" s="112">
        <v>9540.2</v>
      </c>
      <c r="D109" s="112">
        <v>3480.68</v>
      </c>
      <c r="E109" s="112">
        <v>20000.0</v>
      </c>
      <c r="F109" s="112">
        <v>858.618</v>
      </c>
      <c r="G109" s="112">
        <v>313.2612</v>
      </c>
      <c r="H109" s="112"/>
      <c r="I109" s="112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  <c r="AA109" s="89"/>
      <c r="AB109" s="89"/>
      <c r="AC109" s="89"/>
    </row>
    <row r="110" ht="15.75" customHeight="1">
      <c r="A110" s="89"/>
      <c r="B110" s="108" t="s">
        <v>224</v>
      </c>
      <c r="C110" s="112">
        <v>13238.81</v>
      </c>
      <c r="D110" s="112">
        <v>32996.6</v>
      </c>
      <c r="E110" s="112">
        <v>30000.0</v>
      </c>
      <c r="F110" s="112">
        <v>926.7167000000002</v>
      </c>
      <c r="G110" s="112">
        <v>2309.762</v>
      </c>
      <c r="H110" s="112"/>
      <c r="I110" s="112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  <c r="AA110" s="89"/>
      <c r="AB110" s="89"/>
      <c r="AC110" s="89"/>
    </row>
    <row r="111" ht="15.75" customHeight="1">
      <c r="A111" s="89"/>
      <c r="B111" s="108" t="s">
        <v>225</v>
      </c>
      <c r="C111" s="112">
        <v>95685.81</v>
      </c>
      <c r="D111" s="112">
        <v>42058.46</v>
      </c>
      <c r="E111" s="112">
        <v>5000.0</v>
      </c>
      <c r="F111" s="112">
        <v>6698.257774397378</v>
      </c>
      <c r="G111" s="112">
        <v>2944.2025591274314</v>
      </c>
      <c r="H111" s="112"/>
      <c r="I111" s="112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  <c r="AA111" s="89"/>
      <c r="AB111" s="89"/>
      <c r="AC111" s="89"/>
    </row>
    <row r="112" ht="15.75" customHeight="1">
      <c r="A112" s="89"/>
      <c r="B112" s="108" t="s">
        <v>226</v>
      </c>
      <c r="C112" s="112">
        <v>43804.24</v>
      </c>
      <c r="D112" s="112">
        <v>4402.58</v>
      </c>
      <c r="E112" s="112">
        <v>30000.0</v>
      </c>
      <c r="F112" s="112">
        <v>3066.366253369272</v>
      </c>
      <c r="G112" s="112">
        <v>308.1875804661487</v>
      </c>
      <c r="H112" s="112"/>
      <c r="I112" s="112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89"/>
      <c r="AB112" s="89"/>
      <c r="AC112" s="89"/>
    </row>
    <row r="113" ht="15.75" customHeight="1">
      <c r="A113" s="89"/>
      <c r="B113" s="108" t="s">
        <v>227</v>
      </c>
      <c r="C113" s="112">
        <v>0.0</v>
      </c>
      <c r="D113" s="112">
        <v>4409.04</v>
      </c>
      <c r="E113" s="112">
        <v>4000.0</v>
      </c>
      <c r="F113" s="112">
        <v>0.0</v>
      </c>
      <c r="G113" s="112">
        <v>396.8136</v>
      </c>
      <c r="H113" s="112"/>
      <c r="I113" s="112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  <c r="AA113" s="89"/>
      <c r="AB113" s="89"/>
      <c r="AC113" s="89"/>
    </row>
    <row r="114" ht="15.75" customHeight="1">
      <c r="A114" s="89"/>
      <c r="B114" s="108" t="s">
        <v>228</v>
      </c>
      <c r="C114" s="112">
        <v>0.0</v>
      </c>
      <c r="D114" s="112">
        <v>0.0</v>
      </c>
      <c r="E114" s="112">
        <v>30000.0</v>
      </c>
      <c r="F114" s="112">
        <v>0.0</v>
      </c>
      <c r="G114" s="112">
        <v>0.0</v>
      </c>
      <c r="H114" s="112"/>
      <c r="I114" s="112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  <c r="AA114" s="89"/>
      <c r="AB114" s="89"/>
      <c r="AC114" s="89"/>
    </row>
    <row r="115" ht="15.75" customHeight="1">
      <c r="A115" s="89"/>
      <c r="B115" s="108" t="s">
        <v>229</v>
      </c>
      <c r="C115" s="112">
        <v>7073.07</v>
      </c>
      <c r="D115" s="112">
        <v>0.0</v>
      </c>
      <c r="E115" s="112">
        <v>20000.0</v>
      </c>
      <c r="F115" s="112">
        <v>495.11490000000003</v>
      </c>
      <c r="G115" s="112">
        <v>0.0</v>
      </c>
      <c r="H115" s="112"/>
      <c r="I115" s="112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  <c r="AA115" s="89"/>
      <c r="AB115" s="89"/>
      <c r="AC115" s="89"/>
    </row>
    <row r="116" ht="15.75" customHeight="1">
      <c r="A116" s="89"/>
      <c r="B116" s="108" t="s">
        <v>230</v>
      </c>
      <c r="C116" s="112">
        <v>263446.52</v>
      </c>
      <c r="D116" s="112">
        <v>5303.48</v>
      </c>
      <c r="E116" s="112">
        <v>1.0</v>
      </c>
      <c r="F116" s="112">
        <v>18441.746533060465</v>
      </c>
      <c r="G116" s="112">
        <v>371.25346693953486</v>
      </c>
      <c r="H116" s="112"/>
      <c r="I116" s="112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  <c r="AA116" s="89"/>
      <c r="AB116" s="89"/>
      <c r="AC116" s="89"/>
    </row>
    <row r="117" ht="15.75" customHeight="1">
      <c r="A117" s="89"/>
      <c r="B117" s="108" t="s">
        <v>231</v>
      </c>
      <c r="C117" s="112">
        <v>23448.58</v>
      </c>
      <c r="D117" s="112">
        <v>0.0</v>
      </c>
      <c r="E117" s="112">
        <v>1.0</v>
      </c>
      <c r="F117" s="112">
        <v>1641.4006000000004</v>
      </c>
      <c r="G117" s="112">
        <v>0.0</v>
      </c>
      <c r="H117" s="112"/>
      <c r="I117" s="112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  <c r="AA117" s="89"/>
      <c r="AB117" s="89"/>
      <c r="AC117" s="89"/>
    </row>
    <row r="118" ht="15.75" customHeight="1">
      <c r="A118" s="89"/>
      <c r="B118" s="108" t="s">
        <v>232</v>
      </c>
      <c r="C118" s="112">
        <v>18759.36</v>
      </c>
      <c r="D118" s="112">
        <v>81.59</v>
      </c>
      <c r="E118" s="112">
        <v>30000.0</v>
      </c>
      <c r="F118" s="112">
        <v>1688.3424</v>
      </c>
      <c r="G118" s="112">
        <v>7.343100000000001</v>
      </c>
      <c r="H118" s="112"/>
      <c r="I118" s="112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  <c r="AA118" s="89"/>
      <c r="AB118" s="89"/>
      <c r="AC118" s="89"/>
    </row>
    <row r="119" ht="15.75" customHeight="1">
      <c r="A119" s="89"/>
      <c r="B119" s="108" t="s">
        <v>233</v>
      </c>
      <c r="C119" s="112">
        <v>4288.82</v>
      </c>
      <c r="D119" s="112">
        <v>0.86</v>
      </c>
      <c r="E119" s="112">
        <v>15000.0</v>
      </c>
      <c r="F119" s="112">
        <v>385.99379999999996</v>
      </c>
      <c r="G119" s="112">
        <v>0.0774</v>
      </c>
      <c r="H119" s="112"/>
      <c r="I119" s="112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  <c r="AA119" s="89"/>
      <c r="AB119" s="89"/>
      <c r="AC119" s="89"/>
    </row>
    <row r="120" ht="15.75" customHeight="1">
      <c r="A120" s="89"/>
      <c r="B120" s="108" t="s">
        <v>234</v>
      </c>
      <c r="C120" s="112">
        <v>1552.28</v>
      </c>
      <c r="D120" s="112">
        <v>72553.6</v>
      </c>
      <c r="E120" s="112">
        <v>30000.0</v>
      </c>
      <c r="F120" s="112">
        <v>139.7052</v>
      </c>
      <c r="G120" s="112">
        <v>6529.8240000000005</v>
      </c>
      <c r="H120" s="112"/>
      <c r="I120" s="112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  <c r="AA120" s="89"/>
      <c r="AB120" s="89"/>
      <c r="AC120" s="89"/>
    </row>
    <row r="121" ht="15.75" customHeight="1">
      <c r="A121" s="89"/>
      <c r="B121" s="108" t="s">
        <v>235</v>
      </c>
      <c r="C121" s="112">
        <v>18759.81</v>
      </c>
      <c r="D121" s="112">
        <v>41174.55</v>
      </c>
      <c r="E121" s="112">
        <v>20000.0</v>
      </c>
      <c r="F121" s="112">
        <v>1687.8750791816246</v>
      </c>
      <c r="G121" s="112">
        <v>3704.5949208183756</v>
      </c>
      <c r="H121" s="112"/>
      <c r="I121" s="112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  <c r="AA121" s="89"/>
      <c r="AB121" s="89"/>
      <c r="AC121" s="89"/>
    </row>
    <row r="122" ht="15.75" customHeight="1">
      <c r="A122" s="89"/>
      <c r="B122" s="108" t="s">
        <v>236</v>
      </c>
      <c r="C122" s="112">
        <v>129597.59</v>
      </c>
      <c r="D122" s="112">
        <v>2.41</v>
      </c>
      <c r="E122" s="112">
        <v>1.0</v>
      </c>
      <c r="F122" s="112">
        <v>9075.35123454321</v>
      </c>
      <c r="G122" s="112">
        <v>0.16870000000000002</v>
      </c>
      <c r="H122" s="112"/>
      <c r="I122" s="112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  <c r="AA122" s="89"/>
      <c r="AB122" s="89"/>
      <c r="AC122" s="89"/>
    </row>
    <row r="123" ht="15.75" customHeight="1">
      <c r="A123" s="89"/>
      <c r="B123" s="108" t="s">
        <v>237</v>
      </c>
      <c r="C123" s="112">
        <v>0.0</v>
      </c>
      <c r="D123" s="112">
        <v>0.0</v>
      </c>
      <c r="E123" s="112">
        <v>5000.0</v>
      </c>
      <c r="F123" s="112">
        <v>0.0</v>
      </c>
      <c r="G123" s="112">
        <v>0.0</v>
      </c>
      <c r="H123" s="112"/>
      <c r="I123" s="112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</row>
    <row r="124" ht="15.75" customHeight="1">
      <c r="A124" s="89"/>
      <c r="B124" s="108" t="s">
        <v>238</v>
      </c>
      <c r="C124" s="112">
        <v>184238.48</v>
      </c>
      <c r="D124" s="112">
        <v>3126.93</v>
      </c>
      <c r="E124" s="112">
        <v>9300.0</v>
      </c>
      <c r="F124" s="112">
        <v>12896.693600000002</v>
      </c>
      <c r="G124" s="112">
        <v>218.88510000000002</v>
      </c>
      <c r="H124" s="112"/>
      <c r="I124" s="112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  <c r="AA124" s="89"/>
      <c r="AB124" s="89"/>
      <c r="AC124" s="89"/>
    </row>
    <row r="125" ht="15.75" customHeight="1">
      <c r="A125" s="89"/>
      <c r="B125" s="108" t="s">
        <v>239</v>
      </c>
      <c r="C125" s="112">
        <v>940.0</v>
      </c>
      <c r="D125" s="112">
        <v>0.0</v>
      </c>
      <c r="E125" s="112">
        <v>10000.0</v>
      </c>
      <c r="F125" s="112">
        <v>65.80000000000001</v>
      </c>
      <c r="G125" s="112">
        <v>0.0</v>
      </c>
      <c r="H125" s="112"/>
      <c r="I125" s="112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  <c r="AA125" s="89"/>
      <c r="AB125" s="89"/>
      <c r="AC125" s="89"/>
    </row>
    <row r="126" ht="15.75" customHeight="1">
      <c r="A126" s="89"/>
      <c r="B126" s="108" t="s">
        <v>240</v>
      </c>
      <c r="C126" s="112">
        <v>27241.41</v>
      </c>
      <c r="D126" s="112">
        <v>287.28</v>
      </c>
      <c r="E126" s="112">
        <v>50000.0</v>
      </c>
      <c r="F126" s="112">
        <v>1906.8987000000004</v>
      </c>
      <c r="G126" s="112">
        <v>20.1096</v>
      </c>
      <c r="H126" s="112"/>
      <c r="I126" s="112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  <c r="AA126" s="89"/>
      <c r="AB126" s="89"/>
      <c r="AC126" s="89"/>
    </row>
    <row r="127" ht="15.75" customHeight="1">
      <c r="A127" s="89"/>
      <c r="B127" s="108" t="s">
        <v>241</v>
      </c>
      <c r="C127" s="112">
        <v>14496.35</v>
      </c>
      <c r="D127" s="112">
        <v>1.71</v>
      </c>
      <c r="E127" s="112">
        <v>20000.0</v>
      </c>
      <c r="F127" s="112">
        <v>1304.7196091301303</v>
      </c>
      <c r="G127" s="112">
        <v>0.15390567498801577</v>
      </c>
      <c r="H127" s="112"/>
      <c r="I127" s="112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  <c r="AA127" s="89"/>
      <c r="AB127" s="89"/>
      <c r="AC127" s="89"/>
    </row>
    <row r="128" ht="15.75" customHeight="1">
      <c r="A128" s="89"/>
      <c r="B128" s="108" t="s">
        <v>242</v>
      </c>
      <c r="C128" s="112">
        <v>0.0</v>
      </c>
      <c r="D128" s="112">
        <v>71541.54</v>
      </c>
      <c r="E128" s="112">
        <v>30000.0</v>
      </c>
      <c r="F128" s="112">
        <v>0.0</v>
      </c>
      <c r="G128" s="112">
        <v>5007.755356914554</v>
      </c>
      <c r="H128" s="112"/>
      <c r="I128" s="112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  <c r="AA128" s="89"/>
      <c r="AB128" s="89"/>
      <c r="AC128" s="89"/>
    </row>
    <row r="129" ht="15.75" customHeight="1">
      <c r="A129" s="89"/>
      <c r="B129" s="108" t="s">
        <v>243</v>
      </c>
      <c r="C129" s="112">
        <v>49780.7</v>
      </c>
      <c r="D129" s="112">
        <v>47014.38</v>
      </c>
      <c r="E129" s="112">
        <v>45000.0</v>
      </c>
      <c r="F129" s="112">
        <v>4480.263</v>
      </c>
      <c r="G129" s="112">
        <v>4231.2942</v>
      </c>
      <c r="H129" s="112"/>
      <c r="I129" s="112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  <c r="AA129" s="89"/>
      <c r="AB129" s="89"/>
      <c r="AC129" s="89"/>
    </row>
    <row r="130" ht="15.75" customHeight="1">
      <c r="A130" s="89"/>
      <c r="B130" s="108" t="s">
        <v>244</v>
      </c>
      <c r="C130" s="112">
        <v>217499.35</v>
      </c>
      <c r="D130" s="112">
        <v>499.07</v>
      </c>
      <c r="E130" s="112">
        <v>30000.0</v>
      </c>
      <c r="F130" s="112">
        <v>15224.954500000002</v>
      </c>
      <c r="G130" s="112">
        <v>34.934900000000006</v>
      </c>
      <c r="H130" s="112"/>
      <c r="I130" s="112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  <c r="AA130" s="89"/>
      <c r="AB130" s="89"/>
      <c r="AC130" s="89"/>
    </row>
    <row r="131" ht="15.75" customHeight="1">
      <c r="A131" s="89"/>
      <c r="B131" s="108" t="s">
        <v>245</v>
      </c>
      <c r="C131" s="112">
        <v>107678.74</v>
      </c>
      <c r="D131" s="112">
        <v>186281.74</v>
      </c>
      <c r="E131" s="112">
        <v>100000.0</v>
      </c>
      <c r="F131" s="112">
        <v>7535.64599671221</v>
      </c>
      <c r="G131" s="112">
        <v>13036.494003287788</v>
      </c>
      <c r="H131" s="112"/>
      <c r="I131" s="112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  <c r="AA131" s="89"/>
      <c r="AB131" s="89"/>
      <c r="AC131" s="89"/>
    </row>
    <row r="132" ht="15.75" customHeight="1">
      <c r="A132" s="89"/>
      <c r="B132" s="108" t="s">
        <v>246</v>
      </c>
      <c r="C132" s="112">
        <v>98272.3</v>
      </c>
      <c r="D132" s="112">
        <v>1861.64</v>
      </c>
      <c r="E132" s="112">
        <v>1800.0</v>
      </c>
      <c r="F132" s="112">
        <v>6878.628999320626</v>
      </c>
      <c r="G132" s="112">
        <v>130.30661631299208</v>
      </c>
      <c r="H132" s="112"/>
      <c r="I132" s="112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  <c r="AA132" s="89"/>
      <c r="AB132" s="89"/>
      <c r="AC132" s="89"/>
    </row>
    <row r="133" ht="15.75" customHeight="1">
      <c r="A133" s="89"/>
      <c r="B133" s="108" t="s">
        <v>247</v>
      </c>
      <c r="C133" s="112">
        <v>46296.33</v>
      </c>
      <c r="D133" s="112">
        <v>125301.38</v>
      </c>
      <c r="E133" s="112">
        <v>30000.0</v>
      </c>
      <c r="F133" s="112">
        <v>3239.3024717229623</v>
      </c>
      <c r="G133" s="112">
        <v>8767.197528277038</v>
      </c>
      <c r="H133" s="112"/>
      <c r="I133" s="112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  <c r="AA133" s="89"/>
      <c r="AB133" s="89"/>
      <c r="AC133" s="89"/>
    </row>
    <row r="134" ht="15.75" customHeight="1">
      <c r="A134" s="89"/>
      <c r="B134" s="108" t="s">
        <v>248</v>
      </c>
      <c r="C134" s="112">
        <v>77864.98</v>
      </c>
      <c r="D134" s="112">
        <v>10431.32</v>
      </c>
      <c r="E134" s="112">
        <v>40000.0</v>
      </c>
      <c r="F134" s="112">
        <v>5451.755866415693</v>
      </c>
      <c r="G134" s="112">
        <v>730.1924</v>
      </c>
      <c r="H134" s="112"/>
      <c r="I134" s="112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  <c r="AA134" s="89"/>
      <c r="AB134" s="89"/>
      <c r="AC134" s="89"/>
    </row>
    <row r="135" ht="15.75" customHeight="1">
      <c r="A135" s="89"/>
      <c r="B135" s="108" t="s">
        <v>249</v>
      </c>
      <c r="C135" s="112">
        <v>50554.64</v>
      </c>
      <c r="D135" s="112">
        <v>19836.69</v>
      </c>
      <c r="E135" s="112">
        <v>50000.0</v>
      </c>
      <c r="F135" s="112">
        <v>3537.9248309358554</v>
      </c>
      <c r="G135" s="112">
        <v>1388.5683000000001</v>
      </c>
      <c r="H135" s="112"/>
      <c r="I135" s="112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  <c r="AA135" s="89"/>
      <c r="AB135" s="89"/>
      <c r="AC135" s="89"/>
    </row>
    <row r="136" ht="15.75" customHeight="1">
      <c r="A136" s="89"/>
      <c r="B136" s="108" t="s">
        <v>250</v>
      </c>
      <c r="C136" s="112">
        <v>5133.18</v>
      </c>
      <c r="D136" s="112">
        <v>63193.96</v>
      </c>
      <c r="E136" s="112">
        <v>64000.0</v>
      </c>
      <c r="F136" s="112">
        <v>461.9862</v>
      </c>
      <c r="G136" s="112">
        <v>5687.4564</v>
      </c>
      <c r="H136" s="112"/>
      <c r="I136" s="112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  <c r="AA136" s="89"/>
      <c r="AB136" s="89"/>
      <c r="AC136" s="89"/>
    </row>
    <row r="137" ht="15.75" customHeight="1">
      <c r="A137" s="89"/>
      <c r="B137" s="108" t="s">
        <v>251</v>
      </c>
      <c r="C137" s="112">
        <v>1465.63</v>
      </c>
      <c r="D137" s="112">
        <v>1444.88</v>
      </c>
      <c r="E137" s="112">
        <v>40000.0</v>
      </c>
      <c r="F137" s="112">
        <v>131.9067</v>
      </c>
      <c r="G137" s="112">
        <v>130.0392</v>
      </c>
      <c r="H137" s="112"/>
      <c r="I137" s="112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  <c r="AA137" s="89"/>
      <c r="AB137" s="89"/>
      <c r="AC137" s="89"/>
    </row>
    <row r="138" ht="15.75" customHeight="1">
      <c r="A138" s="89"/>
      <c r="B138" s="108" t="s">
        <v>252</v>
      </c>
      <c r="C138" s="112">
        <v>29837.73</v>
      </c>
      <c r="D138" s="112">
        <v>26700.16</v>
      </c>
      <c r="E138" s="112">
        <v>30000.0</v>
      </c>
      <c r="F138" s="112">
        <v>2685.3957</v>
      </c>
      <c r="G138" s="112">
        <v>2403.0144</v>
      </c>
      <c r="H138" s="112"/>
      <c r="I138" s="112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  <c r="AA138" s="89"/>
      <c r="AB138" s="89"/>
      <c r="AC138" s="89"/>
    </row>
    <row r="139" ht="15.75" customHeight="1">
      <c r="A139" s="89"/>
      <c r="B139" s="108" t="s">
        <v>253</v>
      </c>
      <c r="C139" s="112">
        <v>49012.96</v>
      </c>
      <c r="D139" s="112">
        <v>12444.96</v>
      </c>
      <c r="E139" s="112">
        <v>15000.0</v>
      </c>
      <c r="F139" s="112">
        <v>4411.2650771894505</v>
      </c>
      <c r="G139" s="112">
        <v>1120.0714552848801</v>
      </c>
      <c r="H139" s="112"/>
      <c r="I139" s="112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  <c r="AA139" s="89"/>
      <c r="AB139" s="89"/>
      <c r="AC139" s="89"/>
    </row>
    <row r="140" ht="15.75" customHeight="1">
      <c r="A140" s="92"/>
      <c r="B140" s="108" t="s">
        <v>254</v>
      </c>
      <c r="C140" s="109">
        <v>8976.29</v>
      </c>
      <c r="D140" s="109">
        <v>70266.47</v>
      </c>
      <c r="E140" s="109">
        <v>65000.0</v>
      </c>
      <c r="F140" s="109">
        <v>807.8661</v>
      </c>
      <c r="G140" s="109">
        <v>6323.982300000001</v>
      </c>
      <c r="H140" s="109"/>
      <c r="I140" s="109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108" t="s">
        <v>255</v>
      </c>
      <c r="C141" s="109">
        <v>196135.73</v>
      </c>
      <c r="D141" s="109">
        <v>1476241.23</v>
      </c>
      <c r="E141" s="109">
        <v>500000.0</v>
      </c>
      <c r="F141" s="109">
        <v>13729.51748218668</v>
      </c>
      <c r="G141" s="109">
        <v>103337.00940267113</v>
      </c>
      <c r="H141" s="109"/>
      <c r="I141" s="109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108" t="s">
        <v>256</v>
      </c>
      <c r="C142" s="109">
        <v>0.0</v>
      </c>
      <c r="D142" s="109">
        <v>0.0</v>
      </c>
      <c r="E142" s="109">
        <v>20000.0</v>
      </c>
      <c r="F142" s="109">
        <v>0.0</v>
      </c>
      <c r="G142" s="109">
        <v>0.0</v>
      </c>
      <c r="H142" s="109"/>
      <c r="I142" s="109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108" t="s">
        <v>257</v>
      </c>
      <c r="C143" s="109">
        <v>29269.17</v>
      </c>
      <c r="D143" s="109">
        <v>181.92</v>
      </c>
      <c r="E143" s="109">
        <v>30000.0</v>
      </c>
      <c r="F143" s="109">
        <v>2634.2252999999996</v>
      </c>
      <c r="G143" s="109">
        <v>16.372799999999998</v>
      </c>
      <c r="H143" s="109"/>
      <c r="I143" s="109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108" t="s">
        <v>258</v>
      </c>
      <c r="C144" s="109">
        <v>16200.02</v>
      </c>
      <c r="D144" s="109">
        <v>21631.16</v>
      </c>
      <c r="E144" s="109">
        <v>10000.0</v>
      </c>
      <c r="F144" s="109">
        <v>1134.0014</v>
      </c>
      <c r="G144" s="109">
        <v>1514.1812000000002</v>
      </c>
      <c r="H144" s="109"/>
      <c r="I144" s="109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108" t="s">
        <v>259</v>
      </c>
      <c r="C145" s="109">
        <v>164863.5</v>
      </c>
      <c r="D145" s="109">
        <v>0.0</v>
      </c>
      <c r="E145" s="109">
        <v>1.0</v>
      </c>
      <c r="F145" s="109">
        <v>11540.445000000002</v>
      </c>
      <c r="G145" s="109">
        <v>0.0</v>
      </c>
      <c r="H145" s="109"/>
      <c r="I145" s="109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108" t="s">
        <v>260</v>
      </c>
      <c r="C146" s="109">
        <v>54830.16</v>
      </c>
      <c r="D146" s="109">
        <v>1141.0</v>
      </c>
      <c r="E146" s="109">
        <v>7500.0</v>
      </c>
      <c r="F146" s="109">
        <v>4934.7144</v>
      </c>
      <c r="G146" s="109">
        <v>102.69</v>
      </c>
      <c r="H146" s="109"/>
      <c r="I146" s="109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108" t="s">
        <v>261</v>
      </c>
      <c r="C147" s="109">
        <v>43771.97</v>
      </c>
      <c r="D147" s="109">
        <v>1872.31</v>
      </c>
      <c r="E147" s="109">
        <v>4000.0</v>
      </c>
      <c r="F147" s="109">
        <v>3939.4773</v>
      </c>
      <c r="G147" s="109">
        <v>168.50789999999998</v>
      </c>
      <c r="H147" s="109"/>
      <c r="I147" s="109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108" t="s">
        <v>262</v>
      </c>
      <c r="C148" s="109">
        <v>328706.85</v>
      </c>
      <c r="D148" s="109">
        <v>22643.38</v>
      </c>
      <c r="E148" s="109">
        <v>15000.0</v>
      </c>
      <c r="F148" s="109">
        <v>22997.49871150931</v>
      </c>
      <c r="G148" s="109">
        <v>1584.2112884906892</v>
      </c>
      <c r="H148" s="109"/>
      <c r="I148" s="109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108" t="s">
        <v>263</v>
      </c>
      <c r="C149" s="109">
        <v>672892.48</v>
      </c>
      <c r="D149" s="109">
        <v>-0.01</v>
      </c>
      <c r="E149" s="109">
        <v>1.0</v>
      </c>
      <c r="F149" s="109">
        <v>47102.84353594083</v>
      </c>
      <c r="G149" s="109">
        <v>-7.000054976976536E-4</v>
      </c>
      <c r="H149" s="109"/>
      <c r="I149" s="109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108" t="s">
        <v>264</v>
      </c>
      <c r="C150" s="109">
        <v>1442877.12</v>
      </c>
      <c r="D150" s="109">
        <v>13420.9</v>
      </c>
      <c r="E150" s="109">
        <v>10000.0</v>
      </c>
      <c r="F150" s="109">
        <v>101001.18295195233</v>
      </c>
      <c r="G150" s="109">
        <v>939.4609960131997</v>
      </c>
      <c r="H150" s="109"/>
      <c r="I150" s="109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108" t="s">
        <v>265</v>
      </c>
      <c r="C151" s="109">
        <v>41717.67</v>
      </c>
      <c r="D151" s="109">
        <v>68020.58</v>
      </c>
      <c r="E151" s="109">
        <v>75000.0</v>
      </c>
      <c r="F151" s="109">
        <v>2920.261859503072</v>
      </c>
      <c r="G151" s="109">
        <v>4761.481296421337</v>
      </c>
      <c r="H151" s="109"/>
      <c r="I151" s="109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108" t="s">
        <v>266</v>
      </c>
      <c r="C152" s="109">
        <v>847953.72</v>
      </c>
      <c r="D152" s="109">
        <v>1514769.03</v>
      </c>
      <c r="E152" s="109">
        <v>40000.0</v>
      </c>
      <c r="F152" s="109">
        <v>59345.296608194076</v>
      </c>
      <c r="G152" s="109">
        <v>106013.35339180591</v>
      </c>
      <c r="H152" s="109"/>
      <c r="I152" s="109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108" t="s">
        <v>267</v>
      </c>
      <c r="C153" s="109">
        <v>557576.76</v>
      </c>
      <c r="D153" s="109">
        <v>266414.45</v>
      </c>
      <c r="E153" s="109">
        <v>100000.0</v>
      </c>
      <c r="F153" s="109">
        <v>39030.54033430653</v>
      </c>
      <c r="G153" s="109">
        <v>18649.09135805282</v>
      </c>
      <c r="H153" s="109"/>
      <c r="I153" s="109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108" t="s">
        <v>268</v>
      </c>
      <c r="C154" s="109">
        <v>251546.12</v>
      </c>
      <c r="D154" s="109">
        <v>137884.89</v>
      </c>
      <c r="E154" s="109">
        <v>30000.0</v>
      </c>
      <c r="F154" s="109">
        <v>17608.428569154985</v>
      </c>
      <c r="G154" s="109">
        <v>9652.052022630254</v>
      </c>
      <c r="H154" s="109"/>
      <c r="I154" s="109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108" t="s">
        <v>269</v>
      </c>
      <c r="C155" s="109">
        <v>448249.85</v>
      </c>
      <c r="D155" s="109">
        <v>8989.32</v>
      </c>
      <c r="E155" s="109">
        <v>8000.0</v>
      </c>
      <c r="F155" s="109">
        <v>31377.078715639764</v>
      </c>
      <c r="G155" s="109">
        <v>629.2441620227532</v>
      </c>
      <c r="H155" s="109"/>
      <c r="I155" s="109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108" t="s">
        <v>270</v>
      </c>
      <c r="C156" s="109">
        <v>63015.19</v>
      </c>
      <c r="D156" s="109">
        <v>-0.02</v>
      </c>
      <c r="E156" s="109">
        <v>1000.0</v>
      </c>
      <c r="F156" s="109">
        <v>4411.063300000001</v>
      </c>
      <c r="G156" s="109">
        <v>-0.0014000000000000002</v>
      </c>
      <c r="H156" s="109"/>
      <c r="I156" s="109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108" t="s">
        <v>271</v>
      </c>
      <c r="C157" s="109">
        <v>9679.17</v>
      </c>
      <c r="D157" s="109">
        <v>1603.77</v>
      </c>
      <c r="E157" s="109">
        <v>20000.0</v>
      </c>
      <c r="F157" s="109">
        <v>677.580444514502</v>
      </c>
      <c r="G157" s="109">
        <v>112.27028655339484</v>
      </c>
      <c r="H157" s="109"/>
      <c r="I157" s="109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108" t="s">
        <v>272</v>
      </c>
      <c r="C158" s="109">
        <v>1914413.72</v>
      </c>
      <c r="D158" s="109">
        <v>219451.78</v>
      </c>
      <c r="E158" s="109">
        <v>245000.0</v>
      </c>
      <c r="F158" s="109">
        <v>133896.8560680341</v>
      </c>
      <c r="G158" s="109">
        <v>15348.773931965912</v>
      </c>
      <c r="H158" s="109"/>
      <c r="I158" s="109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108" t="s">
        <v>273</v>
      </c>
      <c r="C159" s="109">
        <v>2798248.78</v>
      </c>
      <c r="D159" s="109">
        <v>231177.99</v>
      </c>
      <c r="E159" s="109">
        <v>150000.0</v>
      </c>
      <c r="F159" s="109">
        <v>195877.53439431926</v>
      </c>
      <c r="G159" s="109">
        <v>16182.469196836242</v>
      </c>
      <c r="H159" s="109"/>
      <c r="I159" s="109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108" t="s">
        <v>274</v>
      </c>
      <c r="C160" s="109">
        <v>164373.78</v>
      </c>
      <c r="D160" s="109">
        <v>-0.01</v>
      </c>
      <c r="E160" s="109">
        <v>1.0</v>
      </c>
      <c r="F160" s="109">
        <v>11506.214566191446</v>
      </c>
      <c r="G160" s="109">
        <v>-7.000030397908625E-4</v>
      </c>
      <c r="H160" s="109"/>
      <c r="I160" s="109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108" t="s">
        <v>275</v>
      </c>
      <c r="C161" s="109">
        <v>273710.52</v>
      </c>
      <c r="D161" s="109">
        <v>412.63</v>
      </c>
      <c r="E161" s="109">
        <v>1000.0</v>
      </c>
      <c r="F161" s="109">
        <v>19159.7364</v>
      </c>
      <c r="G161" s="109">
        <v>28.8841</v>
      </c>
      <c r="H161" s="109"/>
      <c r="I161" s="109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108" t="s">
        <v>276</v>
      </c>
      <c r="C162" s="109">
        <v>630581.1</v>
      </c>
      <c r="D162" s="109">
        <v>11850.01</v>
      </c>
      <c r="E162" s="109">
        <v>1.0</v>
      </c>
      <c r="F162" s="109">
        <v>44140.46216654845</v>
      </c>
      <c r="G162" s="109">
        <v>829.4966628054993</v>
      </c>
      <c r="H162" s="109"/>
      <c r="I162" s="109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108" t="s">
        <v>277</v>
      </c>
      <c r="C163" s="109">
        <v>227444.39</v>
      </c>
      <c r="D163" s="109">
        <v>71.82</v>
      </c>
      <c r="E163" s="109">
        <v>1.0</v>
      </c>
      <c r="F163" s="109">
        <v>15921.08732122309</v>
      </c>
      <c r="G163" s="109">
        <v>5.027393691311719</v>
      </c>
      <c r="H163" s="109"/>
      <c r="I163" s="109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108" t="s">
        <v>278</v>
      </c>
      <c r="C164" s="109">
        <v>227098.23</v>
      </c>
      <c r="D164" s="109">
        <v>11571.68</v>
      </c>
      <c r="E164" s="109">
        <v>7000.0</v>
      </c>
      <c r="F164" s="109">
        <v>15893.12360648437</v>
      </c>
      <c r="G164" s="109">
        <v>809.8263935156302</v>
      </c>
      <c r="H164" s="109"/>
      <c r="I164" s="109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108" t="s">
        <v>279</v>
      </c>
      <c r="C165" s="109">
        <v>247032.14</v>
      </c>
      <c r="D165" s="109">
        <v>152431.09</v>
      </c>
      <c r="E165" s="109">
        <v>50000.0</v>
      </c>
      <c r="F165" s="109">
        <v>17291.1390734216</v>
      </c>
      <c r="G165" s="109">
        <v>10669.490926578399</v>
      </c>
      <c r="H165" s="109"/>
      <c r="I165" s="109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108" t="s">
        <v>280</v>
      </c>
      <c r="C166" s="109">
        <v>1.312065729E7</v>
      </c>
      <c r="D166" s="109">
        <v>1457108.9</v>
      </c>
      <c r="E166" s="109">
        <v>300000.0</v>
      </c>
      <c r="F166" s="109">
        <v>918445.7420038347</v>
      </c>
      <c r="G166" s="109">
        <v>101997.59320448582</v>
      </c>
      <c r="H166" s="109"/>
      <c r="I166" s="109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108" t="s">
        <v>281</v>
      </c>
      <c r="C167" s="109">
        <v>11609.28</v>
      </c>
      <c r="D167" s="109">
        <v>59943.0</v>
      </c>
      <c r="E167" s="109">
        <v>75000.0</v>
      </c>
      <c r="F167" s="109">
        <v>812.6496000000002</v>
      </c>
      <c r="G167" s="109">
        <v>4196.01</v>
      </c>
      <c r="H167" s="109"/>
      <c r="I167" s="109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108" t="s">
        <v>282</v>
      </c>
      <c r="C168" s="109">
        <v>90191.83</v>
      </c>
      <c r="D168" s="109">
        <v>225394.16</v>
      </c>
      <c r="E168" s="109">
        <v>165000.0</v>
      </c>
      <c r="F168" s="109">
        <v>6311.910746574333</v>
      </c>
      <c r="G168" s="109">
        <v>15773.799253425666</v>
      </c>
      <c r="H168" s="109"/>
      <c r="I168" s="109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108" t="s">
        <v>283</v>
      </c>
      <c r="C169" s="109">
        <v>424148.51</v>
      </c>
      <c r="D169" s="109">
        <v>1005525.63</v>
      </c>
      <c r="E169" s="109">
        <v>900000.0</v>
      </c>
      <c r="F169" s="109">
        <v>29686.260110473493</v>
      </c>
      <c r="G169" s="109">
        <v>70376.9898895265</v>
      </c>
      <c r="H169" s="109"/>
      <c r="I169" s="109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108" t="s">
        <v>284</v>
      </c>
      <c r="C170" s="109">
        <v>81071.04</v>
      </c>
      <c r="D170" s="109">
        <v>41665.79</v>
      </c>
      <c r="E170" s="109">
        <v>80000.0</v>
      </c>
      <c r="F170" s="109">
        <v>5610.803817462125</v>
      </c>
      <c r="G170" s="109">
        <v>2883.6261825378742</v>
      </c>
      <c r="H170" s="109"/>
      <c r="I170" s="109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108" t="s">
        <v>285</v>
      </c>
      <c r="C171" s="109">
        <v>3960000.0</v>
      </c>
      <c r="D171" s="109">
        <v>440000.0</v>
      </c>
      <c r="E171" s="109">
        <v>440000.0</v>
      </c>
      <c r="F171" s="109">
        <v>277200.00000000006</v>
      </c>
      <c r="G171" s="109">
        <v>30800.000000000004</v>
      </c>
      <c r="H171" s="109"/>
      <c r="I171" s="109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108" t="s">
        <v>286</v>
      </c>
      <c r="C172" s="109">
        <v>12411.36</v>
      </c>
      <c r="D172" s="109">
        <v>5832.09</v>
      </c>
      <c r="E172" s="109">
        <v>30000.0</v>
      </c>
      <c r="F172" s="109">
        <v>1117.0987776</v>
      </c>
      <c r="G172" s="109">
        <v>524.9239897846154</v>
      </c>
      <c r="H172" s="109"/>
      <c r="I172" s="109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108" t="s">
        <v>287</v>
      </c>
      <c r="C173" s="109">
        <v>0.0</v>
      </c>
      <c r="D173" s="109">
        <v>0.0</v>
      </c>
      <c r="E173" s="109">
        <v>40000.0</v>
      </c>
      <c r="F173" s="109">
        <v>0.0</v>
      </c>
      <c r="G173" s="109">
        <v>0.0</v>
      </c>
      <c r="H173" s="109"/>
      <c r="I173" s="109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108" t="s">
        <v>288</v>
      </c>
      <c r="C174" s="109">
        <v>0.0</v>
      </c>
      <c r="D174" s="109">
        <v>0.0</v>
      </c>
      <c r="E174" s="109">
        <v>70000.0</v>
      </c>
      <c r="F174" s="109">
        <v>0.0</v>
      </c>
      <c r="G174" s="109">
        <v>0.0</v>
      </c>
      <c r="H174" s="109"/>
      <c r="I174" s="109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108" t="s">
        <v>289</v>
      </c>
      <c r="C175" s="109">
        <v>109306.82</v>
      </c>
      <c r="D175" s="109">
        <v>131188.66</v>
      </c>
      <c r="E175" s="109">
        <v>100000.0</v>
      </c>
      <c r="F175" s="109">
        <v>7651.5468673149035</v>
      </c>
      <c r="G175" s="109">
        <v>9183.289573790911</v>
      </c>
      <c r="H175" s="109"/>
      <c r="I175" s="109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108" t="s">
        <v>290</v>
      </c>
      <c r="C176" s="109">
        <v>0.0</v>
      </c>
      <c r="D176" s="109">
        <v>0.0</v>
      </c>
      <c r="E176" s="109">
        <v>120000.0</v>
      </c>
      <c r="F176" s="109">
        <v>0.0</v>
      </c>
      <c r="G176" s="109">
        <v>0.0</v>
      </c>
      <c r="H176" s="109"/>
      <c r="I176" s="109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108" t="s">
        <v>291</v>
      </c>
      <c r="C177" s="109">
        <v>0.0</v>
      </c>
      <c r="D177" s="109">
        <v>0.0</v>
      </c>
      <c r="E177" s="109">
        <v>20000.0</v>
      </c>
      <c r="F177" s="109">
        <v>0.0</v>
      </c>
      <c r="G177" s="109">
        <v>0.0</v>
      </c>
      <c r="H177" s="109"/>
      <c r="I177" s="109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108" t="s">
        <v>292</v>
      </c>
      <c r="C178" s="109">
        <v>0.0</v>
      </c>
      <c r="D178" s="109">
        <v>0.0</v>
      </c>
      <c r="E178" s="109">
        <v>60000.0</v>
      </c>
      <c r="F178" s="109">
        <v>0.0</v>
      </c>
      <c r="G178" s="109">
        <v>0.0</v>
      </c>
      <c r="H178" s="109"/>
      <c r="I178" s="109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108" t="s">
        <v>293</v>
      </c>
      <c r="C179" s="109">
        <v>1125.11</v>
      </c>
      <c r="D179" s="109">
        <v>0.0</v>
      </c>
      <c r="E179" s="109">
        <v>50000.0</v>
      </c>
      <c r="F179" s="109">
        <v>78.7577</v>
      </c>
      <c r="G179" s="109">
        <v>0.0</v>
      </c>
      <c r="H179" s="109"/>
      <c r="I179" s="109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108" t="s">
        <v>294</v>
      </c>
      <c r="C180" s="109">
        <v>10590.64</v>
      </c>
      <c r="D180" s="109">
        <v>326.56</v>
      </c>
      <c r="E180" s="109">
        <v>20000.0</v>
      </c>
      <c r="F180" s="109">
        <v>953.1575999999999</v>
      </c>
      <c r="G180" s="109">
        <v>29.3904</v>
      </c>
      <c r="H180" s="109"/>
      <c r="I180" s="109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108" t="s">
        <v>295</v>
      </c>
      <c r="C181" s="109">
        <v>390.83</v>
      </c>
      <c r="D181" s="109">
        <v>0.0</v>
      </c>
      <c r="E181" s="109">
        <v>60000.0</v>
      </c>
      <c r="F181" s="109">
        <v>27.3581</v>
      </c>
      <c r="G181" s="109">
        <v>0.0</v>
      </c>
      <c r="H181" s="109"/>
      <c r="I181" s="109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108" t="s">
        <v>296</v>
      </c>
      <c r="C182" s="109">
        <v>0.0</v>
      </c>
      <c r="D182" s="109">
        <v>0.0</v>
      </c>
      <c r="E182" s="109">
        <v>30000.0</v>
      </c>
      <c r="F182" s="109">
        <v>0.0</v>
      </c>
      <c r="G182" s="109">
        <v>0.0</v>
      </c>
      <c r="H182" s="109"/>
      <c r="I182" s="109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108" t="s">
        <v>297</v>
      </c>
      <c r="C183" s="109">
        <v>15127.85</v>
      </c>
      <c r="D183" s="109">
        <v>2668.68</v>
      </c>
      <c r="E183" s="109">
        <v>60000.0</v>
      </c>
      <c r="F183" s="109">
        <v>1058.9301857314688</v>
      </c>
      <c r="G183" s="109">
        <v>186.80419280055366</v>
      </c>
      <c r="H183" s="109"/>
      <c r="I183" s="109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108" t="s">
        <v>298</v>
      </c>
      <c r="C184" s="109">
        <v>0.0</v>
      </c>
      <c r="D184" s="109">
        <v>0.0</v>
      </c>
      <c r="E184" s="109">
        <v>70000.0</v>
      </c>
      <c r="F184" s="109">
        <v>0.0</v>
      </c>
      <c r="G184" s="109">
        <v>0.0</v>
      </c>
      <c r="H184" s="109"/>
      <c r="I184" s="109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108" t="s">
        <v>299</v>
      </c>
      <c r="C185" s="109">
        <v>0.0</v>
      </c>
      <c r="D185" s="109">
        <v>0.0</v>
      </c>
      <c r="E185" s="109">
        <v>5000.0</v>
      </c>
      <c r="F185" s="109">
        <v>0.0</v>
      </c>
      <c r="G185" s="109">
        <v>0.0</v>
      </c>
      <c r="H185" s="109"/>
      <c r="I185" s="109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108" t="s">
        <v>300</v>
      </c>
      <c r="C186" s="109">
        <v>35.39</v>
      </c>
      <c r="D186" s="109">
        <v>0.0</v>
      </c>
      <c r="E186" s="109">
        <v>25000.0</v>
      </c>
      <c r="F186" s="109">
        <v>3.184910647405029</v>
      </c>
      <c r="G186" s="109">
        <v>0.0</v>
      </c>
      <c r="H186" s="109"/>
      <c r="I186" s="109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108" t="s">
        <v>301</v>
      </c>
      <c r="C187" s="109">
        <v>0.0</v>
      </c>
      <c r="D187" s="109">
        <v>0.0</v>
      </c>
      <c r="E187" s="109">
        <v>20000.0</v>
      </c>
      <c r="F187" s="109">
        <v>0.0</v>
      </c>
      <c r="G187" s="109">
        <v>0.0</v>
      </c>
      <c r="H187" s="109"/>
      <c r="I187" s="109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108" t="s">
        <v>302</v>
      </c>
      <c r="C188" s="109">
        <v>0.0</v>
      </c>
      <c r="D188" s="109">
        <v>64531.13</v>
      </c>
      <c r="E188" s="109">
        <v>80000.0</v>
      </c>
      <c r="F188" s="109">
        <v>0.0</v>
      </c>
      <c r="G188" s="109">
        <v>4517.21248047279</v>
      </c>
      <c r="H188" s="109"/>
      <c r="I188" s="109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108" t="s">
        <v>303</v>
      </c>
      <c r="C189" s="109">
        <v>61066.28</v>
      </c>
      <c r="D189" s="109">
        <v>11750.84</v>
      </c>
      <c r="E189" s="109">
        <v>30000.0</v>
      </c>
      <c r="F189" s="109">
        <v>4274.6396</v>
      </c>
      <c r="G189" s="109">
        <v>822.5588</v>
      </c>
      <c r="H189" s="109"/>
      <c r="I189" s="109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108" t="s">
        <v>304</v>
      </c>
      <c r="C190" s="109">
        <v>206458.2</v>
      </c>
      <c r="D190" s="109">
        <v>3500.0</v>
      </c>
      <c r="E190" s="109">
        <v>1.0</v>
      </c>
      <c r="F190" s="109">
        <v>14452.074000000004</v>
      </c>
      <c r="G190" s="109">
        <v>245.00000000000003</v>
      </c>
      <c r="H190" s="109"/>
      <c r="I190" s="109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108" t="s">
        <v>305</v>
      </c>
      <c r="C191" s="109">
        <v>1063567.58</v>
      </c>
      <c r="D191" s="109">
        <v>28005.55</v>
      </c>
      <c r="E191" s="109">
        <v>40000.0</v>
      </c>
      <c r="F191" s="109">
        <v>74419.88732439229</v>
      </c>
      <c r="G191" s="109">
        <v>1959.6026756077256</v>
      </c>
      <c r="H191" s="109"/>
      <c r="I191" s="109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108" t="s">
        <v>306</v>
      </c>
      <c r="C192" s="109">
        <v>13239.62</v>
      </c>
      <c r="D192" s="109">
        <v>131.39</v>
      </c>
      <c r="E192" s="109">
        <v>20000.0</v>
      </c>
      <c r="F192" s="109">
        <v>926.7734000000003</v>
      </c>
      <c r="G192" s="109">
        <v>9.1973</v>
      </c>
      <c r="H192" s="109"/>
      <c r="I192" s="109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108" t="s">
        <v>307</v>
      </c>
      <c r="C193" s="109">
        <v>2808.68</v>
      </c>
      <c r="D193" s="109">
        <v>41.58</v>
      </c>
      <c r="E193" s="109">
        <v>20000.0</v>
      </c>
      <c r="F193" s="109">
        <v>196.6076</v>
      </c>
      <c r="G193" s="109">
        <v>2.9106000000000005</v>
      </c>
      <c r="H193" s="109"/>
      <c r="I193" s="109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108" t="s">
        <v>308</v>
      </c>
      <c r="C194" s="109">
        <v>8732614.0</v>
      </c>
      <c r="D194" s="109">
        <v>0.0</v>
      </c>
      <c r="E194" s="109"/>
      <c r="F194" s="109">
        <v>611283.0</v>
      </c>
      <c r="G194" s="109">
        <v>0.0</v>
      </c>
      <c r="H194" s="109"/>
      <c r="I194" s="109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108" t="s">
        <v>309</v>
      </c>
      <c r="C195" s="109">
        <v>136049.38</v>
      </c>
      <c r="D195" s="109">
        <v>0.03</v>
      </c>
      <c r="E195" s="109">
        <v>1000.0</v>
      </c>
      <c r="F195" s="109">
        <v>9523.456600000001</v>
      </c>
      <c r="G195" s="109">
        <v>0.0021</v>
      </c>
      <c r="H195" s="109"/>
      <c r="I195" s="109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108" t="s">
        <v>310</v>
      </c>
      <c r="C196" s="109">
        <v>101682.42</v>
      </c>
      <c r="D196" s="109">
        <v>1079289.47</v>
      </c>
      <c r="E196" s="109">
        <v>200000.0</v>
      </c>
      <c r="F196" s="109">
        <v>7117.802801694236</v>
      </c>
      <c r="G196" s="109">
        <v>75550.61743618107</v>
      </c>
      <c r="H196" s="109"/>
      <c r="I196" s="109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108" t="s">
        <v>311</v>
      </c>
      <c r="C197" s="109">
        <v>31476.81</v>
      </c>
      <c r="D197" s="109">
        <v>396405.7</v>
      </c>
      <c r="E197" s="109">
        <v>30000.0</v>
      </c>
      <c r="F197" s="109">
        <v>2203.3767000000003</v>
      </c>
      <c r="G197" s="109">
        <v>27748.399000000005</v>
      </c>
      <c r="H197" s="109"/>
      <c r="I197" s="109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108" t="s">
        <v>312</v>
      </c>
      <c r="C198" s="109">
        <v>1084.17</v>
      </c>
      <c r="D198" s="109">
        <v>41.71</v>
      </c>
      <c r="E198" s="109">
        <v>5000.0</v>
      </c>
      <c r="F198" s="109">
        <v>75.89190000000002</v>
      </c>
      <c r="G198" s="109">
        <v>2.9197000000000006</v>
      </c>
      <c r="H198" s="109"/>
      <c r="I198" s="109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108" t="s">
        <v>313</v>
      </c>
      <c r="C199" s="109">
        <v>381920.37</v>
      </c>
      <c r="D199" s="109">
        <v>67397.71</v>
      </c>
      <c r="E199" s="109">
        <v>90000.0</v>
      </c>
      <c r="F199" s="109">
        <v>26734.66696399767</v>
      </c>
      <c r="G199" s="109">
        <v>4717.882240703987</v>
      </c>
      <c r="H199" s="109"/>
      <c r="I199" s="109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108" t="s">
        <v>314</v>
      </c>
      <c r="C200" s="109">
        <v>239258.45</v>
      </c>
      <c r="D200" s="109">
        <v>0.0</v>
      </c>
      <c r="E200" s="109">
        <v>1.0</v>
      </c>
      <c r="F200" s="109">
        <v>16748.198170244847</v>
      </c>
      <c r="G200" s="109">
        <v>0.0</v>
      </c>
      <c r="H200" s="109"/>
      <c r="I200" s="109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108" t="s">
        <v>315</v>
      </c>
      <c r="C201" s="109">
        <v>206117.23</v>
      </c>
      <c r="D201" s="109">
        <v>86047.1</v>
      </c>
      <c r="E201" s="109">
        <v>20000.0</v>
      </c>
      <c r="F201" s="109">
        <v>14396.146724734674</v>
      </c>
      <c r="G201" s="109">
        <v>6009.913275265327</v>
      </c>
      <c r="H201" s="109"/>
      <c r="I201" s="109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108" t="s">
        <v>316</v>
      </c>
      <c r="C202" s="109">
        <v>91950.23</v>
      </c>
      <c r="D202" s="109">
        <v>4528.19</v>
      </c>
      <c r="E202" s="109">
        <v>8000.0</v>
      </c>
      <c r="F202" s="109">
        <v>6434.4580508874415</v>
      </c>
      <c r="G202" s="109">
        <v>316.9733</v>
      </c>
      <c r="H202" s="109"/>
      <c r="I202" s="109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108" t="s">
        <v>317</v>
      </c>
      <c r="C203" s="109">
        <v>561583.09</v>
      </c>
      <c r="D203" s="109">
        <v>52864.14</v>
      </c>
      <c r="E203" s="109">
        <v>50000.0</v>
      </c>
      <c r="F203" s="109">
        <v>39310.816300000006</v>
      </c>
      <c r="G203" s="109">
        <v>3700.4898000000003</v>
      </c>
      <c r="H203" s="109"/>
      <c r="I203" s="109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108" t="s">
        <v>318</v>
      </c>
      <c r="C204" s="109">
        <v>297299.65</v>
      </c>
      <c r="D204" s="109">
        <v>607834.14</v>
      </c>
      <c r="E204" s="109">
        <v>300000.0</v>
      </c>
      <c r="F204" s="109">
        <v>20810.915865371924</v>
      </c>
      <c r="G204" s="109">
        <v>42548.26787599884</v>
      </c>
      <c r="H204" s="109"/>
      <c r="I204" s="109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108" t="s">
        <v>319</v>
      </c>
      <c r="C205" s="109">
        <v>614386.79</v>
      </c>
      <c r="D205" s="109">
        <v>2222.01</v>
      </c>
      <c r="E205" s="109">
        <v>1.0</v>
      </c>
      <c r="F205" s="109">
        <v>42988.0</v>
      </c>
      <c r="G205" s="109">
        <v>155.47195777192934</v>
      </c>
      <c r="H205" s="109"/>
      <c r="I205" s="109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108" t="s">
        <v>320</v>
      </c>
      <c r="C206" s="109">
        <v>9772.14</v>
      </c>
      <c r="D206" s="109">
        <v>128019.82</v>
      </c>
      <c r="E206" s="109">
        <v>20000.0</v>
      </c>
      <c r="F206" s="109">
        <v>684.0498</v>
      </c>
      <c r="G206" s="109">
        <v>8961.387400000001</v>
      </c>
      <c r="H206" s="109"/>
      <c r="I206" s="109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108" t="s">
        <v>321</v>
      </c>
      <c r="C207" s="109">
        <v>314113.23</v>
      </c>
      <c r="D207" s="109">
        <v>-0.05</v>
      </c>
      <c r="E207" s="109">
        <v>1.0</v>
      </c>
      <c r="F207" s="109">
        <v>21988.32588774341</v>
      </c>
      <c r="G207" s="109">
        <v>-0.003500063637520682</v>
      </c>
      <c r="H207" s="109"/>
      <c r="I207" s="109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108" t="s">
        <v>322</v>
      </c>
      <c r="C208" s="109">
        <v>80594.61</v>
      </c>
      <c r="D208" s="109">
        <v>207960.54</v>
      </c>
      <c r="E208" s="109">
        <v>200000.0</v>
      </c>
      <c r="F208" s="109">
        <v>5641.474730485988</v>
      </c>
      <c r="G208" s="109">
        <v>14556.855990099344</v>
      </c>
      <c r="H208" s="109"/>
      <c r="I208" s="109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108" t="s">
        <v>323</v>
      </c>
      <c r="C209" s="109">
        <v>2192499.19</v>
      </c>
      <c r="D209" s="109">
        <v>1650714.81</v>
      </c>
      <c r="E209" s="109">
        <v>900000.0</v>
      </c>
      <c r="F209" s="109">
        <v>153474.95470971693</v>
      </c>
      <c r="G209" s="109">
        <v>115550.04529028309</v>
      </c>
      <c r="H209" s="109"/>
      <c r="I209" s="109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108" t="s">
        <v>324</v>
      </c>
      <c r="C210" s="109">
        <v>7923936.49</v>
      </c>
      <c r="D210" s="109">
        <v>7900000.0</v>
      </c>
      <c r="E210" s="109">
        <v>1.0</v>
      </c>
      <c r="F210" s="109">
        <v>554675.5543000001</v>
      </c>
      <c r="G210" s="109">
        <v>553000.0000000001</v>
      </c>
      <c r="H210" s="109"/>
      <c r="I210" s="109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108" t="s">
        <v>325</v>
      </c>
      <c r="C211" s="109">
        <v>193403.09</v>
      </c>
      <c r="D211" s="109">
        <v>49957.29</v>
      </c>
      <c r="E211" s="109">
        <v>68000.0</v>
      </c>
      <c r="F211" s="109">
        <v>13538.157120033353</v>
      </c>
      <c r="G211" s="109">
        <v>3496.9950134254373</v>
      </c>
      <c r="H211" s="109"/>
      <c r="I211" s="109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108" t="s">
        <v>326</v>
      </c>
      <c r="C212" s="109">
        <v>0.0</v>
      </c>
      <c r="D212" s="109">
        <v>0.0</v>
      </c>
      <c r="E212" s="109">
        <v>1000000.0</v>
      </c>
      <c r="F212" s="109">
        <v>0.0</v>
      </c>
      <c r="G212" s="109">
        <v>0.0</v>
      </c>
      <c r="H212" s="109"/>
      <c r="I212" s="109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108" t="s">
        <v>327</v>
      </c>
      <c r="C213" s="109">
        <v>17426.21</v>
      </c>
      <c r="D213" s="109">
        <v>187.12</v>
      </c>
      <c r="E213" s="109">
        <v>48000.0</v>
      </c>
      <c r="F213" s="109">
        <v>1219.1489633362914</v>
      </c>
      <c r="G213" s="109">
        <v>13.097132535561077</v>
      </c>
      <c r="H213" s="109"/>
      <c r="I213" s="109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108" t="s">
        <v>328</v>
      </c>
      <c r="C214" s="109">
        <v>0.0</v>
      </c>
      <c r="D214" s="109">
        <v>0.0</v>
      </c>
      <c r="E214" s="109">
        <v>100000.0</v>
      </c>
      <c r="F214" s="109">
        <v>0.0</v>
      </c>
      <c r="G214" s="109">
        <v>0.0</v>
      </c>
      <c r="H214" s="109"/>
      <c r="I214" s="109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108" t="s">
        <v>329</v>
      </c>
      <c r="C215" s="109">
        <v>0.0</v>
      </c>
      <c r="D215" s="109">
        <v>0.0</v>
      </c>
      <c r="E215" s="109">
        <v>300000.0</v>
      </c>
      <c r="F215" s="109">
        <v>0.0</v>
      </c>
      <c r="G215" s="109">
        <v>0.0</v>
      </c>
      <c r="H215" s="109"/>
      <c r="I215" s="109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108" t="s">
        <v>330</v>
      </c>
      <c r="C216" s="109">
        <v>1122409.39</v>
      </c>
      <c r="D216" s="109">
        <v>356866.76</v>
      </c>
      <c r="E216" s="109">
        <v>350000.0</v>
      </c>
      <c r="F216" s="109">
        <v>78568.66154021618</v>
      </c>
      <c r="G216" s="109">
        <v>24980.67454816425</v>
      </c>
      <c r="H216" s="109"/>
      <c r="I216" s="109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108" t="s">
        <v>331</v>
      </c>
      <c r="C217" s="109">
        <v>166824.0</v>
      </c>
      <c r="D217" s="109">
        <v>58286.71</v>
      </c>
      <c r="E217" s="109">
        <v>34931.0</v>
      </c>
      <c r="F217" s="109">
        <v>11675.827533927639</v>
      </c>
      <c r="G217" s="109">
        <v>4079.4224660723607</v>
      </c>
      <c r="H217" s="109"/>
      <c r="I217" s="109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108" t="s">
        <v>332</v>
      </c>
      <c r="C218" s="109">
        <v>30842.86</v>
      </c>
      <c r="D218" s="109">
        <v>4908.77</v>
      </c>
      <c r="E218" s="109">
        <v>30000.0</v>
      </c>
      <c r="F218" s="109">
        <v>2159.0002000000004</v>
      </c>
      <c r="G218" s="109">
        <v>343.61390000000006</v>
      </c>
      <c r="H218" s="109"/>
      <c r="I218" s="109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108" t="s">
        <v>333</v>
      </c>
      <c r="C219" s="109">
        <v>0.0</v>
      </c>
      <c r="D219" s="109">
        <v>0.0</v>
      </c>
      <c r="E219" s="109">
        <v>100000.0</v>
      </c>
      <c r="F219" s="109">
        <v>0.0</v>
      </c>
      <c r="G219" s="109">
        <v>0.0</v>
      </c>
      <c r="H219" s="109"/>
      <c r="I219" s="109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108" t="s">
        <v>334</v>
      </c>
      <c r="C220" s="109">
        <v>261530.0</v>
      </c>
      <c r="D220" s="109">
        <v>257545.33</v>
      </c>
      <c r="E220" s="109">
        <v>200000.0</v>
      </c>
      <c r="F220" s="109">
        <v>18307.100000000002</v>
      </c>
      <c r="G220" s="109">
        <v>18028.1731</v>
      </c>
      <c r="H220" s="109"/>
      <c r="I220" s="109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108" t="s">
        <v>335</v>
      </c>
      <c r="C221" s="109">
        <v>0.0</v>
      </c>
      <c r="D221" s="109">
        <v>0.0</v>
      </c>
      <c r="E221" s="109">
        <v>1000.0</v>
      </c>
      <c r="F221" s="109">
        <v>0.0</v>
      </c>
      <c r="G221" s="109">
        <v>0.0</v>
      </c>
      <c r="H221" s="109"/>
      <c r="I221" s="109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108" t="s">
        <v>336</v>
      </c>
      <c r="C222" s="109">
        <v>100389.55</v>
      </c>
      <c r="D222" s="109">
        <v>2211.32</v>
      </c>
      <c r="E222" s="109">
        <v>1.0</v>
      </c>
      <c r="F222" s="109">
        <v>7023.529950496521</v>
      </c>
      <c r="G222" s="109">
        <v>154.79454545454547</v>
      </c>
      <c r="H222" s="109"/>
      <c r="I222" s="109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108" t="s">
        <v>337</v>
      </c>
      <c r="C223" s="109">
        <v>1714312.41</v>
      </c>
      <c r="D223" s="109">
        <v>427025.19</v>
      </c>
      <c r="E223" s="109">
        <v>400000.0</v>
      </c>
      <c r="F223" s="109">
        <v>120094.21402091936</v>
      </c>
      <c r="G223" s="109">
        <v>29914.765979080647</v>
      </c>
      <c r="H223" s="109"/>
      <c r="I223" s="109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108" t="s">
        <v>338</v>
      </c>
      <c r="C224" s="109">
        <v>151884.29</v>
      </c>
      <c r="D224" s="109">
        <v>771084.54</v>
      </c>
      <c r="E224" s="109">
        <v>1000000.0</v>
      </c>
      <c r="F224" s="109">
        <v>10631.911922116225</v>
      </c>
      <c r="G224" s="109">
        <v>53975.976803035424</v>
      </c>
      <c r="H224" s="109"/>
      <c r="I224" s="109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108" t="s">
        <v>339</v>
      </c>
      <c r="C225" s="109">
        <v>7047.92</v>
      </c>
      <c r="D225" s="109">
        <v>81.54</v>
      </c>
      <c r="E225" s="109">
        <v>1000000.0</v>
      </c>
      <c r="F225" s="109">
        <v>493.3544000000001</v>
      </c>
      <c r="G225" s="109">
        <v>5.707800000000001</v>
      </c>
      <c r="H225" s="109"/>
      <c r="I225" s="109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108" t="s">
        <v>340</v>
      </c>
      <c r="C226" s="109">
        <v>3661.69</v>
      </c>
      <c r="D226" s="109">
        <v>0.0</v>
      </c>
      <c r="E226" s="109">
        <v>1.0</v>
      </c>
      <c r="F226" s="109">
        <v>256.31097199772165</v>
      </c>
      <c r="G226" s="109">
        <v>0.0</v>
      </c>
      <c r="H226" s="109"/>
      <c r="I226" s="109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108" t="s">
        <v>341</v>
      </c>
      <c r="C227" s="109">
        <v>137761.74</v>
      </c>
      <c r="D227" s="109">
        <v>55030.45</v>
      </c>
      <c r="E227" s="109">
        <v>93000.0</v>
      </c>
      <c r="F227" s="109">
        <v>9643.3218</v>
      </c>
      <c r="G227" s="109">
        <v>3852.1315000000004</v>
      </c>
      <c r="H227" s="109"/>
      <c r="I227" s="109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108" t="s">
        <v>342</v>
      </c>
      <c r="C228" s="109">
        <v>163428.74</v>
      </c>
      <c r="D228" s="109">
        <v>17127.85</v>
      </c>
      <c r="E228" s="109">
        <v>60000.0</v>
      </c>
      <c r="F228" s="109">
        <v>11439.97338504572</v>
      </c>
      <c r="G228" s="109">
        <v>1198.945473991021</v>
      </c>
      <c r="H228" s="109"/>
      <c r="I228" s="109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108" t="s">
        <v>343</v>
      </c>
      <c r="C229" s="109">
        <v>0.0</v>
      </c>
      <c r="D229" s="109">
        <v>0.0</v>
      </c>
      <c r="E229" s="109">
        <v>100000.0</v>
      </c>
      <c r="F229" s="109">
        <v>0.0</v>
      </c>
      <c r="G229" s="109">
        <v>0.0</v>
      </c>
      <c r="H229" s="109"/>
      <c r="I229" s="109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108" t="s">
        <v>344</v>
      </c>
      <c r="C230" s="109">
        <v>0.0</v>
      </c>
      <c r="D230" s="109">
        <v>232911.68</v>
      </c>
      <c r="E230" s="109">
        <v>100000.0</v>
      </c>
      <c r="F230" s="109">
        <v>0.0</v>
      </c>
      <c r="G230" s="109">
        <v>16303.94187782062</v>
      </c>
      <c r="H230" s="109"/>
      <c r="I230" s="109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108" t="s">
        <v>345</v>
      </c>
      <c r="C231" s="109">
        <v>18326.99</v>
      </c>
      <c r="D231" s="109">
        <v>0.02</v>
      </c>
      <c r="E231" s="109">
        <v>30000.0</v>
      </c>
      <c r="F231" s="109">
        <v>1282.8893000000003</v>
      </c>
      <c r="G231" s="109">
        <v>0.0014000000000000002</v>
      </c>
      <c r="H231" s="109"/>
      <c r="I231" s="109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108" t="s">
        <v>346</v>
      </c>
      <c r="C232" s="109">
        <v>268810.83</v>
      </c>
      <c r="D232" s="109">
        <v>1105937.9300000002</v>
      </c>
      <c r="E232" s="109">
        <v>550000.0</v>
      </c>
      <c r="F232" s="109">
        <v>18778.75534158677</v>
      </c>
      <c r="G232" s="109">
        <v>77259.30465841324</v>
      </c>
      <c r="H232" s="109"/>
      <c r="I232" s="109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108" t="s">
        <v>347</v>
      </c>
      <c r="C233" s="109">
        <v>38211.03</v>
      </c>
      <c r="D233" s="109">
        <v>0.0</v>
      </c>
      <c r="E233" s="109">
        <v>100000.0</v>
      </c>
      <c r="F233" s="109">
        <v>2674.7721</v>
      </c>
      <c r="G233" s="109">
        <v>0.0</v>
      </c>
      <c r="H233" s="109"/>
      <c r="I233" s="109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108" t="s">
        <v>348</v>
      </c>
      <c r="C234" s="109">
        <v>0.0</v>
      </c>
      <c r="D234" s="109">
        <v>0.0</v>
      </c>
      <c r="E234" s="109">
        <v>30000.0</v>
      </c>
      <c r="F234" s="109">
        <v>0.0</v>
      </c>
      <c r="G234" s="109">
        <v>0.0</v>
      </c>
      <c r="H234" s="109"/>
      <c r="I234" s="109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108" t="s">
        <v>349</v>
      </c>
      <c r="C235" s="109">
        <v>29478.84</v>
      </c>
      <c r="D235" s="109">
        <v>13821.28</v>
      </c>
      <c r="E235" s="109">
        <v>38000.0</v>
      </c>
      <c r="F235" s="109">
        <v>2653.0956</v>
      </c>
      <c r="G235" s="109">
        <v>1243.9152000000001</v>
      </c>
      <c r="H235" s="109"/>
      <c r="I235" s="109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108" t="s">
        <v>350</v>
      </c>
      <c r="C236" s="109">
        <v>0.0</v>
      </c>
      <c r="D236" s="109">
        <v>0.0</v>
      </c>
      <c r="E236" s="109">
        <v>10000.0</v>
      </c>
      <c r="F236" s="109">
        <v>0.0</v>
      </c>
      <c r="G236" s="109">
        <v>0.0</v>
      </c>
      <c r="H236" s="109"/>
      <c r="I236" s="109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A237" s="92"/>
      <c r="B237" s="108" t="s">
        <v>351</v>
      </c>
      <c r="C237" s="109">
        <v>0.0</v>
      </c>
      <c r="D237" s="109">
        <v>0.0</v>
      </c>
      <c r="E237" s="109">
        <v>20000.0</v>
      </c>
      <c r="F237" s="109">
        <v>0.0</v>
      </c>
      <c r="G237" s="109">
        <v>0.0</v>
      </c>
      <c r="H237" s="109"/>
      <c r="I237" s="109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5.75" customHeight="1">
      <c r="A238" s="92"/>
      <c r="B238" s="108" t="s">
        <v>352</v>
      </c>
      <c r="C238" s="109">
        <v>0.0</v>
      </c>
      <c r="D238" s="109">
        <v>0.0</v>
      </c>
      <c r="E238" s="109">
        <v>40000.0</v>
      </c>
      <c r="F238" s="109">
        <v>0.0</v>
      </c>
      <c r="G238" s="109">
        <v>0.0</v>
      </c>
      <c r="H238" s="109"/>
      <c r="I238" s="109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5.75" customHeight="1">
      <c r="A239" s="92"/>
      <c r="B239" s="108" t="s">
        <v>353</v>
      </c>
      <c r="C239" s="109">
        <v>0.0</v>
      </c>
      <c r="D239" s="109">
        <v>23100.0</v>
      </c>
      <c r="E239" s="109">
        <v>25000.0</v>
      </c>
      <c r="F239" s="109">
        <v>0.0</v>
      </c>
      <c r="G239" s="109">
        <v>1617.0000000000002</v>
      </c>
      <c r="H239" s="109"/>
      <c r="I239" s="109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5.75" customHeight="1">
      <c r="A240" s="92"/>
      <c r="B240" s="108" t="s">
        <v>354</v>
      </c>
      <c r="C240" s="109">
        <v>0.0</v>
      </c>
      <c r="D240" s="109">
        <v>0.0</v>
      </c>
      <c r="E240" s="109">
        <v>10000.0</v>
      </c>
      <c r="F240" s="109">
        <v>0.0</v>
      </c>
      <c r="G240" s="109">
        <v>0.0</v>
      </c>
      <c r="H240" s="109"/>
      <c r="I240" s="109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5.75" customHeight="1">
      <c r="A241" s="92"/>
      <c r="B241" s="108" t="s">
        <v>355</v>
      </c>
      <c r="C241" s="109">
        <v>0.0</v>
      </c>
      <c r="D241" s="109">
        <v>0.0</v>
      </c>
      <c r="E241" s="109">
        <v>15000.0</v>
      </c>
      <c r="F241" s="109">
        <v>0.0</v>
      </c>
      <c r="G241" s="109">
        <v>0.0</v>
      </c>
      <c r="H241" s="109"/>
      <c r="I241" s="109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5.75" customHeight="1">
      <c r="A242" s="92"/>
      <c r="B242" s="108" t="s">
        <v>356</v>
      </c>
      <c r="C242" s="109">
        <v>0.0</v>
      </c>
      <c r="D242" s="109">
        <v>0.0</v>
      </c>
      <c r="E242" s="109">
        <v>70000.0</v>
      </c>
      <c r="F242" s="109">
        <v>0.0</v>
      </c>
      <c r="G242" s="109">
        <v>0.0</v>
      </c>
      <c r="H242" s="109"/>
      <c r="I242" s="109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5.75" customHeight="1">
      <c r="A243" s="92"/>
      <c r="B243" s="108" t="s">
        <v>357</v>
      </c>
      <c r="C243" s="109">
        <v>0.0</v>
      </c>
      <c r="D243" s="109">
        <v>0.0</v>
      </c>
      <c r="E243" s="109">
        <v>4000.0</v>
      </c>
      <c r="F243" s="109">
        <v>0.0</v>
      </c>
      <c r="G243" s="109">
        <v>0.0</v>
      </c>
      <c r="H243" s="109"/>
      <c r="I243" s="109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5.75" customHeight="1">
      <c r="A244" s="92"/>
      <c r="B244" s="108" t="s">
        <v>358</v>
      </c>
      <c r="C244" s="109">
        <v>0.0</v>
      </c>
      <c r="D244" s="109">
        <v>0.0</v>
      </c>
      <c r="E244" s="109">
        <v>40000.0</v>
      </c>
      <c r="F244" s="109">
        <v>0.0</v>
      </c>
      <c r="G244" s="109">
        <v>0.0</v>
      </c>
      <c r="H244" s="109"/>
      <c r="I244" s="109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5.75" customHeight="1">
      <c r="A245" s="92"/>
      <c r="B245" s="108" t="s">
        <v>359</v>
      </c>
      <c r="C245" s="109">
        <v>0.0</v>
      </c>
      <c r="D245" s="109">
        <v>0.0</v>
      </c>
      <c r="E245" s="109">
        <v>40000.0</v>
      </c>
      <c r="F245" s="109">
        <v>0.0</v>
      </c>
      <c r="G245" s="109">
        <v>0.0</v>
      </c>
      <c r="H245" s="109"/>
      <c r="I245" s="109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5.75" customHeight="1">
      <c r="A246" s="92"/>
      <c r="B246" s="108" t="s">
        <v>360</v>
      </c>
      <c r="C246" s="109">
        <v>0.0</v>
      </c>
      <c r="D246" s="109">
        <v>0.0</v>
      </c>
      <c r="E246" s="109">
        <v>50000.0</v>
      </c>
      <c r="F246" s="109">
        <v>0.0</v>
      </c>
      <c r="G246" s="109">
        <v>0.0</v>
      </c>
      <c r="H246" s="109"/>
      <c r="I246" s="109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5.75" customHeight="1">
      <c r="A247" s="92"/>
      <c r="B247" s="108" t="s">
        <v>361</v>
      </c>
      <c r="C247" s="109">
        <v>0.0</v>
      </c>
      <c r="D247" s="109">
        <v>0.0</v>
      </c>
      <c r="E247" s="109">
        <v>5000.0</v>
      </c>
      <c r="F247" s="109">
        <v>0.0</v>
      </c>
      <c r="G247" s="109">
        <v>0.0</v>
      </c>
      <c r="H247" s="109"/>
      <c r="I247" s="109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5.75" customHeight="1">
      <c r="A248" s="92"/>
      <c r="B248" s="108" t="s">
        <v>362</v>
      </c>
      <c r="C248" s="109">
        <v>0.0</v>
      </c>
      <c r="D248" s="109">
        <v>0.0</v>
      </c>
      <c r="E248" s="109">
        <v>5000.0</v>
      </c>
      <c r="F248" s="109">
        <v>0.0</v>
      </c>
      <c r="G248" s="109">
        <v>0.0</v>
      </c>
      <c r="H248" s="109"/>
      <c r="I248" s="109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5.75" customHeight="1">
      <c r="A249" s="92"/>
      <c r="B249" s="108" t="s">
        <v>363</v>
      </c>
      <c r="C249" s="109">
        <v>0.0</v>
      </c>
      <c r="D249" s="109">
        <v>0.0</v>
      </c>
      <c r="E249" s="109">
        <v>60000.0</v>
      </c>
      <c r="F249" s="109">
        <v>0.0</v>
      </c>
      <c r="G249" s="109">
        <v>0.0</v>
      </c>
      <c r="H249" s="109"/>
      <c r="I249" s="109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5.75" customHeight="1">
      <c r="A250" s="92"/>
      <c r="B250" s="108" t="s">
        <v>364</v>
      </c>
      <c r="C250" s="109">
        <v>0.0</v>
      </c>
      <c r="D250" s="109">
        <v>0.0</v>
      </c>
      <c r="E250" s="109">
        <v>60000.0</v>
      </c>
      <c r="F250" s="109">
        <v>0.0</v>
      </c>
      <c r="G250" s="109">
        <v>0.0</v>
      </c>
      <c r="H250" s="109"/>
      <c r="I250" s="109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5.75" customHeight="1">
      <c r="A251" s="92"/>
      <c r="B251" s="108" t="s">
        <v>365</v>
      </c>
      <c r="C251" s="109">
        <v>0.0</v>
      </c>
      <c r="D251" s="109">
        <v>0.0</v>
      </c>
      <c r="E251" s="109">
        <v>5000.0</v>
      </c>
      <c r="F251" s="109">
        <v>0.0</v>
      </c>
      <c r="G251" s="109">
        <v>0.0</v>
      </c>
      <c r="H251" s="109"/>
      <c r="I251" s="109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5.75" customHeight="1">
      <c r="A252" s="92"/>
      <c r="B252" s="108" t="s">
        <v>366</v>
      </c>
      <c r="C252" s="109">
        <v>0.0</v>
      </c>
      <c r="D252" s="109">
        <v>0.0</v>
      </c>
      <c r="E252" s="109">
        <v>5000.0</v>
      </c>
      <c r="F252" s="109">
        <v>0.0</v>
      </c>
      <c r="G252" s="109">
        <v>0.0</v>
      </c>
      <c r="H252" s="109"/>
      <c r="I252" s="109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>
      <c r="A253" s="92"/>
      <c r="B253" s="108" t="s">
        <v>367</v>
      </c>
      <c r="C253" s="109">
        <v>0.0</v>
      </c>
      <c r="D253" s="109">
        <v>0.0</v>
      </c>
      <c r="E253" s="109">
        <v>150000.0</v>
      </c>
      <c r="F253" s="109">
        <v>0.0</v>
      </c>
      <c r="G253" s="109">
        <v>0.0</v>
      </c>
      <c r="H253" s="109"/>
      <c r="I253" s="109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  <c r="AB253" s="92"/>
      <c r="AC253" s="92"/>
    </row>
    <row r="254" ht="15.75" customHeight="1">
      <c r="A254" s="92"/>
      <c r="B254" s="108" t="s">
        <v>368</v>
      </c>
      <c r="C254" s="109">
        <v>8448.29</v>
      </c>
      <c r="D254" s="109">
        <v>16008.31</v>
      </c>
      <c r="E254" s="109">
        <v>10000.0</v>
      </c>
      <c r="F254" s="109">
        <v>591.3803000000001</v>
      </c>
      <c r="G254" s="109">
        <v>1120.5817000000002</v>
      </c>
      <c r="H254" s="109"/>
      <c r="I254" s="109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  <c r="AA254" s="92"/>
      <c r="AB254" s="92"/>
      <c r="AC254" s="92"/>
    </row>
    <row r="255" ht="15.75" customHeight="1">
      <c r="A255" s="92"/>
      <c r="B255" s="108" t="s">
        <v>369</v>
      </c>
      <c r="C255" s="109">
        <v>4062600.6100000003</v>
      </c>
      <c r="D255" s="109">
        <v>254412.0</v>
      </c>
      <c r="E255" s="109">
        <v>1.0</v>
      </c>
      <c r="F255" s="109">
        <v>304695.2790434774</v>
      </c>
      <c r="G255" s="109">
        <v>27650.914609523763</v>
      </c>
      <c r="H255" s="109"/>
      <c r="I255" s="109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  <c r="AA255" s="92"/>
      <c r="AB255" s="92"/>
      <c r="AC255" s="92"/>
    </row>
    <row r="256" ht="15.75" customHeight="1">
      <c r="A256" s="92"/>
      <c r="B256" s="108" t="s">
        <v>370</v>
      </c>
      <c r="C256" s="109">
        <v>619937.92</v>
      </c>
      <c r="D256" s="109">
        <v>0.0</v>
      </c>
      <c r="E256" s="109">
        <v>0.0</v>
      </c>
      <c r="F256" s="109">
        <v>43395.99439995612</v>
      </c>
      <c r="G256" s="109">
        <v>0.0</v>
      </c>
      <c r="H256" s="109"/>
      <c r="I256" s="109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  <c r="AA256" s="92"/>
      <c r="AB256" s="92"/>
      <c r="AC256" s="92"/>
    </row>
    <row r="257" ht="15.75" customHeight="1">
      <c r="A257" s="92"/>
      <c r="B257" s="108" t="s">
        <v>371</v>
      </c>
      <c r="C257" s="109">
        <v>1460662.92</v>
      </c>
      <c r="D257" s="109">
        <v>1893.22</v>
      </c>
      <c r="E257" s="109">
        <v>1.0</v>
      </c>
      <c r="F257" s="109">
        <v>109549.64424045678</v>
      </c>
      <c r="G257" s="109">
        <v>141.99140310135184</v>
      </c>
      <c r="H257" s="109"/>
      <c r="I257" s="109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  <c r="AA257" s="92"/>
      <c r="AB257" s="92"/>
      <c r="AC257" s="92"/>
    </row>
    <row r="258" ht="15.75" customHeight="1">
      <c r="A258" s="92"/>
      <c r="B258" s="108" t="s">
        <v>372</v>
      </c>
      <c r="C258" s="109">
        <v>0.0</v>
      </c>
      <c r="D258" s="109">
        <v>0.0</v>
      </c>
      <c r="E258" s="109">
        <v>25000.0</v>
      </c>
      <c r="F258" s="109">
        <v>0.0</v>
      </c>
      <c r="G258" s="109">
        <v>0.0</v>
      </c>
      <c r="H258" s="109"/>
      <c r="I258" s="109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  <c r="AA258" s="92"/>
      <c r="AB258" s="92"/>
      <c r="AC258" s="92"/>
    </row>
    <row r="259" ht="15.75" customHeight="1">
      <c r="A259" s="92"/>
      <c r="B259" s="108" t="s">
        <v>373</v>
      </c>
      <c r="C259" s="109">
        <v>0.0</v>
      </c>
      <c r="D259" s="109">
        <v>0.0</v>
      </c>
      <c r="E259" s="109">
        <v>20000.0</v>
      </c>
      <c r="F259" s="109">
        <v>0.0</v>
      </c>
      <c r="G259" s="109">
        <v>0.0</v>
      </c>
      <c r="H259" s="109"/>
      <c r="I259" s="109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  <c r="AA259" s="92"/>
      <c r="AB259" s="92"/>
      <c r="AC259" s="92"/>
    </row>
    <row r="260" ht="15.75" customHeight="1">
      <c r="A260" s="92"/>
      <c r="B260" s="108" t="s">
        <v>374</v>
      </c>
      <c r="C260" s="109">
        <v>0.0</v>
      </c>
      <c r="D260" s="109">
        <v>0.0</v>
      </c>
      <c r="E260" s="109">
        <v>20000.0</v>
      </c>
      <c r="F260" s="109">
        <v>0.0</v>
      </c>
      <c r="G260" s="109">
        <v>0.0</v>
      </c>
      <c r="H260" s="109"/>
      <c r="I260" s="109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  <c r="AA260" s="92"/>
      <c r="AB260" s="92"/>
      <c r="AC260" s="92"/>
    </row>
    <row r="261" ht="15.75" customHeight="1">
      <c r="A261" s="92"/>
      <c r="B261" s="108" t="s">
        <v>375</v>
      </c>
      <c r="C261" s="109">
        <v>11793.91</v>
      </c>
      <c r="D261" s="109">
        <v>6430.27</v>
      </c>
      <c r="E261" s="109">
        <v>40000.0</v>
      </c>
      <c r="F261" s="109">
        <v>825.5737</v>
      </c>
      <c r="G261" s="109">
        <v>450.11890000000005</v>
      </c>
      <c r="H261" s="109"/>
      <c r="I261" s="109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  <c r="AA261" s="92"/>
      <c r="AB261" s="92"/>
      <c r="AC261" s="92"/>
    </row>
    <row r="262" ht="15.75" customHeight="1">
      <c r="A262" s="92"/>
      <c r="B262" s="108" t="s">
        <v>376</v>
      </c>
      <c r="C262" s="109">
        <v>77320.84</v>
      </c>
      <c r="D262" s="109">
        <v>2225.49</v>
      </c>
      <c r="E262" s="109">
        <v>2000.0</v>
      </c>
      <c r="F262" s="109">
        <v>5408.917624031178</v>
      </c>
      <c r="G262" s="109">
        <v>155.7843</v>
      </c>
      <c r="H262" s="109"/>
      <c r="I262" s="109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  <c r="AA262" s="92"/>
      <c r="AB262" s="92"/>
      <c r="AC262" s="92"/>
    </row>
    <row r="263" ht="15.75" customHeight="1">
      <c r="A263" s="92"/>
      <c r="B263" s="108" t="s">
        <v>377</v>
      </c>
      <c r="C263" s="109">
        <v>55131.51</v>
      </c>
      <c r="D263" s="109">
        <v>1554.39</v>
      </c>
      <c r="E263" s="109">
        <v>4000.0</v>
      </c>
      <c r="F263" s="109">
        <v>3859.205700000001</v>
      </c>
      <c r="G263" s="109">
        <v>108.80730000000001</v>
      </c>
      <c r="H263" s="109"/>
      <c r="I263" s="109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  <c r="AA263" s="92"/>
      <c r="AB263" s="92"/>
      <c r="AC263" s="92"/>
    </row>
    <row r="264" ht="15.75" customHeight="1">
      <c r="A264" s="92"/>
      <c r="B264" s="108" t="s">
        <v>378</v>
      </c>
      <c r="C264" s="109">
        <v>19206.89</v>
      </c>
      <c r="D264" s="109">
        <v>3.94</v>
      </c>
      <c r="E264" s="109">
        <v>700.0</v>
      </c>
      <c r="F264" s="109">
        <v>1344.4823000000001</v>
      </c>
      <c r="G264" s="109">
        <v>0.27580000000000005</v>
      </c>
      <c r="H264" s="109"/>
      <c r="I264" s="109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  <c r="AA264" s="92"/>
      <c r="AB264" s="92"/>
      <c r="AC264" s="92"/>
    </row>
    <row r="265" ht="15.75" customHeight="1">
      <c r="A265" s="92"/>
      <c r="B265" s="108" t="s">
        <v>379</v>
      </c>
      <c r="C265" s="109">
        <v>9787.19</v>
      </c>
      <c r="D265" s="109">
        <v>-0.01</v>
      </c>
      <c r="E265" s="109">
        <v>1.0</v>
      </c>
      <c r="F265" s="109">
        <v>685.1033000000002</v>
      </c>
      <c r="G265" s="109">
        <v>-7.000000000000001E-4</v>
      </c>
      <c r="H265" s="109"/>
      <c r="I265" s="109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  <c r="AA265" s="92"/>
      <c r="AB265" s="92"/>
      <c r="AC265" s="92"/>
    </row>
    <row r="266" ht="15.75" customHeight="1">
      <c r="A266" s="92"/>
      <c r="B266" s="108" t="s">
        <v>380</v>
      </c>
      <c r="C266" s="109">
        <v>16142.56</v>
      </c>
      <c r="D266" s="109">
        <v>2668.73</v>
      </c>
      <c r="E266" s="109">
        <v>3500.0</v>
      </c>
      <c r="F266" s="109">
        <v>1129.9792000000002</v>
      </c>
      <c r="G266" s="109">
        <v>186.81110000000004</v>
      </c>
      <c r="H266" s="109"/>
      <c r="I266" s="109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  <c r="AA266" s="92"/>
      <c r="AB266" s="92"/>
      <c r="AC266" s="92"/>
    </row>
    <row r="267" ht="15.75" customHeight="1">
      <c r="A267" s="92"/>
      <c r="B267" s="108" t="s">
        <v>381</v>
      </c>
      <c r="C267" s="109">
        <v>16194.63</v>
      </c>
      <c r="D267" s="109">
        <v>487.24</v>
      </c>
      <c r="E267" s="109">
        <v>3800.0</v>
      </c>
      <c r="F267" s="109">
        <v>1133.6241</v>
      </c>
      <c r="G267" s="109">
        <v>34.1068</v>
      </c>
      <c r="H267" s="109"/>
      <c r="I267" s="109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  <c r="AA267" s="92"/>
      <c r="AB267" s="92"/>
      <c r="AC267" s="92"/>
    </row>
    <row r="268" ht="15.75" customHeight="1">
      <c r="A268" s="92"/>
      <c r="B268" s="108" t="s">
        <v>382</v>
      </c>
      <c r="C268" s="109">
        <v>9614.8</v>
      </c>
      <c r="D268" s="109">
        <v>385.2</v>
      </c>
      <c r="E268" s="109">
        <v>300.0</v>
      </c>
      <c r="F268" s="109">
        <v>673.0360000000001</v>
      </c>
      <c r="G268" s="109">
        <v>26.964000000000002</v>
      </c>
      <c r="H268" s="109"/>
      <c r="I268" s="109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  <c r="AA268" s="92"/>
      <c r="AB268" s="92"/>
      <c r="AC268" s="92"/>
    </row>
    <row r="269" ht="15.75" customHeight="1">
      <c r="A269" s="92"/>
      <c r="B269" s="108" t="s">
        <v>383</v>
      </c>
      <c r="C269" s="109">
        <v>18989.84</v>
      </c>
      <c r="D269" s="109">
        <v>241.7</v>
      </c>
      <c r="E269" s="109">
        <v>1.0</v>
      </c>
      <c r="F269" s="109">
        <v>1329.2888000000003</v>
      </c>
      <c r="G269" s="109">
        <v>16.919</v>
      </c>
      <c r="H269" s="109"/>
      <c r="I269" s="109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  <c r="AA269" s="92"/>
      <c r="AB269" s="92"/>
      <c r="AC269" s="92"/>
    </row>
    <row r="270" ht="15.75" customHeight="1">
      <c r="A270" s="92"/>
      <c r="B270" s="108" t="s">
        <v>384</v>
      </c>
      <c r="C270" s="109">
        <v>0.0</v>
      </c>
      <c r="D270" s="109">
        <v>0.0</v>
      </c>
      <c r="E270" s="109">
        <v>1.0</v>
      </c>
      <c r="F270" s="109">
        <v>0.0</v>
      </c>
      <c r="G270" s="109">
        <v>0.0</v>
      </c>
      <c r="H270" s="109"/>
      <c r="I270" s="109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  <c r="AA270" s="92"/>
      <c r="AB270" s="92"/>
      <c r="AC270" s="92"/>
    </row>
    <row r="271" ht="15.75" customHeight="1">
      <c r="A271" s="92"/>
      <c r="B271" s="108" t="s">
        <v>385</v>
      </c>
      <c r="C271" s="109">
        <v>4352.51</v>
      </c>
      <c r="D271" s="109">
        <v>8792.9</v>
      </c>
      <c r="E271" s="109">
        <v>400.0</v>
      </c>
      <c r="F271" s="109">
        <v>304.67570000000006</v>
      </c>
      <c r="G271" s="109">
        <v>615.503</v>
      </c>
      <c r="H271" s="109"/>
      <c r="I271" s="109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  <c r="AA271" s="92"/>
      <c r="AB271" s="92"/>
      <c r="AC271" s="92"/>
    </row>
    <row r="272" ht="15.75" customHeight="1">
      <c r="A272" s="92"/>
      <c r="B272" s="108" t="s">
        <v>386</v>
      </c>
      <c r="C272" s="109">
        <v>41402.78</v>
      </c>
      <c r="D272" s="109">
        <v>5642.69</v>
      </c>
      <c r="E272" s="109">
        <v>8000.0</v>
      </c>
      <c r="F272" s="109">
        <v>2898.1946000000003</v>
      </c>
      <c r="G272" s="109">
        <v>394.98830000000004</v>
      </c>
      <c r="H272" s="109"/>
      <c r="I272" s="109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  <c r="AA272" s="92"/>
      <c r="AB272" s="92"/>
      <c r="AC272" s="92"/>
    </row>
    <row r="273" ht="15.75" customHeight="1">
      <c r="A273" s="92"/>
      <c r="B273" s="108" t="s">
        <v>387</v>
      </c>
      <c r="C273" s="109">
        <v>105932.35</v>
      </c>
      <c r="D273" s="109">
        <v>4612.34</v>
      </c>
      <c r="E273" s="109">
        <v>16000.0</v>
      </c>
      <c r="F273" s="109">
        <v>7415.264500000001</v>
      </c>
      <c r="G273" s="109">
        <v>322.8638000000001</v>
      </c>
      <c r="H273" s="109"/>
      <c r="I273" s="109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  <c r="AA273" s="92"/>
      <c r="AB273" s="92"/>
      <c r="AC273" s="92"/>
    </row>
    <row r="274" ht="15.75" customHeight="1">
      <c r="A274" s="92"/>
      <c r="B274" s="108" t="s">
        <v>388</v>
      </c>
      <c r="C274" s="109">
        <v>36620.61</v>
      </c>
      <c r="D274" s="109">
        <v>3198.53</v>
      </c>
      <c r="E274" s="109">
        <v>10000.0</v>
      </c>
      <c r="F274" s="109">
        <v>2563.4427</v>
      </c>
      <c r="G274" s="109">
        <v>223.89710000000005</v>
      </c>
      <c r="H274" s="109"/>
      <c r="I274" s="109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  <c r="AA274" s="92"/>
      <c r="AB274" s="92"/>
      <c r="AC274" s="92"/>
    </row>
    <row r="275" ht="15.75" customHeight="1">
      <c r="A275" s="92"/>
      <c r="B275" s="108" t="s">
        <v>389</v>
      </c>
      <c r="C275" s="109">
        <v>72306.25</v>
      </c>
      <c r="D275" s="109">
        <v>193.75</v>
      </c>
      <c r="E275" s="109">
        <v>1.0</v>
      </c>
      <c r="F275" s="109">
        <v>5035.078131896551</v>
      </c>
      <c r="G275" s="109">
        <v>13.562500000000002</v>
      </c>
      <c r="H275" s="109"/>
      <c r="I275" s="109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  <c r="AA275" s="92"/>
      <c r="AB275" s="92"/>
      <c r="AC275" s="92"/>
    </row>
    <row r="276" ht="15.75" customHeight="1">
      <c r="A276" s="92"/>
      <c r="B276" s="108" t="s">
        <v>390</v>
      </c>
      <c r="C276" s="109">
        <v>33121.7</v>
      </c>
      <c r="D276" s="109">
        <v>7151.46</v>
      </c>
      <c r="E276" s="109">
        <v>23000.0</v>
      </c>
      <c r="F276" s="109">
        <v>2318.5190000000002</v>
      </c>
      <c r="G276" s="109">
        <v>500.6022000000001</v>
      </c>
      <c r="H276" s="109"/>
      <c r="I276" s="109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  <c r="AA276" s="92"/>
      <c r="AB276" s="92"/>
      <c r="AC276" s="92"/>
    </row>
    <row r="277" ht="15.75" customHeight="1">
      <c r="A277" s="92"/>
      <c r="B277" s="108" t="s">
        <v>391</v>
      </c>
      <c r="C277" s="109">
        <v>43303.29</v>
      </c>
      <c r="D277" s="109">
        <v>437.17</v>
      </c>
      <c r="E277" s="109">
        <v>30000.0</v>
      </c>
      <c r="F277" s="109">
        <v>3031.2303</v>
      </c>
      <c r="G277" s="109">
        <v>30.601900000000008</v>
      </c>
      <c r="H277" s="109"/>
      <c r="I277" s="109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  <c r="AA277" s="92"/>
      <c r="AB277" s="92"/>
      <c r="AC277" s="92"/>
    </row>
    <row r="278" ht="15.75" customHeight="1">
      <c r="A278" s="92"/>
      <c r="B278" s="108" t="s">
        <v>392</v>
      </c>
      <c r="C278" s="109">
        <v>10884.7</v>
      </c>
      <c r="D278" s="109">
        <v>83.65</v>
      </c>
      <c r="E278" s="109">
        <v>30000.0</v>
      </c>
      <c r="F278" s="109">
        <v>761.9290000000002</v>
      </c>
      <c r="G278" s="109">
        <v>5.855500000000001</v>
      </c>
      <c r="H278" s="109"/>
      <c r="I278" s="109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  <c r="AA278" s="92"/>
      <c r="AB278" s="92"/>
      <c r="AC278" s="92"/>
    </row>
    <row r="279" ht="15.75" customHeight="1">
      <c r="A279" s="92"/>
      <c r="B279" s="108" t="s">
        <v>393</v>
      </c>
      <c r="C279" s="109">
        <v>1870.62</v>
      </c>
      <c r="D279" s="109">
        <v>0.0</v>
      </c>
      <c r="E279" s="109">
        <v>15000.0</v>
      </c>
      <c r="F279" s="109">
        <v>130.9434</v>
      </c>
      <c r="G279" s="109">
        <v>0.0</v>
      </c>
      <c r="H279" s="109"/>
      <c r="I279" s="109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  <c r="AA279" s="92"/>
      <c r="AB279" s="92"/>
      <c r="AC279" s="92"/>
    </row>
    <row r="280" ht="15.75" customHeight="1">
      <c r="A280" s="92"/>
      <c r="B280" s="108" t="s">
        <v>394</v>
      </c>
      <c r="C280" s="109">
        <v>3693.22</v>
      </c>
      <c r="D280" s="109">
        <v>1168.92</v>
      </c>
      <c r="E280" s="109">
        <v>15000.0</v>
      </c>
      <c r="F280" s="109">
        <v>258.5254</v>
      </c>
      <c r="G280" s="109">
        <v>81.82440000000003</v>
      </c>
      <c r="H280" s="109"/>
      <c r="I280" s="109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  <c r="AA280" s="92"/>
      <c r="AB280" s="92"/>
      <c r="AC280" s="92"/>
    </row>
    <row r="281" ht="15.75" customHeight="1">
      <c r="A281" s="92"/>
      <c r="B281" s="108" t="s">
        <v>395</v>
      </c>
      <c r="C281" s="109">
        <v>55467.48</v>
      </c>
      <c r="D281" s="109">
        <v>62676.89</v>
      </c>
      <c r="E281" s="109">
        <v>20000.0</v>
      </c>
      <c r="F281" s="109">
        <v>0.0</v>
      </c>
      <c r="G281" s="109">
        <v>0.0</v>
      </c>
      <c r="H281" s="109"/>
      <c r="I281" s="109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  <c r="AA281" s="92"/>
      <c r="AB281" s="92"/>
      <c r="AC281" s="92"/>
    </row>
    <row r="282" ht="15.75" customHeight="1">
      <c r="A282" s="92"/>
      <c r="B282" s="108" t="s">
        <v>396</v>
      </c>
      <c r="C282" s="109">
        <v>37969.41</v>
      </c>
      <c r="D282" s="109">
        <v>42.36</v>
      </c>
      <c r="E282" s="109">
        <v>12000.0</v>
      </c>
      <c r="F282" s="109">
        <v>2657.1156289959663</v>
      </c>
      <c r="G282" s="109">
        <v>2.9652000000000003</v>
      </c>
      <c r="H282" s="109"/>
      <c r="I282" s="109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  <c r="AA282" s="92"/>
      <c r="AB282" s="92"/>
      <c r="AC282" s="92"/>
    </row>
    <row r="283" ht="15.75" customHeight="1">
      <c r="A283" s="92"/>
      <c r="B283" s="108" t="s">
        <v>397</v>
      </c>
      <c r="C283" s="109">
        <v>17026.51</v>
      </c>
      <c r="D283" s="109">
        <v>84.25</v>
      </c>
      <c r="E283" s="109">
        <v>8000.0</v>
      </c>
      <c r="F283" s="109">
        <v>1191.8557</v>
      </c>
      <c r="G283" s="109">
        <v>5.897500000000001</v>
      </c>
      <c r="H283" s="109"/>
      <c r="I283" s="109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  <c r="AA283" s="92"/>
      <c r="AB283" s="92"/>
      <c r="AC283" s="92"/>
    </row>
    <row r="284" ht="15.75" customHeight="1">
      <c r="A284" s="92"/>
      <c r="B284" s="108" t="s">
        <v>398</v>
      </c>
      <c r="C284" s="109">
        <v>23306.37</v>
      </c>
      <c r="D284" s="109">
        <v>1203.59</v>
      </c>
      <c r="E284" s="109">
        <v>10000.0</v>
      </c>
      <c r="F284" s="109">
        <v>1631.4459000000002</v>
      </c>
      <c r="G284" s="109">
        <v>84.25130000000001</v>
      </c>
      <c r="H284" s="109"/>
      <c r="I284" s="109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  <c r="AA284" s="92"/>
      <c r="AB284" s="92"/>
      <c r="AC284" s="92"/>
    </row>
    <row r="285" ht="15.75" customHeight="1">
      <c r="A285" s="92"/>
      <c r="B285" s="108" t="s">
        <v>399</v>
      </c>
      <c r="C285" s="109">
        <v>10635.68</v>
      </c>
      <c r="D285" s="109">
        <v>173.87</v>
      </c>
      <c r="E285" s="109">
        <v>28000.0</v>
      </c>
      <c r="F285" s="109">
        <v>744.4976000000001</v>
      </c>
      <c r="G285" s="109">
        <v>12.170900000000003</v>
      </c>
      <c r="H285" s="109"/>
      <c r="I285" s="109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  <c r="AA285" s="92"/>
      <c r="AB285" s="92"/>
      <c r="AC285" s="92"/>
    </row>
    <row r="286" ht="15.75" customHeight="1">
      <c r="A286" s="92"/>
      <c r="B286" s="108" t="s">
        <v>400</v>
      </c>
      <c r="C286" s="109">
        <v>29353.62</v>
      </c>
      <c r="D286" s="109">
        <v>1079.96</v>
      </c>
      <c r="E286" s="109">
        <v>20000.0</v>
      </c>
      <c r="F286" s="109">
        <v>2054.7534000000005</v>
      </c>
      <c r="G286" s="109">
        <v>75.59720000000002</v>
      </c>
      <c r="H286" s="109"/>
      <c r="I286" s="109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  <c r="AA286" s="92"/>
      <c r="AB286" s="92"/>
      <c r="AC286" s="92"/>
    </row>
    <row r="287" ht="15.75" customHeight="1">
      <c r="A287" s="92"/>
      <c r="B287" s="108" t="s">
        <v>401</v>
      </c>
      <c r="C287" s="109">
        <v>11073.39</v>
      </c>
      <c r="D287" s="109">
        <v>83.6</v>
      </c>
      <c r="E287" s="109">
        <v>2500.0</v>
      </c>
      <c r="F287" s="109">
        <v>775.1373</v>
      </c>
      <c r="G287" s="109">
        <v>5.852</v>
      </c>
      <c r="H287" s="109"/>
      <c r="I287" s="109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  <c r="AA287" s="92"/>
      <c r="AB287" s="92"/>
      <c r="AC287" s="92"/>
    </row>
    <row r="288" ht="15.75" customHeight="1">
      <c r="A288" s="92"/>
      <c r="B288" s="108" t="s">
        <v>402</v>
      </c>
      <c r="C288" s="109">
        <v>118006.36</v>
      </c>
      <c r="D288" s="109">
        <v>9692.64</v>
      </c>
      <c r="E288" s="109">
        <v>50000.0</v>
      </c>
      <c r="F288" s="109">
        <v>8260.4452</v>
      </c>
      <c r="G288" s="109">
        <v>678.4848000000001</v>
      </c>
      <c r="H288" s="109"/>
      <c r="I288" s="109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  <c r="AA288" s="92"/>
      <c r="AB288" s="92"/>
      <c r="AC288" s="92"/>
    </row>
    <row r="289" ht="15.75" customHeight="1">
      <c r="A289" s="92"/>
      <c r="B289" s="108" t="s">
        <v>403</v>
      </c>
      <c r="C289" s="109">
        <v>35221.2</v>
      </c>
      <c r="D289" s="109">
        <v>18070.05</v>
      </c>
      <c r="E289" s="109">
        <v>70000.0</v>
      </c>
      <c r="F289" s="109">
        <v>2465.4840000000004</v>
      </c>
      <c r="G289" s="109">
        <v>1264.9035000000001</v>
      </c>
      <c r="H289" s="109"/>
      <c r="I289" s="109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  <c r="AA289" s="92"/>
      <c r="AB289" s="92"/>
      <c r="AC289" s="92"/>
    </row>
    <row r="290" ht="15.75" customHeight="1">
      <c r="A290" s="92"/>
      <c r="B290" s="108" t="s">
        <v>404</v>
      </c>
      <c r="C290" s="109">
        <v>24337.54</v>
      </c>
      <c r="D290" s="109">
        <v>2238.38</v>
      </c>
      <c r="E290" s="109">
        <v>15000.0</v>
      </c>
      <c r="F290" s="109">
        <v>1703.6278000000002</v>
      </c>
      <c r="G290" s="109">
        <v>156.68660000000003</v>
      </c>
      <c r="H290" s="109"/>
      <c r="I290" s="109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  <c r="AA290" s="92"/>
      <c r="AB290" s="92"/>
      <c r="AC290" s="92"/>
    </row>
    <row r="291" ht="15.75" customHeight="1">
      <c r="A291" s="92"/>
      <c r="B291" s="108" t="s">
        <v>405</v>
      </c>
      <c r="C291" s="109">
        <v>12884.17</v>
      </c>
      <c r="D291" s="109">
        <v>288.04</v>
      </c>
      <c r="E291" s="109">
        <v>50000.0</v>
      </c>
      <c r="F291" s="109">
        <v>901.3688924182047</v>
      </c>
      <c r="G291" s="109">
        <v>20.162800000000004</v>
      </c>
      <c r="H291" s="109"/>
      <c r="I291" s="109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  <c r="AA291" s="92"/>
      <c r="AB291" s="92"/>
      <c r="AC291" s="92"/>
    </row>
    <row r="292" ht="15.75" customHeight="1">
      <c r="A292" s="92"/>
      <c r="B292" s="108" t="s">
        <v>406</v>
      </c>
      <c r="C292" s="109">
        <v>32256.54</v>
      </c>
      <c r="D292" s="109">
        <v>7149.64</v>
      </c>
      <c r="E292" s="109">
        <v>50000.0</v>
      </c>
      <c r="F292" s="109">
        <v>2257.489089386487</v>
      </c>
      <c r="G292" s="109">
        <v>500.47480000000013</v>
      </c>
      <c r="H292" s="109"/>
      <c r="I292" s="109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  <c r="AA292" s="92"/>
      <c r="AB292" s="92"/>
      <c r="AC292" s="92"/>
    </row>
    <row r="293" ht="15.75" customHeight="1">
      <c r="A293" s="92"/>
      <c r="B293" s="108" t="s">
        <v>407</v>
      </c>
      <c r="C293" s="109">
        <v>8104.32</v>
      </c>
      <c r="D293" s="109">
        <v>82.88</v>
      </c>
      <c r="E293" s="109">
        <v>15000.0</v>
      </c>
      <c r="F293" s="109">
        <v>567.3024</v>
      </c>
      <c r="G293" s="109">
        <v>5.8016000000000005</v>
      </c>
      <c r="H293" s="109"/>
      <c r="I293" s="109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  <c r="AA293" s="92"/>
      <c r="AB293" s="92"/>
      <c r="AC293" s="92"/>
    </row>
    <row r="294" ht="15.75" customHeight="1">
      <c r="A294" s="92"/>
      <c r="B294" s="108" t="s">
        <v>408</v>
      </c>
      <c r="C294" s="109">
        <v>25158.07</v>
      </c>
      <c r="D294" s="109">
        <v>18652.42</v>
      </c>
      <c r="E294" s="109">
        <v>10000.0</v>
      </c>
      <c r="F294" s="109">
        <v>1761.0649000000003</v>
      </c>
      <c r="G294" s="109">
        <v>1305.6694</v>
      </c>
      <c r="H294" s="109"/>
      <c r="I294" s="109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  <c r="AA294" s="92"/>
      <c r="AB294" s="92"/>
      <c r="AC294" s="92"/>
    </row>
    <row r="295" ht="15.75" customHeight="1">
      <c r="A295" s="92"/>
      <c r="B295" s="108" t="s">
        <v>409</v>
      </c>
      <c r="C295" s="109">
        <v>61722.53</v>
      </c>
      <c r="D295" s="109">
        <v>19221.86</v>
      </c>
      <c r="E295" s="109">
        <v>30000.0</v>
      </c>
      <c r="F295" s="109">
        <v>4339.123889721079</v>
      </c>
      <c r="G295" s="109">
        <v>1351.306110278921</v>
      </c>
      <c r="H295" s="109"/>
      <c r="I295" s="109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  <c r="AA295" s="92"/>
      <c r="AB295" s="92"/>
      <c r="AC295" s="92"/>
    </row>
    <row r="296" ht="15.75" customHeight="1">
      <c r="A296" s="92"/>
      <c r="B296" s="108" t="s">
        <v>410</v>
      </c>
      <c r="C296" s="109">
        <v>78355.73</v>
      </c>
      <c r="D296" s="109">
        <v>128567.81</v>
      </c>
      <c r="E296" s="109">
        <v>110000.0</v>
      </c>
      <c r="F296" s="109">
        <v>5484.9011</v>
      </c>
      <c r="G296" s="109">
        <v>8999.746700000002</v>
      </c>
      <c r="H296" s="109"/>
      <c r="I296" s="109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  <c r="AA296" s="92"/>
      <c r="AB296" s="92"/>
      <c r="AC296" s="92"/>
    </row>
    <row r="297" ht="15.75" customHeight="1">
      <c r="A297" s="92"/>
      <c r="B297" s="108" t="s">
        <v>411</v>
      </c>
      <c r="C297" s="109">
        <v>0.0</v>
      </c>
      <c r="D297" s="109">
        <v>0.0</v>
      </c>
      <c r="E297" s="109">
        <v>12000.0</v>
      </c>
      <c r="F297" s="109">
        <v>0.0</v>
      </c>
      <c r="G297" s="109">
        <v>0.0</v>
      </c>
      <c r="H297" s="109"/>
      <c r="I297" s="109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  <c r="AA297" s="92"/>
      <c r="AB297" s="92"/>
      <c r="AC297" s="92"/>
    </row>
    <row r="298" ht="15.75" customHeight="1">
      <c r="A298" s="92"/>
      <c r="B298" s="108" t="s">
        <v>412</v>
      </c>
      <c r="C298" s="109">
        <v>0.0</v>
      </c>
      <c r="D298" s="109">
        <v>0.0</v>
      </c>
      <c r="E298" s="109">
        <v>40000.0</v>
      </c>
      <c r="F298" s="109">
        <v>0.0</v>
      </c>
      <c r="G298" s="109">
        <v>0.0</v>
      </c>
      <c r="H298" s="109"/>
      <c r="I298" s="109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  <c r="AA298" s="92"/>
      <c r="AB298" s="92"/>
      <c r="AC298" s="92"/>
    </row>
    <row r="299" ht="15.75" customHeight="1">
      <c r="A299" s="92"/>
      <c r="B299" s="108" t="s">
        <v>413</v>
      </c>
      <c r="C299" s="109">
        <v>0.0</v>
      </c>
      <c r="D299" s="109">
        <v>0.0</v>
      </c>
      <c r="E299" s="109">
        <v>25000.0</v>
      </c>
      <c r="F299" s="109">
        <v>0.0</v>
      </c>
      <c r="G299" s="109">
        <v>0.0</v>
      </c>
      <c r="H299" s="109"/>
      <c r="I299" s="109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  <c r="AA299" s="92"/>
      <c r="AB299" s="92"/>
      <c r="AC299" s="92"/>
    </row>
    <row r="300" ht="15.75" customHeight="1">
      <c r="A300" s="92"/>
      <c r="B300" s="108" t="s">
        <v>414</v>
      </c>
      <c r="C300" s="109">
        <v>0.0</v>
      </c>
      <c r="D300" s="109">
        <v>0.0</v>
      </c>
      <c r="E300" s="109">
        <v>15000.0</v>
      </c>
      <c r="F300" s="109">
        <v>0.0</v>
      </c>
      <c r="G300" s="109">
        <v>0.0</v>
      </c>
      <c r="H300" s="109"/>
      <c r="I300" s="109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  <c r="AA300" s="92"/>
      <c r="AB300" s="92"/>
      <c r="AC300" s="92"/>
    </row>
    <row r="301" ht="15.75" customHeight="1">
      <c r="A301" s="92"/>
      <c r="B301" s="108" t="s">
        <v>415</v>
      </c>
      <c r="C301" s="109">
        <v>0.0</v>
      </c>
      <c r="D301" s="109">
        <v>0.0</v>
      </c>
      <c r="E301" s="109">
        <v>20000.0</v>
      </c>
      <c r="F301" s="109">
        <v>0.0</v>
      </c>
      <c r="G301" s="109">
        <v>0.0</v>
      </c>
      <c r="H301" s="109"/>
      <c r="I301" s="109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  <c r="AA301" s="92"/>
      <c r="AB301" s="92"/>
      <c r="AC301" s="92"/>
    </row>
    <row r="302" ht="15.75" customHeight="1">
      <c r="A302" s="92"/>
      <c r="B302" s="108" t="s">
        <v>416</v>
      </c>
      <c r="C302" s="109">
        <v>0.0</v>
      </c>
      <c r="D302" s="109">
        <v>0.0</v>
      </c>
      <c r="E302" s="109">
        <v>15000.0</v>
      </c>
      <c r="F302" s="109">
        <v>0.0</v>
      </c>
      <c r="G302" s="109">
        <v>0.0</v>
      </c>
      <c r="H302" s="109"/>
      <c r="I302" s="109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  <c r="AA302" s="92"/>
      <c r="AB302" s="92"/>
      <c r="AC302" s="92"/>
    </row>
    <row r="303" ht="15.75" customHeight="1">
      <c r="A303" s="92"/>
      <c r="B303" s="108" t="s">
        <v>417</v>
      </c>
      <c r="C303" s="109">
        <v>39239.83</v>
      </c>
      <c r="D303" s="109">
        <v>4993.33</v>
      </c>
      <c r="E303" s="109">
        <v>5000.0</v>
      </c>
      <c r="F303" s="109">
        <v>2746.7881</v>
      </c>
      <c r="G303" s="109">
        <v>349.53310000000005</v>
      </c>
      <c r="H303" s="109"/>
      <c r="I303" s="109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  <c r="AA303" s="92"/>
      <c r="AB303" s="92"/>
      <c r="AC303" s="92"/>
    </row>
    <row r="304" ht="15.75" customHeight="1">
      <c r="A304" s="92"/>
      <c r="B304" s="108" t="s">
        <v>418</v>
      </c>
      <c r="C304" s="109">
        <v>18478.54</v>
      </c>
      <c r="D304" s="109">
        <v>24.06</v>
      </c>
      <c r="E304" s="109">
        <v>1000.0</v>
      </c>
      <c r="F304" s="109">
        <v>1293.4978000000003</v>
      </c>
      <c r="G304" s="109">
        <v>1.6842000000000001</v>
      </c>
      <c r="H304" s="109"/>
      <c r="I304" s="109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  <c r="AA304" s="92"/>
      <c r="AB304" s="92"/>
      <c r="AC304" s="92"/>
    </row>
    <row r="305" ht="15.75" customHeight="1">
      <c r="A305" s="92"/>
      <c r="B305" s="108" t="s">
        <v>419</v>
      </c>
      <c r="C305" s="109">
        <v>1743.89</v>
      </c>
      <c r="D305" s="109">
        <v>9.69</v>
      </c>
      <c r="E305" s="109">
        <v>2000.0</v>
      </c>
      <c r="F305" s="109">
        <v>122.07230000000001</v>
      </c>
      <c r="G305" s="109">
        <v>0.6783000000000001</v>
      </c>
      <c r="H305" s="109"/>
      <c r="I305" s="109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  <c r="AA305" s="92"/>
      <c r="AB305" s="92"/>
      <c r="AC305" s="92"/>
    </row>
    <row r="306" ht="15.75" customHeight="1">
      <c r="A306" s="92"/>
      <c r="B306" s="108" t="s">
        <v>420</v>
      </c>
      <c r="C306" s="109">
        <v>25019.17</v>
      </c>
      <c r="D306" s="109">
        <v>13.14</v>
      </c>
      <c r="E306" s="109"/>
      <c r="F306" s="109">
        <v>1751.3419</v>
      </c>
      <c r="G306" s="109">
        <v>0.9198000000000003</v>
      </c>
      <c r="H306" s="109"/>
      <c r="I306" s="109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  <c r="AA306" s="92"/>
      <c r="AB306" s="92"/>
      <c r="AC306" s="92"/>
    </row>
    <row r="307" ht="15.75" customHeight="1">
      <c r="A307" s="92"/>
      <c r="B307" s="108" t="s">
        <v>421</v>
      </c>
      <c r="C307" s="109">
        <v>669.21</v>
      </c>
      <c r="D307" s="109">
        <v>0.0</v>
      </c>
      <c r="E307" s="109">
        <v>1000.0</v>
      </c>
      <c r="F307" s="109">
        <v>46.8447</v>
      </c>
      <c r="G307" s="109">
        <v>0.0</v>
      </c>
      <c r="H307" s="109"/>
      <c r="I307" s="109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  <c r="AA307" s="92"/>
      <c r="AB307" s="92"/>
      <c r="AC307" s="92"/>
    </row>
    <row r="308" ht="15.75" customHeight="1">
      <c r="A308" s="92"/>
      <c r="B308" s="108" t="s">
        <v>422</v>
      </c>
      <c r="C308" s="109">
        <v>24740.48</v>
      </c>
      <c r="D308" s="109">
        <v>0.0</v>
      </c>
      <c r="E308" s="109">
        <v>150.0</v>
      </c>
      <c r="F308" s="109">
        <v>1731.8336000000002</v>
      </c>
      <c r="G308" s="109">
        <v>0.0</v>
      </c>
      <c r="H308" s="109"/>
      <c r="I308" s="109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  <c r="AA308" s="92"/>
      <c r="AB308" s="92"/>
      <c r="AC308" s="92"/>
    </row>
    <row r="309" ht="15.75" customHeight="1">
      <c r="A309" s="92"/>
      <c r="B309" s="108" t="s">
        <v>423</v>
      </c>
      <c r="C309" s="109">
        <v>4780.36</v>
      </c>
      <c r="D309" s="109">
        <v>0.0</v>
      </c>
      <c r="E309" s="109">
        <v>27000.0</v>
      </c>
      <c r="F309" s="109">
        <v>334.6252</v>
      </c>
      <c r="G309" s="109">
        <v>0.0</v>
      </c>
      <c r="H309" s="109"/>
      <c r="I309" s="109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  <c r="AA309" s="92"/>
      <c r="AB309" s="92"/>
      <c r="AC309" s="92"/>
    </row>
    <row r="310" ht="15.75" customHeight="1">
      <c r="A310" s="92"/>
      <c r="B310" s="108" t="s">
        <v>424</v>
      </c>
      <c r="C310" s="109">
        <v>4476.74</v>
      </c>
      <c r="D310" s="109">
        <v>0.0</v>
      </c>
      <c r="E310" s="109">
        <v>60000.0</v>
      </c>
      <c r="F310" s="109">
        <v>313.3718</v>
      </c>
      <c r="G310" s="109">
        <v>0.0</v>
      </c>
      <c r="H310" s="109"/>
      <c r="I310" s="109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  <c r="AA310" s="92"/>
      <c r="AB310" s="92"/>
      <c r="AC310" s="92"/>
    </row>
    <row r="311" ht="15.75" customHeight="1">
      <c r="A311" s="92"/>
      <c r="B311" s="108" t="s">
        <v>425</v>
      </c>
      <c r="C311" s="109">
        <v>59792.79</v>
      </c>
      <c r="D311" s="109">
        <v>5661.19</v>
      </c>
      <c r="E311" s="109">
        <v>10000.0</v>
      </c>
      <c r="F311" s="109">
        <v>4185.4953000000005</v>
      </c>
      <c r="G311" s="109">
        <v>396.28330000000005</v>
      </c>
      <c r="H311" s="109"/>
      <c r="I311" s="109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  <c r="AA311" s="92"/>
      <c r="AB311" s="92"/>
      <c r="AC311" s="92"/>
    </row>
    <row r="312" ht="15.75" customHeight="1">
      <c r="A312" s="92"/>
      <c r="B312" s="108" t="s">
        <v>426</v>
      </c>
      <c r="C312" s="109">
        <v>56731.66</v>
      </c>
      <c r="D312" s="109">
        <v>5531.86</v>
      </c>
      <c r="E312" s="109">
        <v>28000.0</v>
      </c>
      <c r="F312" s="109">
        <v>3971.2162000000003</v>
      </c>
      <c r="G312" s="109">
        <v>387.2302</v>
      </c>
      <c r="H312" s="109"/>
      <c r="I312" s="109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  <c r="AA312" s="92"/>
      <c r="AB312" s="92"/>
      <c r="AC312" s="92"/>
    </row>
    <row r="313" ht="15.75" customHeight="1">
      <c r="A313" s="92"/>
      <c r="B313" s="108" t="s">
        <v>427</v>
      </c>
      <c r="C313" s="109">
        <v>90835.12</v>
      </c>
      <c r="D313" s="109">
        <v>27490.03</v>
      </c>
      <c r="E313" s="109">
        <v>40000.0</v>
      </c>
      <c r="F313" s="109">
        <v>6358.4584</v>
      </c>
      <c r="G313" s="109">
        <v>1924.3021000000003</v>
      </c>
      <c r="H313" s="109"/>
      <c r="I313" s="109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  <c r="AA313" s="92"/>
      <c r="AB313" s="92"/>
      <c r="AC313" s="92"/>
    </row>
    <row r="314" ht="15.75" customHeight="1">
      <c r="A314" s="92"/>
      <c r="B314" s="108" t="s">
        <v>428</v>
      </c>
      <c r="C314" s="109">
        <v>166606.22</v>
      </c>
      <c r="D314" s="109">
        <v>1817.66</v>
      </c>
      <c r="E314" s="109">
        <v>3000.0</v>
      </c>
      <c r="F314" s="109">
        <v>11662.435400000002</v>
      </c>
      <c r="G314" s="109">
        <v>127.23620000000003</v>
      </c>
      <c r="H314" s="109"/>
      <c r="I314" s="109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  <c r="AA314" s="92"/>
      <c r="AB314" s="92"/>
      <c r="AC314" s="92"/>
    </row>
    <row r="315" ht="15.75" customHeight="1">
      <c r="A315" s="92"/>
      <c r="B315" s="108" t="s">
        <v>429</v>
      </c>
      <c r="C315" s="109">
        <v>167392.85</v>
      </c>
      <c r="D315" s="109">
        <v>22338.57</v>
      </c>
      <c r="E315" s="109">
        <v>22000.0</v>
      </c>
      <c r="F315" s="109">
        <v>11715.347309718127</v>
      </c>
      <c r="G315" s="109">
        <v>1563.6999</v>
      </c>
      <c r="H315" s="109"/>
      <c r="I315" s="109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  <c r="AA315" s="92"/>
      <c r="AB315" s="92"/>
      <c r="AC315" s="92"/>
    </row>
    <row r="316" ht="15.75" customHeight="1">
      <c r="A316" s="92"/>
      <c r="B316" s="108" t="s">
        <v>430</v>
      </c>
      <c r="C316" s="109">
        <v>180556.36</v>
      </c>
      <c r="D316" s="109">
        <v>4905.2</v>
      </c>
      <c r="E316" s="109">
        <v>5000.0</v>
      </c>
      <c r="F316" s="109">
        <v>12635.626168592564</v>
      </c>
      <c r="G316" s="109">
        <v>343.36400000000003</v>
      </c>
      <c r="H316" s="109"/>
      <c r="I316" s="109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  <c r="AA316" s="92"/>
      <c r="AB316" s="92"/>
      <c r="AC316" s="92"/>
    </row>
    <row r="317" ht="15.75" customHeight="1">
      <c r="A317" s="92"/>
      <c r="B317" s="108" t="s">
        <v>431</v>
      </c>
      <c r="C317" s="109">
        <v>177757.1</v>
      </c>
      <c r="D317" s="109">
        <v>1697.51</v>
      </c>
      <c r="E317" s="109">
        <v>12000.0</v>
      </c>
      <c r="F317" s="109">
        <v>12442.997000000003</v>
      </c>
      <c r="G317" s="109">
        <v>118.82570000000003</v>
      </c>
      <c r="H317" s="109"/>
      <c r="I317" s="109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  <c r="AA317" s="92"/>
      <c r="AB317" s="92"/>
      <c r="AC317" s="92"/>
    </row>
    <row r="318" ht="15.75" customHeight="1">
      <c r="A318" s="92"/>
      <c r="B318" s="108" t="s">
        <v>432</v>
      </c>
      <c r="C318" s="109">
        <v>6622.59</v>
      </c>
      <c r="D318" s="109">
        <v>8325.07</v>
      </c>
      <c r="E318" s="109">
        <v>10000.0</v>
      </c>
      <c r="F318" s="109">
        <v>463.58130000000006</v>
      </c>
      <c r="G318" s="109">
        <v>582.7549</v>
      </c>
      <c r="H318" s="109"/>
      <c r="I318" s="109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  <c r="AA318" s="92"/>
      <c r="AB318" s="92"/>
      <c r="AC318" s="92"/>
    </row>
    <row r="319" ht="15.75" customHeight="1">
      <c r="A319" s="92"/>
      <c r="B319" s="108" t="s">
        <v>433</v>
      </c>
      <c r="C319" s="109">
        <v>34917.58</v>
      </c>
      <c r="D319" s="109">
        <v>14800.83</v>
      </c>
      <c r="E319" s="109">
        <v>14000.0</v>
      </c>
      <c r="F319" s="109">
        <v>2444.230600000001</v>
      </c>
      <c r="G319" s="109">
        <v>1036.0581</v>
      </c>
      <c r="H319" s="109"/>
      <c r="I319" s="109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  <c r="AA319" s="92"/>
      <c r="AB319" s="92"/>
      <c r="AC319" s="92"/>
    </row>
    <row r="320" ht="15.75" customHeight="1">
      <c r="A320" s="92"/>
      <c r="B320" s="108" t="s">
        <v>434</v>
      </c>
      <c r="C320" s="109">
        <v>115000.02</v>
      </c>
      <c r="D320" s="109">
        <v>-0.02</v>
      </c>
      <c r="E320" s="109"/>
      <c r="F320" s="109">
        <v>8050.001400000001</v>
      </c>
      <c r="G320" s="109">
        <v>-0.0014000000000000002</v>
      </c>
      <c r="H320" s="109"/>
      <c r="I320" s="109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  <c r="AA320" s="92"/>
      <c r="AB320" s="92"/>
      <c r="AC320" s="92"/>
    </row>
    <row r="321" ht="15.75" customHeight="1">
      <c r="A321" s="92"/>
      <c r="B321" s="108" t="s">
        <v>435</v>
      </c>
      <c r="C321" s="109">
        <v>62809.89</v>
      </c>
      <c r="D321" s="109">
        <v>4635.23</v>
      </c>
      <c r="E321" s="109">
        <v>30000.0</v>
      </c>
      <c r="F321" s="109">
        <v>4396.692300000001</v>
      </c>
      <c r="G321" s="109">
        <v>324.4661</v>
      </c>
      <c r="H321" s="109"/>
      <c r="I321" s="109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  <c r="AA321" s="92"/>
      <c r="AB321" s="92"/>
      <c r="AC321" s="92"/>
    </row>
    <row r="322" ht="15.75" customHeight="1">
      <c r="A322" s="92"/>
      <c r="B322" s="108" t="s">
        <v>436</v>
      </c>
      <c r="C322" s="109">
        <v>38375.08</v>
      </c>
      <c r="D322" s="109">
        <v>12.87</v>
      </c>
      <c r="E322" s="109">
        <v>3000.0</v>
      </c>
      <c r="F322" s="109">
        <v>2686.2556000000004</v>
      </c>
      <c r="G322" s="109">
        <v>0.9009</v>
      </c>
      <c r="H322" s="109"/>
      <c r="I322" s="109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  <c r="AA322" s="92"/>
      <c r="AB322" s="92"/>
      <c r="AC322" s="92"/>
    </row>
    <row r="323" ht="15.75" customHeight="1">
      <c r="A323" s="92"/>
      <c r="B323" s="108" t="s">
        <v>437</v>
      </c>
      <c r="C323" s="109">
        <v>169631.02</v>
      </c>
      <c r="D323" s="109">
        <v>2.41</v>
      </c>
      <c r="E323" s="109">
        <v>1.0</v>
      </c>
      <c r="F323" s="109">
        <v>11874.171400000001</v>
      </c>
      <c r="G323" s="109">
        <v>0.16870000000000002</v>
      </c>
      <c r="H323" s="109"/>
      <c r="I323" s="109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  <c r="AA323" s="92"/>
      <c r="AB323" s="92"/>
      <c r="AC323" s="92"/>
    </row>
    <row r="324" ht="15.75" customHeight="1">
      <c r="A324" s="92"/>
      <c r="B324" s="108" t="s">
        <v>438</v>
      </c>
      <c r="C324" s="109">
        <v>170000.02</v>
      </c>
      <c r="D324" s="109">
        <v>0.0</v>
      </c>
      <c r="E324" s="109"/>
      <c r="F324" s="109">
        <v>11900.001400000001</v>
      </c>
      <c r="G324" s="109">
        <v>0.0</v>
      </c>
      <c r="H324" s="109"/>
      <c r="I324" s="109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  <c r="AA324" s="92"/>
      <c r="AB324" s="92"/>
      <c r="AC324" s="92"/>
    </row>
    <row r="325" ht="15.75" customHeight="1">
      <c r="A325" s="92"/>
      <c r="B325" s="108" t="s">
        <v>439</v>
      </c>
      <c r="C325" s="109">
        <v>14398.56</v>
      </c>
      <c r="D325" s="109">
        <v>1871.12</v>
      </c>
      <c r="E325" s="109">
        <v>10000.0</v>
      </c>
      <c r="F325" s="109">
        <v>1007.8992000000002</v>
      </c>
      <c r="G325" s="109">
        <v>130.9784</v>
      </c>
      <c r="H325" s="109"/>
      <c r="I325" s="109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  <c r="AA325" s="92"/>
      <c r="AB325" s="92"/>
      <c r="AC325" s="92"/>
    </row>
    <row r="326" ht="15.75" customHeight="1">
      <c r="A326" s="92"/>
      <c r="B326" s="108" t="s">
        <v>440</v>
      </c>
      <c r="C326" s="109">
        <v>126537.57</v>
      </c>
      <c r="D326" s="109">
        <v>3417.42</v>
      </c>
      <c r="E326" s="109">
        <v>1.0</v>
      </c>
      <c r="F326" s="109">
        <v>8857.629900000002</v>
      </c>
      <c r="G326" s="109">
        <v>239.21940000000004</v>
      </c>
      <c r="H326" s="109"/>
      <c r="I326" s="109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  <c r="AA326" s="92"/>
      <c r="AB326" s="92"/>
      <c r="AC326" s="92"/>
    </row>
    <row r="327" ht="15.75" customHeight="1">
      <c r="A327" s="92"/>
      <c r="B327" s="108" t="s">
        <v>441</v>
      </c>
      <c r="C327" s="109">
        <v>9644.88</v>
      </c>
      <c r="D327" s="109">
        <v>3428.26</v>
      </c>
      <c r="E327" s="109">
        <v>20000.0</v>
      </c>
      <c r="F327" s="109">
        <v>675.1416</v>
      </c>
      <c r="G327" s="109">
        <v>239.97820000000004</v>
      </c>
      <c r="H327" s="109"/>
      <c r="I327" s="109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  <c r="AA327" s="92"/>
      <c r="AB327" s="92"/>
      <c r="AC327" s="92"/>
    </row>
    <row r="328" ht="15.75" customHeight="1">
      <c r="A328" s="92"/>
      <c r="B328" s="108" t="s">
        <v>442</v>
      </c>
      <c r="C328" s="109">
        <v>37708.88</v>
      </c>
      <c r="D328" s="109">
        <v>1280.91</v>
      </c>
      <c r="E328" s="109">
        <v>10000.0</v>
      </c>
      <c r="F328" s="109">
        <v>2639.6216000000004</v>
      </c>
      <c r="G328" s="109">
        <v>89.66370000000002</v>
      </c>
      <c r="H328" s="109"/>
      <c r="I328" s="109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  <c r="AA328" s="92"/>
      <c r="AB328" s="92"/>
      <c r="AC328" s="92"/>
    </row>
    <row r="329" ht="15.75" customHeight="1">
      <c r="A329" s="92"/>
      <c r="B329" s="108" t="s">
        <v>443</v>
      </c>
      <c r="C329" s="109">
        <v>17758.61</v>
      </c>
      <c r="D329" s="109">
        <v>540.81</v>
      </c>
      <c r="E329" s="109">
        <v>20000.0</v>
      </c>
      <c r="F329" s="109">
        <v>1243.1027000000004</v>
      </c>
      <c r="G329" s="109">
        <v>37.8567</v>
      </c>
      <c r="H329" s="109"/>
      <c r="I329" s="109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  <c r="AA329" s="92"/>
      <c r="AB329" s="92"/>
      <c r="AC329" s="92"/>
    </row>
    <row r="330" ht="15.75" customHeight="1">
      <c r="A330" s="92"/>
      <c r="B330" s="108" t="s">
        <v>444</v>
      </c>
      <c r="C330" s="109">
        <v>76225.69</v>
      </c>
      <c r="D330" s="109">
        <v>63130.39</v>
      </c>
      <c r="E330" s="109">
        <v>60000.0</v>
      </c>
      <c r="F330" s="109">
        <v>5335.7983</v>
      </c>
      <c r="G330" s="109">
        <v>4419.1273</v>
      </c>
      <c r="H330" s="109"/>
      <c r="I330" s="109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  <c r="AA330" s="92"/>
      <c r="AB330" s="92"/>
      <c r="AC330" s="92"/>
    </row>
    <row r="331" ht="15.75" customHeight="1">
      <c r="A331" s="92"/>
      <c r="B331" s="108" t="s">
        <v>445</v>
      </c>
      <c r="C331" s="109">
        <v>65858.45</v>
      </c>
      <c r="D331" s="109">
        <v>141.55</v>
      </c>
      <c r="E331" s="109">
        <v>1.0</v>
      </c>
      <c r="F331" s="109">
        <v>4610.0915</v>
      </c>
      <c r="G331" s="109">
        <v>9.908500000000002</v>
      </c>
      <c r="H331" s="109"/>
      <c r="I331" s="109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  <c r="AA331" s="92"/>
      <c r="AB331" s="92"/>
      <c r="AC331" s="92"/>
    </row>
    <row r="332" ht="15.75" customHeight="1">
      <c r="A332" s="92"/>
      <c r="B332" s="108" t="s">
        <v>446</v>
      </c>
      <c r="C332" s="109">
        <v>135035.19</v>
      </c>
      <c r="D332" s="109">
        <v>8583.09</v>
      </c>
      <c r="E332" s="109">
        <v>48000.0</v>
      </c>
      <c r="F332" s="109">
        <v>9452.463300000001</v>
      </c>
      <c r="G332" s="109">
        <v>600.8163000000001</v>
      </c>
      <c r="H332" s="109"/>
      <c r="I332" s="109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  <c r="AA332" s="92"/>
      <c r="AB332" s="92"/>
      <c r="AC332" s="92"/>
    </row>
    <row r="333" ht="15.75" customHeight="1">
      <c r="A333" s="92"/>
      <c r="B333" s="108" t="s">
        <v>447</v>
      </c>
      <c r="C333" s="109">
        <v>1754.28</v>
      </c>
      <c r="D333" s="109">
        <v>0.0</v>
      </c>
      <c r="E333" s="109">
        <v>5000.0</v>
      </c>
      <c r="F333" s="109">
        <v>122.79960000000001</v>
      </c>
      <c r="G333" s="109">
        <v>0.0</v>
      </c>
      <c r="H333" s="109"/>
      <c r="I333" s="109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  <c r="AA333" s="92"/>
      <c r="AB333" s="92"/>
      <c r="AC333" s="92"/>
    </row>
    <row r="334" ht="15.75" customHeight="1">
      <c r="A334" s="92"/>
      <c r="B334" s="108" t="s">
        <v>448</v>
      </c>
      <c r="C334" s="109">
        <v>30297.08</v>
      </c>
      <c r="D334" s="109">
        <v>1441.09</v>
      </c>
      <c r="E334" s="109"/>
      <c r="F334" s="109">
        <v>2120.7956000000004</v>
      </c>
      <c r="G334" s="109">
        <v>100.87630000000001</v>
      </c>
      <c r="H334" s="109"/>
      <c r="I334" s="109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  <c r="AA334" s="92"/>
      <c r="AB334" s="92"/>
      <c r="AC334" s="92"/>
    </row>
    <row r="335" ht="15.75" customHeight="1">
      <c r="A335" s="92"/>
      <c r="B335" s="108" t="s">
        <v>449</v>
      </c>
      <c r="C335" s="109">
        <v>19729.45</v>
      </c>
      <c r="D335" s="109">
        <v>744.35</v>
      </c>
      <c r="E335" s="109">
        <v>8000.0</v>
      </c>
      <c r="F335" s="109">
        <v>1381.0615000000003</v>
      </c>
      <c r="G335" s="109">
        <v>52.10450000000001</v>
      </c>
      <c r="H335" s="109"/>
      <c r="I335" s="109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  <c r="AA335" s="92"/>
      <c r="AB335" s="92"/>
      <c r="AC335" s="92"/>
    </row>
    <row r="336" ht="15.75" customHeight="1">
      <c r="A336" s="92"/>
      <c r="B336" s="108" t="s">
        <v>450</v>
      </c>
      <c r="C336" s="109">
        <v>0.0</v>
      </c>
      <c r="D336" s="109">
        <v>0.0</v>
      </c>
      <c r="E336" s="109">
        <v>10000.0</v>
      </c>
      <c r="F336" s="109">
        <v>0.0</v>
      </c>
      <c r="G336" s="109">
        <v>0.0</v>
      </c>
      <c r="H336" s="109"/>
      <c r="I336" s="109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  <c r="AA336" s="92"/>
      <c r="AB336" s="92"/>
      <c r="AC336" s="92"/>
    </row>
    <row r="337" ht="15.75" customHeight="1">
      <c r="A337" s="92"/>
      <c r="B337" s="108" t="s">
        <v>451</v>
      </c>
      <c r="C337" s="109">
        <v>0.0</v>
      </c>
      <c r="D337" s="109">
        <v>0.0</v>
      </c>
      <c r="E337" s="109">
        <v>20000.0</v>
      </c>
      <c r="F337" s="109">
        <v>0.0</v>
      </c>
      <c r="G337" s="109">
        <v>0.0</v>
      </c>
      <c r="H337" s="109"/>
      <c r="I337" s="109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  <c r="AA337" s="92"/>
      <c r="AB337" s="92"/>
      <c r="AC337" s="92"/>
    </row>
    <row r="338" ht="15.75" customHeight="1">
      <c r="A338" s="92"/>
      <c r="B338" s="108" t="s">
        <v>452</v>
      </c>
      <c r="C338" s="109">
        <v>0.0</v>
      </c>
      <c r="D338" s="109">
        <v>0.0</v>
      </c>
      <c r="E338" s="109">
        <v>15000.0</v>
      </c>
      <c r="F338" s="109">
        <v>0.0</v>
      </c>
      <c r="G338" s="109">
        <v>0.0</v>
      </c>
      <c r="H338" s="109"/>
      <c r="I338" s="109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  <c r="AA338" s="92"/>
      <c r="AB338" s="92"/>
      <c r="AC338" s="92"/>
    </row>
    <row r="339" ht="15.75" customHeight="1">
      <c r="A339" s="92"/>
      <c r="B339" s="108" t="s">
        <v>453</v>
      </c>
      <c r="C339" s="109">
        <v>0.0</v>
      </c>
      <c r="D339" s="109">
        <v>0.0</v>
      </c>
      <c r="E339" s="109">
        <v>30000.0</v>
      </c>
      <c r="F339" s="109">
        <v>0.0</v>
      </c>
      <c r="G339" s="109">
        <v>0.0</v>
      </c>
      <c r="H339" s="109"/>
      <c r="I339" s="109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  <c r="AA339" s="92"/>
      <c r="AB339" s="92"/>
      <c r="AC339" s="92"/>
    </row>
    <row r="340" ht="15.75" customHeight="1">
      <c r="A340" s="92"/>
      <c r="B340" s="108" t="s">
        <v>454</v>
      </c>
      <c r="C340" s="109">
        <v>0.0</v>
      </c>
      <c r="D340" s="109">
        <v>0.0</v>
      </c>
      <c r="E340" s="109">
        <v>30000.0</v>
      </c>
      <c r="F340" s="109">
        <v>0.0</v>
      </c>
      <c r="G340" s="109">
        <v>0.0</v>
      </c>
      <c r="H340" s="109"/>
      <c r="I340" s="109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  <c r="AA340" s="92"/>
      <c r="AB340" s="92"/>
      <c r="AC340" s="92"/>
    </row>
    <row r="341" ht="15.75" customHeight="1">
      <c r="A341" s="92"/>
      <c r="B341" s="108" t="s">
        <v>455</v>
      </c>
      <c r="C341" s="109">
        <v>0.0</v>
      </c>
      <c r="D341" s="109">
        <v>0.0</v>
      </c>
      <c r="E341" s="109">
        <v>20000.0</v>
      </c>
      <c r="F341" s="109">
        <v>0.0</v>
      </c>
      <c r="G341" s="109">
        <v>0.0</v>
      </c>
      <c r="H341" s="109"/>
      <c r="I341" s="109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  <c r="AA341" s="92"/>
      <c r="AB341" s="92"/>
      <c r="AC341" s="92"/>
    </row>
    <row r="342" ht="15.75" customHeight="1">
      <c r="A342" s="92"/>
      <c r="B342" s="108" t="s">
        <v>456</v>
      </c>
      <c r="C342" s="109">
        <v>0.0</v>
      </c>
      <c r="D342" s="109">
        <v>0.0</v>
      </c>
      <c r="E342" s="109">
        <v>30000.0</v>
      </c>
      <c r="F342" s="109">
        <v>0.0</v>
      </c>
      <c r="G342" s="109">
        <v>0.0</v>
      </c>
      <c r="H342" s="109"/>
      <c r="I342" s="109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  <c r="AA342" s="92"/>
      <c r="AB342" s="92"/>
      <c r="AC342" s="92"/>
    </row>
    <row r="343" ht="15.75" customHeight="1">
      <c r="A343" s="92"/>
      <c r="B343" s="108" t="s">
        <v>457</v>
      </c>
      <c r="C343" s="109">
        <v>0.0</v>
      </c>
      <c r="D343" s="109">
        <v>0.0</v>
      </c>
      <c r="E343" s="109">
        <v>30000.0</v>
      </c>
      <c r="F343" s="109">
        <v>0.0</v>
      </c>
      <c r="G343" s="109">
        <v>0.0</v>
      </c>
      <c r="H343" s="109"/>
      <c r="I343" s="109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  <c r="AA343" s="92"/>
      <c r="AB343" s="92"/>
      <c r="AC343" s="92"/>
    </row>
    <row r="344" ht="15.75" customHeight="1">
      <c r="A344" s="92"/>
      <c r="B344" s="108" t="s">
        <v>458</v>
      </c>
      <c r="C344" s="109">
        <v>0.0</v>
      </c>
      <c r="D344" s="109">
        <v>0.0</v>
      </c>
      <c r="E344" s="109">
        <v>25000.0</v>
      </c>
      <c r="F344" s="109">
        <v>0.0</v>
      </c>
      <c r="G344" s="109">
        <v>0.0</v>
      </c>
      <c r="H344" s="109"/>
      <c r="I344" s="109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  <c r="AA344" s="92"/>
      <c r="AB344" s="92"/>
      <c r="AC344" s="92"/>
    </row>
    <row r="345" ht="15.75" customHeight="1">
      <c r="A345" s="92"/>
      <c r="B345" s="108" t="s">
        <v>459</v>
      </c>
      <c r="C345" s="109">
        <v>0.0</v>
      </c>
      <c r="D345" s="109">
        <v>0.0</v>
      </c>
      <c r="E345" s="109">
        <v>30000.0</v>
      </c>
      <c r="F345" s="109">
        <v>0.0</v>
      </c>
      <c r="G345" s="109">
        <v>0.0</v>
      </c>
      <c r="H345" s="109"/>
      <c r="I345" s="109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  <c r="AA345" s="92"/>
      <c r="AB345" s="92"/>
      <c r="AC345" s="92"/>
    </row>
    <row r="346" ht="15.75" customHeight="1">
      <c r="A346" s="92"/>
      <c r="B346" s="108" t="s">
        <v>460</v>
      </c>
      <c r="C346" s="109">
        <v>0.0</v>
      </c>
      <c r="D346" s="109">
        <v>0.0</v>
      </c>
      <c r="E346" s="109">
        <v>50000.0</v>
      </c>
      <c r="F346" s="109">
        <v>0.0</v>
      </c>
      <c r="G346" s="109">
        <v>0.0</v>
      </c>
      <c r="H346" s="109"/>
      <c r="I346" s="109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  <c r="AA346" s="92"/>
      <c r="AB346" s="92"/>
      <c r="AC346" s="92"/>
    </row>
    <row r="347" ht="15.75" customHeight="1">
      <c r="A347" s="92"/>
      <c r="B347" s="108" t="s">
        <v>461</v>
      </c>
      <c r="C347" s="109">
        <v>0.0</v>
      </c>
      <c r="D347" s="109">
        <v>0.0</v>
      </c>
      <c r="E347" s="109">
        <v>20000.0</v>
      </c>
      <c r="F347" s="109">
        <v>0.0</v>
      </c>
      <c r="G347" s="109">
        <v>0.0</v>
      </c>
      <c r="H347" s="109"/>
      <c r="I347" s="109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  <c r="AA347" s="92"/>
      <c r="AB347" s="92"/>
      <c r="AC347" s="92"/>
    </row>
    <row r="348" ht="15.75" customHeight="1">
      <c r="A348" s="92"/>
      <c r="B348" s="108" t="s">
        <v>462</v>
      </c>
      <c r="C348" s="109">
        <v>0.0</v>
      </c>
      <c r="D348" s="109">
        <v>0.0</v>
      </c>
      <c r="E348" s="109">
        <v>20000.0</v>
      </c>
      <c r="F348" s="109">
        <v>0.0</v>
      </c>
      <c r="G348" s="109">
        <v>0.0</v>
      </c>
      <c r="H348" s="109"/>
      <c r="I348" s="109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  <c r="AA348" s="92"/>
      <c r="AB348" s="92"/>
      <c r="AC348" s="92"/>
    </row>
    <row r="349" ht="15.75" customHeight="1">
      <c r="A349" s="92"/>
      <c r="B349" s="108" t="s">
        <v>463</v>
      </c>
      <c r="C349" s="109">
        <v>0.0</v>
      </c>
      <c r="D349" s="109">
        <v>0.0</v>
      </c>
      <c r="E349" s="109">
        <v>25000.0</v>
      </c>
      <c r="F349" s="109">
        <v>0.0</v>
      </c>
      <c r="G349" s="109">
        <v>0.0</v>
      </c>
      <c r="H349" s="109"/>
      <c r="I349" s="109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  <c r="AA349" s="92"/>
      <c r="AB349" s="92"/>
      <c r="AC349" s="92"/>
    </row>
    <row r="350" ht="15.75" customHeight="1">
      <c r="A350" s="92"/>
      <c r="B350" s="108" t="s">
        <v>464</v>
      </c>
      <c r="C350" s="109">
        <v>0.0</v>
      </c>
      <c r="D350" s="109">
        <v>0.0</v>
      </c>
      <c r="E350" s="109">
        <v>20000.0</v>
      </c>
      <c r="F350" s="109">
        <v>0.0</v>
      </c>
      <c r="G350" s="109">
        <v>0.0</v>
      </c>
      <c r="H350" s="109"/>
      <c r="I350" s="109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  <c r="AA350" s="92"/>
      <c r="AB350" s="92"/>
      <c r="AC350" s="92"/>
    </row>
    <row r="351" ht="15.75" customHeight="1">
      <c r="A351" s="92"/>
      <c r="B351" s="108" t="s">
        <v>465</v>
      </c>
      <c r="C351" s="109">
        <v>24155.3</v>
      </c>
      <c r="D351" s="109">
        <v>3345.07</v>
      </c>
      <c r="E351" s="109">
        <v>1.0</v>
      </c>
      <c r="F351" s="109">
        <v>1690.871</v>
      </c>
      <c r="G351" s="109">
        <v>234.15490000000005</v>
      </c>
      <c r="H351" s="109"/>
      <c r="I351" s="109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  <c r="AA351" s="92"/>
      <c r="AB351" s="92"/>
      <c r="AC351" s="92"/>
    </row>
    <row r="352" ht="15.75" customHeight="1">
      <c r="A352" s="92"/>
      <c r="B352" s="108" t="s">
        <v>466</v>
      </c>
      <c r="C352" s="109">
        <v>0.0</v>
      </c>
      <c r="D352" s="109">
        <v>0.0</v>
      </c>
      <c r="E352" s="109">
        <v>40000.0</v>
      </c>
      <c r="F352" s="109">
        <v>0.0</v>
      </c>
      <c r="G352" s="109">
        <v>0.0</v>
      </c>
      <c r="H352" s="109"/>
      <c r="I352" s="109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  <c r="AA352" s="92"/>
      <c r="AB352" s="92"/>
      <c r="AC352" s="92"/>
    </row>
    <row r="353" ht="15.75" customHeight="1">
      <c r="A353" s="92"/>
      <c r="B353" s="108" t="s">
        <v>467</v>
      </c>
      <c r="C353" s="109">
        <v>0.0</v>
      </c>
      <c r="D353" s="109">
        <v>0.0</v>
      </c>
      <c r="E353" s="109">
        <v>30000.0</v>
      </c>
      <c r="F353" s="109">
        <v>0.0</v>
      </c>
      <c r="G353" s="109">
        <v>0.0</v>
      </c>
      <c r="H353" s="109"/>
      <c r="I353" s="109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  <c r="AA353" s="92"/>
      <c r="AB353" s="92"/>
      <c r="AC353" s="92"/>
    </row>
    <row r="354" ht="15.75" customHeight="1">
      <c r="A354" s="92"/>
      <c r="B354" s="108" t="s">
        <v>468</v>
      </c>
      <c r="C354" s="109">
        <v>78411.64</v>
      </c>
      <c r="D354" s="109">
        <v>8700.0</v>
      </c>
      <c r="E354" s="109">
        <v>800.0</v>
      </c>
      <c r="F354" s="109">
        <v>5489.119005454255</v>
      </c>
      <c r="G354" s="109">
        <v>609.0337524818001</v>
      </c>
      <c r="H354" s="109"/>
      <c r="I354" s="109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  <c r="AA354" s="92"/>
      <c r="AB354" s="92"/>
      <c r="AC354" s="92"/>
    </row>
    <row r="355" ht="15.75" customHeight="1">
      <c r="A355" s="92"/>
      <c r="B355" s="108" t="s">
        <v>469</v>
      </c>
      <c r="C355" s="109">
        <v>166233.93</v>
      </c>
      <c r="D355" s="109">
        <v>2236.89</v>
      </c>
      <c r="E355" s="109">
        <v>900.0</v>
      </c>
      <c r="F355" s="109">
        <v>11636.427001597665</v>
      </c>
      <c r="G355" s="109">
        <v>156.57613507958018</v>
      </c>
      <c r="H355" s="109"/>
      <c r="I355" s="109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  <c r="AA355" s="92"/>
      <c r="AB355" s="92"/>
      <c r="AC355" s="92"/>
    </row>
    <row r="356" ht="15.75" customHeight="1">
      <c r="A356" s="92"/>
      <c r="B356" s="108" t="s">
        <v>470</v>
      </c>
      <c r="C356" s="109">
        <v>62322.66</v>
      </c>
      <c r="D356" s="109">
        <v>1144.11</v>
      </c>
      <c r="E356" s="109">
        <v>60000.0</v>
      </c>
      <c r="F356" s="109">
        <v>4381.573729789621</v>
      </c>
      <c r="G356" s="109">
        <v>80.08698595768581</v>
      </c>
      <c r="H356" s="109"/>
      <c r="I356" s="109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  <c r="AA356" s="92"/>
      <c r="AB356" s="92"/>
      <c r="AC356" s="92"/>
    </row>
    <row r="357" ht="15.75" customHeight="1">
      <c r="A357" s="92"/>
      <c r="B357" s="108" t="s">
        <v>471</v>
      </c>
      <c r="C357" s="109">
        <v>0.0</v>
      </c>
      <c r="D357" s="109">
        <v>0.0</v>
      </c>
      <c r="E357" s="109">
        <v>30000.0</v>
      </c>
      <c r="F357" s="109">
        <v>0.0</v>
      </c>
      <c r="G357" s="109">
        <v>0.0</v>
      </c>
      <c r="H357" s="109"/>
      <c r="I357" s="109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  <c r="AA357" s="92"/>
      <c r="AB357" s="92"/>
      <c r="AC357" s="92"/>
    </row>
    <row r="358" ht="15.75" customHeight="1">
      <c r="A358" s="92"/>
      <c r="B358" s="108" t="s">
        <v>472</v>
      </c>
      <c r="C358" s="109">
        <v>8898.41</v>
      </c>
      <c r="D358" s="109">
        <v>0.0</v>
      </c>
      <c r="E358" s="109">
        <v>1.0</v>
      </c>
      <c r="F358" s="109">
        <v>800.8569</v>
      </c>
      <c r="G358" s="109">
        <v>0.0</v>
      </c>
      <c r="H358" s="109"/>
      <c r="I358" s="109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  <c r="AA358" s="92"/>
      <c r="AB358" s="92"/>
      <c r="AC358" s="92"/>
    </row>
    <row r="359" ht="15.75" customHeight="1">
      <c r="A359" s="92"/>
      <c r="B359" s="108" t="s">
        <v>473</v>
      </c>
      <c r="C359" s="109">
        <v>26459.7</v>
      </c>
      <c r="D359" s="109">
        <v>3361.51</v>
      </c>
      <c r="E359" s="109">
        <v>3500.0</v>
      </c>
      <c r="F359" s="109">
        <v>2381.3729999999996</v>
      </c>
      <c r="G359" s="109">
        <v>302.5359</v>
      </c>
      <c r="H359" s="109"/>
      <c r="I359" s="109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  <c r="AA359" s="92"/>
      <c r="AB359" s="92"/>
      <c r="AC359" s="92"/>
    </row>
    <row r="360" ht="15.75" customHeight="1">
      <c r="A360" s="92"/>
      <c r="B360" s="108" t="s">
        <v>474</v>
      </c>
      <c r="C360" s="109">
        <v>23898.49</v>
      </c>
      <c r="D360" s="109">
        <v>88.6</v>
      </c>
      <c r="E360" s="109">
        <v>6000.0</v>
      </c>
      <c r="F360" s="109">
        <v>2150.8641000000002</v>
      </c>
      <c r="G360" s="109">
        <v>7.973999999999999</v>
      </c>
      <c r="H360" s="109"/>
      <c r="I360" s="109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  <c r="AA360" s="92"/>
      <c r="AB360" s="92"/>
      <c r="AC360" s="92"/>
    </row>
    <row r="361" ht="15.75" customHeight="1">
      <c r="A361" s="92"/>
      <c r="B361" s="108" t="s">
        <v>475</v>
      </c>
      <c r="C361" s="109">
        <v>25174.94</v>
      </c>
      <c r="D361" s="109">
        <v>1651.15</v>
      </c>
      <c r="E361" s="109">
        <v>3500.0</v>
      </c>
      <c r="F361" s="109">
        <v>2265.7446</v>
      </c>
      <c r="G361" s="109">
        <v>148.60350000000003</v>
      </c>
      <c r="H361" s="109"/>
      <c r="I361" s="109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  <c r="AA361" s="92"/>
      <c r="AB361" s="92"/>
      <c r="AC361" s="92"/>
    </row>
    <row r="362" ht="15.75" customHeight="1">
      <c r="A362" s="92"/>
      <c r="B362" s="108" t="s">
        <v>476</v>
      </c>
      <c r="C362" s="109">
        <v>28901.96</v>
      </c>
      <c r="D362" s="109">
        <v>1029.88</v>
      </c>
      <c r="E362" s="109">
        <v>1.0</v>
      </c>
      <c r="F362" s="109">
        <v>2601.1764</v>
      </c>
      <c r="G362" s="109">
        <v>92.68920000000001</v>
      </c>
      <c r="H362" s="109"/>
      <c r="I362" s="109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  <c r="AA362" s="92"/>
      <c r="AB362" s="92"/>
      <c r="AC362" s="92"/>
    </row>
    <row r="363" ht="15.75" customHeight="1">
      <c r="A363" s="92"/>
      <c r="B363" s="108" t="s">
        <v>477</v>
      </c>
      <c r="C363" s="109">
        <v>25549.91</v>
      </c>
      <c r="D363" s="109">
        <v>-0.02</v>
      </c>
      <c r="E363" s="109">
        <v>4000.0</v>
      </c>
      <c r="F363" s="109">
        <v>2299.4919</v>
      </c>
      <c r="G363" s="109">
        <v>-0.0018000000000000002</v>
      </c>
      <c r="H363" s="109"/>
      <c r="I363" s="109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  <c r="AA363" s="92"/>
      <c r="AB363" s="92"/>
      <c r="AC363" s="92"/>
    </row>
    <row r="364" ht="15.75" customHeight="1">
      <c r="A364" s="92"/>
      <c r="B364" s="108" t="s">
        <v>478</v>
      </c>
      <c r="C364" s="109">
        <v>0.0</v>
      </c>
      <c r="D364" s="109">
        <v>0.0</v>
      </c>
      <c r="E364" s="109">
        <v>5000.0</v>
      </c>
      <c r="F364" s="109">
        <v>0.0</v>
      </c>
      <c r="G364" s="109">
        <v>0.0</v>
      </c>
      <c r="H364" s="109"/>
      <c r="I364" s="109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  <c r="AA364" s="92"/>
      <c r="AB364" s="92"/>
      <c r="AC364" s="92"/>
    </row>
    <row r="365" ht="15.75" customHeight="1">
      <c r="A365" s="92"/>
      <c r="B365" s="108" t="s">
        <v>479</v>
      </c>
      <c r="C365" s="109">
        <v>30001.17</v>
      </c>
      <c r="D365" s="109">
        <v>0.0</v>
      </c>
      <c r="E365" s="109"/>
      <c r="F365" s="109">
        <v>2700.1052999999997</v>
      </c>
      <c r="G365" s="109">
        <v>0.0</v>
      </c>
      <c r="H365" s="109"/>
      <c r="I365" s="109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  <c r="AA365" s="92"/>
      <c r="AB365" s="92"/>
      <c r="AC365" s="92"/>
    </row>
    <row r="366" ht="15.75" customHeight="1">
      <c r="A366" s="92"/>
      <c r="B366" s="108" t="s">
        <v>480</v>
      </c>
      <c r="C366" s="109">
        <v>29988.11</v>
      </c>
      <c r="D366" s="109">
        <v>0.01</v>
      </c>
      <c r="E366" s="109">
        <v>1.0</v>
      </c>
      <c r="F366" s="109">
        <v>2698.9299</v>
      </c>
      <c r="G366" s="109">
        <v>9.000000000000001E-4</v>
      </c>
      <c r="H366" s="109"/>
      <c r="I366" s="109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  <c r="AA366" s="92"/>
      <c r="AB366" s="92"/>
      <c r="AC366" s="92"/>
    </row>
    <row r="367" ht="15.75" customHeight="1">
      <c r="A367" s="92"/>
      <c r="B367" s="101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  <c r="AA367" s="92"/>
      <c r="AB367" s="92"/>
      <c r="AC367" s="92"/>
    </row>
    <row r="368" ht="15.75" customHeight="1">
      <c r="A368" s="92"/>
      <c r="B368" s="101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  <c r="AA368" s="92"/>
      <c r="AB368" s="92"/>
      <c r="AC368" s="92"/>
    </row>
    <row r="369" ht="15.75" customHeight="1">
      <c r="A369" s="92"/>
      <c r="B369" s="101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  <c r="AA369" s="92"/>
      <c r="AB369" s="92"/>
      <c r="AC369" s="92"/>
    </row>
    <row r="370" ht="15.75" customHeight="1">
      <c r="A370" s="92"/>
      <c r="B370" s="101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  <c r="AA370" s="92"/>
      <c r="AB370" s="92"/>
      <c r="AC370" s="92"/>
    </row>
    <row r="371" ht="15.75" customHeight="1">
      <c r="A371" s="92"/>
      <c r="B371" s="101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  <c r="AA371" s="92"/>
      <c r="AB371" s="92"/>
      <c r="AC371" s="92"/>
    </row>
    <row r="372" ht="15.75" customHeight="1">
      <c r="A372" s="92"/>
      <c r="B372" s="101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  <c r="AA372" s="92"/>
      <c r="AB372" s="92"/>
      <c r="AC372" s="92"/>
    </row>
    <row r="373" ht="15.75" customHeight="1">
      <c r="A373" s="92"/>
      <c r="B373" s="101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  <c r="AA373" s="92"/>
      <c r="AB373" s="92"/>
      <c r="AC373" s="92"/>
    </row>
    <row r="374" ht="15.75" customHeight="1">
      <c r="A374" s="92"/>
      <c r="B374" s="101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  <c r="AA374" s="92"/>
      <c r="AB374" s="92"/>
      <c r="AC374" s="92"/>
    </row>
    <row r="375" ht="15.75" customHeight="1">
      <c r="A375" s="92"/>
      <c r="B375" s="101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  <c r="AA375" s="92"/>
      <c r="AB375" s="92"/>
      <c r="AC375" s="92"/>
    </row>
    <row r="376" ht="15.75" customHeight="1">
      <c r="A376" s="92"/>
      <c r="B376" s="101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  <c r="AA376" s="92"/>
      <c r="AB376" s="92"/>
      <c r="AC376" s="92"/>
    </row>
    <row r="377" ht="15.75" customHeight="1">
      <c r="A377" s="92"/>
      <c r="B377" s="101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  <c r="AA377" s="92"/>
      <c r="AB377" s="92"/>
      <c r="AC377" s="92"/>
    </row>
    <row r="378" ht="15.75" customHeight="1">
      <c r="A378" s="92"/>
      <c r="B378" s="101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  <c r="AA378" s="92"/>
      <c r="AB378" s="92"/>
      <c r="AC378" s="92"/>
    </row>
    <row r="379" ht="15.75" customHeight="1">
      <c r="A379" s="92"/>
      <c r="B379" s="101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  <c r="AA379" s="92"/>
      <c r="AB379" s="92"/>
      <c r="AC379" s="92"/>
    </row>
    <row r="380" ht="15.75" customHeight="1">
      <c r="A380" s="92"/>
      <c r="B380" s="101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  <c r="AA380" s="92"/>
      <c r="AB380" s="92"/>
      <c r="AC380" s="92"/>
    </row>
    <row r="381" ht="15.75" customHeight="1">
      <c r="A381" s="92"/>
      <c r="B381" s="101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  <c r="AA381" s="92"/>
      <c r="AB381" s="92"/>
      <c r="AC381" s="92"/>
    </row>
    <row r="382" ht="15.75" customHeight="1">
      <c r="A382" s="92"/>
      <c r="B382" s="101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  <c r="AA382" s="92"/>
      <c r="AB382" s="92"/>
      <c r="AC382" s="92"/>
    </row>
    <row r="383" ht="15.75" customHeight="1">
      <c r="A383" s="92"/>
      <c r="B383" s="101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  <c r="AA383" s="92"/>
      <c r="AB383" s="92"/>
      <c r="AC383" s="92"/>
    </row>
    <row r="384" ht="15.75" customHeight="1">
      <c r="A384" s="92"/>
      <c r="B384" s="101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  <c r="AA384" s="92"/>
      <c r="AB384" s="92"/>
      <c r="AC384" s="92"/>
    </row>
    <row r="385" ht="15.75" customHeight="1">
      <c r="A385" s="92"/>
      <c r="B385" s="101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  <c r="AA385" s="92"/>
      <c r="AB385" s="92"/>
      <c r="AC385" s="92"/>
    </row>
    <row r="386" ht="15.75" customHeight="1">
      <c r="A386" s="92"/>
      <c r="B386" s="101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  <c r="AA386" s="92"/>
      <c r="AB386" s="92"/>
      <c r="AC386" s="92"/>
    </row>
    <row r="387" ht="15.75" customHeight="1">
      <c r="A387" s="92"/>
      <c r="B387" s="101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  <c r="AA387" s="92"/>
      <c r="AB387" s="92"/>
      <c r="AC387" s="92"/>
    </row>
    <row r="388" ht="15.75" customHeight="1">
      <c r="A388" s="92"/>
      <c r="B388" s="101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  <c r="AA388" s="92"/>
      <c r="AB388" s="92"/>
      <c r="AC388" s="92"/>
    </row>
    <row r="389" ht="15.75" customHeight="1">
      <c r="A389" s="92"/>
      <c r="B389" s="101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  <c r="AA389" s="92"/>
      <c r="AB389" s="92"/>
      <c r="AC389" s="92"/>
    </row>
    <row r="390" ht="15.75" customHeight="1">
      <c r="A390" s="92"/>
      <c r="B390" s="101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  <c r="AA390" s="92"/>
      <c r="AB390" s="92"/>
      <c r="AC390" s="92"/>
    </row>
    <row r="391" ht="15.75" customHeight="1">
      <c r="A391" s="92"/>
      <c r="B391" s="101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  <c r="AA391" s="92"/>
      <c r="AB391" s="92"/>
      <c r="AC391" s="92"/>
    </row>
    <row r="392" ht="15.75" customHeight="1">
      <c r="A392" s="92"/>
      <c r="B392" s="101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  <c r="AA392" s="92"/>
      <c r="AB392" s="92"/>
      <c r="AC392" s="92"/>
    </row>
    <row r="393" ht="15.75" customHeight="1">
      <c r="A393" s="92"/>
      <c r="B393" s="101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  <c r="AA393" s="92"/>
      <c r="AB393" s="92"/>
      <c r="AC393" s="92"/>
    </row>
    <row r="394" ht="15.75" customHeight="1">
      <c r="A394" s="92"/>
      <c r="B394" s="101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  <c r="AA394" s="92"/>
      <c r="AB394" s="92"/>
      <c r="AC394" s="92"/>
    </row>
    <row r="395" ht="15.75" customHeight="1">
      <c r="A395" s="92"/>
      <c r="B395" s="101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  <c r="AA395" s="92"/>
      <c r="AB395" s="92"/>
      <c r="AC395" s="92"/>
    </row>
    <row r="396" ht="15.75" customHeight="1">
      <c r="A396" s="92"/>
      <c r="B396" s="101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  <c r="AA396" s="92"/>
      <c r="AB396" s="92"/>
      <c r="AC396" s="92"/>
    </row>
    <row r="397" ht="15.75" customHeight="1">
      <c r="A397" s="92"/>
      <c r="B397" s="101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  <c r="AA397" s="92"/>
      <c r="AB397" s="92"/>
      <c r="AC397" s="92"/>
    </row>
    <row r="398" ht="15.75" customHeight="1">
      <c r="A398" s="92"/>
      <c r="B398" s="101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  <c r="AA398" s="92"/>
      <c r="AB398" s="92"/>
      <c r="AC398" s="92"/>
    </row>
    <row r="399" ht="15.75" customHeight="1">
      <c r="A399" s="92"/>
      <c r="B399" s="101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  <c r="AA399" s="92"/>
      <c r="AB399" s="92"/>
      <c r="AC399" s="92"/>
    </row>
    <row r="400" ht="15.75" customHeight="1">
      <c r="A400" s="92"/>
      <c r="B400" s="101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  <c r="AA400" s="92"/>
      <c r="AB400" s="92"/>
      <c r="AC400" s="92"/>
    </row>
    <row r="401" ht="15.75" customHeight="1">
      <c r="A401" s="92"/>
      <c r="B401" s="101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  <c r="AA401" s="92"/>
      <c r="AB401" s="92"/>
      <c r="AC401" s="92"/>
    </row>
    <row r="402" ht="15.75" customHeight="1">
      <c r="A402" s="92"/>
      <c r="B402" s="101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  <c r="AA402" s="92"/>
      <c r="AB402" s="92"/>
      <c r="AC402" s="92"/>
    </row>
    <row r="403" ht="15.75" customHeight="1">
      <c r="A403" s="92"/>
      <c r="B403" s="101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  <c r="AA403" s="92"/>
      <c r="AB403" s="92"/>
      <c r="AC403" s="92"/>
    </row>
    <row r="404" ht="15.75" customHeight="1">
      <c r="A404" s="92"/>
      <c r="B404" s="101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  <c r="AA404" s="92"/>
      <c r="AB404" s="92"/>
      <c r="AC404" s="92"/>
    </row>
    <row r="405" ht="15.75" customHeight="1">
      <c r="A405" s="92"/>
      <c r="B405" s="101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  <c r="AA405" s="92"/>
      <c r="AB405" s="92"/>
      <c r="AC405" s="92"/>
    </row>
    <row r="406" ht="15.75" customHeight="1">
      <c r="A406" s="92"/>
      <c r="B406" s="101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  <c r="AA406" s="92"/>
      <c r="AB406" s="92"/>
      <c r="AC406" s="92"/>
    </row>
    <row r="407" ht="15.75" customHeight="1">
      <c r="A407" s="92"/>
      <c r="B407" s="101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  <c r="AA407" s="92"/>
      <c r="AB407" s="92"/>
      <c r="AC407" s="92"/>
    </row>
    <row r="408" ht="15.75" customHeight="1">
      <c r="A408" s="92"/>
      <c r="B408" s="101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  <c r="AA408" s="92"/>
      <c r="AB408" s="92"/>
      <c r="AC408" s="92"/>
    </row>
    <row r="409" ht="15.75" customHeight="1">
      <c r="A409" s="92"/>
      <c r="B409" s="101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  <c r="AA409" s="92"/>
      <c r="AB409" s="92"/>
      <c r="AC409" s="92"/>
    </row>
    <row r="410" ht="15.75" customHeight="1">
      <c r="A410" s="92"/>
      <c r="B410" s="101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  <c r="AA410" s="92"/>
      <c r="AB410" s="92"/>
      <c r="AC410" s="92"/>
    </row>
    <row r="411" ht="15.75" customHeight="1">
      <c r="A411" s="92"/>
      <c r="B411" s="101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  <c r="AA411" s="92"/>
      <c r="AB411" s="92"/>
      <c r="AC411" s="92"/>
    </row>
    <row r="412" ht="15.75" customHeight="1">
      <c r="A412" s="92"/>
      <c r="B412" s="101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  <c r="AA412" s="92"/>
      <c r="AB412" s="92"/>
      <c r="AC412" s="92"/>
    </row>
    <row r="413" ht="15.75" customHeight="1">
      <c r="A413" s="92"/>
      <c r="B413" s="101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  <c r="AA413" s="92"/>
      <c r="AB413" s="92"/>
      <c r="AC413" s="92"/>
    </row>
    <row r="414" ht="15.75" customHeight="1">
      <c r="A414" s="92"/>
      <c r="B414" s="101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  <c r="AA414" s="92"/>
      <c r="AB414" s="92"/>
      <c r="AC414" s="92"/>
    </row>
    <row r="415" ht="15.75" customHeight="1">
      <c r="A415" s="92"/>
      <c r="B415" s="101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  <c r="AA415" s="92"/>
      <c r="AB415" s="92"/>
      <c r="AC415" s="92"/>
    </row>
    <row r="416" ht="15.75" customHeight="1">
      <c r="A416" s="92"/>
      <c r="B416" s="101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  <c r="AA416" s="92"/>
      <c r="AB416" s="92"/>
      <c r="AC416" s="92"/>
    </row>
    <row r="417" ht="15.75" customHeight="1">
      <c r="A417" s="92"/>
      <c r="B417" s="101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  <c r="AA417" s="92"/>
      <c r="AB417" s="92"/>
      <c r="AC417" s="92"/>
    </row>
    <row r="418" ht="15.75" customHeight="1">
      <c r="A418" s="92"/>
      <c r="B418" s="101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  <c r="AA418" s="92"/>
      <c r="AB418" s="92"/>
      <c r="AC418" s="92"/>
    </row>
    <row r="419" ht="15.75" customHeight="1">
      <c r="A419" s="92"/>
      <c r="B419" s="101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  <c r="AA419" s="92"/>
      <c r="AB419" s="92"/>
      <c r="AC419" s="92"/>
    </row>
    <row r="420" ht="15.75" customHeight="1">
      <c r="A420" s="92"/>
      <c r="B420" s="101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  <c r="AA420" s="92"/>
      <c r="AB420" s="92"/>
      <c r="AC420" s="92"/>
    </row>
    <row r="421" ht="15.75" customHeight="1">
      <c r="A421" s="92"/>
      <c r="B421" s="101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  <c r="AA421" s="92"/>
      <c r="AB421" s="92"/>
      <c r="AC421" s="92"/>
    </row>
    <row r="422" ht="15.75" customHeight="1">
      <c r="A422" s="92"/>
      <c r="B422" s="101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  <c r="AA422" s="92"/>
      <c r="AB422" s="92"/>
      <c r="AC422" s="92"/>
    </row>
    <row r="423" ht="15.75" customHeight="1">
      <c r="A423" s="92"/>
      <c r="B423" s="101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  <c r="AA423" s="92"/>
      <c r="AB423" s="92"/>
      <c r="AC423" s="92"/>
    </row>
    <row r="424" ht="15.75" customHeight="1">
      <c r="A424" s="92"/>
      <c r="B424" s="101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  <c r="AA424" s="92"/>
      <c r="AB424" s="92"/>
      <c r="AC424" s="92"/>
    </row>
    <row r="425" ht="15.75" customHeight="1">
      <c r="A425" s="92"/>
      <c r="B425" s="101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  <c r="AA425" s="92"/>
      <c r="AB425" s="92"/>
      <c r="AC425" s="92"/>
    </row>
    <row r="426" ht="15.75" customHeight="1">
      <c r="A426" s="92"/>
      <c r="B426" s="101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  <c r="AA426" s="92"/>
      <c r="AB426" s="92"/>
      <c r="AC426" s="92"/>
    </row>
    <row r="427" ht="15.75" customHeight="1">
      <c r="A427" s="92"/>
      <c r="B427" s="101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  <c r="AA427" s="92"/>
      <c r="AB427" s="92"/>
      <c r="AC427" s="92"/>
    </row>
    <row r="428" ht="15.75" customHeight="1">
      <c r="A428" s="92"/>
      <c r="B428" s="101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  <c r="AA428" s="92"/>
      <c r="AB428" s="92"/>
      <c r="AC428" s="92"/>
    </row>
    <row r="429" ht="15.75" customHeight="1">
      <c r="A429" s="92"/>
      <c r="B429" s="101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  <c r="AA429" s="92"/>
      <c r="AB429" s="92"/>
      <c r="AC429" s="92"/>
    </row>
    <row r="430" ht="15.75" customHeight="1">
      <c r="A430" s="92"/>
      <c r="B430" s="101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  <c r="AA430" s="92"/>
      <c r="AB430" s="92"/>
      <c r="AC430" s="92"/>
    </row>
    <row r="431" ht="15.75" customHeight="1">
      <c r="A431" s="92"/>
      <c r="B431" s="101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  <c r="AA431" s="92"/>
      <c r="AB431" s="92"/>
      <c r="AC431" s="92"/>
    </row>
    <row r="432" ht="15.75" customHeight="1">
      <c r="A432" s="92"/>
      <c r="B432" s="101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  <c r="AA432" s="92"/>
      <c r="AB432" s="92"/>
      <c r="AC432" s="92"/>
    </row>
    <row r="433" ht="15.75" customHeight="1">
      <c r="A433" s="92"/>
      <c r="B433" s="101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  <c r="AA433" s="92"/>
      <c r="AB433" s="92"/>
      <c r="AC433" s="92"/>
    </row>
    <row r="434" ht="15.75" customHeight="1">
      <c r="A434" s="92"/>
      <c r="B434" s="101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  <c r="AA434" s="92"/>
      <c r="AB434" s="92"/>
      <c r="AC434" s="92"/>
    </row>
    <row r="435" ht="15.75" customHeight="1">
      <c r="A435" s="92"/>
      <c r="B435" s="101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  <c r="AA435" s="92"/>
      <c r="AB435" s="92"/>
      <c r="AC435" s="92"/>
    </row>
    <row r="436" ht="15.75" customHeight="1">
      <c r="A436" s="92"/>
      <c r="B436" s="101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  <c r="AA436" s="92"/>
      <c r="AB436" s="92"/>
      <c r="AC436" s="92"/>
    </row>
    <row r="437" ht="15.75" customHeight="1">
      <c r="A437" s="92"/>
      <c r="B437" s="101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  <c r="AA437" s="92"/>
      <c r="AB437" s="92"/>
      <c r="AC437" s="92"/>
    </row>
    <row r="438" ht="15.75" customHeight="1">
      <c r="A438" s="92"/>
      <c r="B438" s="101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  <c r="AA438" s="92"/>
      <c r="AB438" s="92"/>
      <c r="AC438" s="92"/>
    </row>
    <row r="439" ht="15.75" customHeight="1">
      <c r="A439" s="92"/>
      <c r="B439" s="101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  <c r="AA439" s="92"/>
      <c r="AB439" s="92"/>
      <c r="AC439" s="92"/>
    </row>
    <row r="440" ht="15.75" customHeight="1">
      <c r="A440" s="92"/>
      <c r="B440" s="101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  <c r="AA440" s="92"/>
      <c r="AB440" s="92"/>
      <c r="AC440" s="92"/>
    </row>
    <row r="441" ht="15.75" customHeight="1">
      <c r="A441" s="92"/>
      <c r="B441" s="101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  <c r="AA441" s="92"/>
      <c r="AB441" s="92"/>
      <c r="AC441" s="92"/>
    </row>
    <row r="442" ht="15.75" customHeight="1">
      <c r="A442" s="92"/>
      <c r="B442" s="101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  <c r="AA442" s="92"/>
      <c r="AB442" s="92"/>
      <c r="AC442" s="92"/>
    </row>
    <row r="443" ht="15.75" customHeight="1">
      <c r="A443" s="92"/>
      <c r="B443" s="101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  <c r="AA443" s="92"/>
      <c r="AB443" s="92"/>
      <c r="AC443" s="92"/>
    </row>
    <row r="444" ht="15.75" customHeight="1">
      <c r="A444" s="92"/>
      <c r="B444" s="101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  <c r="AA444" s="92"/>
      <c r="AB444" s="92"/>
      <c r="AC444" s="92"/>
    </row>
    <row r="445" ht="15.75" customHeight="1">
      <c r="A445" s="92"/>
      <c r="B445" s="101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  <c r="AA445" s="92"/>
      <c r="AB445" s="92"/>
      <c r="AC445" s="92"/>
    </row>
    <row r="446" ht="15.75" customHeight="1">
      <c r="A446" s="92"/>
      <c r="B446" s="101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  <c r="AA446" s="92"/>
      <c r="AB446" s="92"/>
      <c r="AC446" s="92"/>
    </row>
    <row r="447" ht="15.75" customHeight="1">
      <c r="A447" s="92"/>
      <c r="B447" s="101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  <c r="AA447" s="92"/>
      <c r="AB447" s="92"/>
      <c r="AC447" s="92"/>
    </row>
    <row r="448" ht="15.75" customHeight="1">
      <c r="A448" s="92"/>
      <c r="B448" s="101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  <c r="AA448" s="92"/>
      <c r="AB448" s="92"/>
      <c r="AC448" s="92"/>
    </row>
    <row r="449" ht="15.75" customHeight="1">
      <c r="A449" s="92"/>
      <c r="B449" s="101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  <c r="AA449" s="92"/>
      <c r="AB449" s="92"/>
      <c r="AC449" s="92"/>
    </row>
    <row r="450" ht="15.75" customHeight="1">
      <c r="A450" s="92"/>
      <c r="B450" s="101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  <c r="AA450" s="92"/>
      <c r="AB450" s="92"/>
      <c r="AC450" s="92"/>
    </row>
    <row r="451" ht="15.75" customHeight="1">
      <c r="A451" s="92"/>
      <c r="B451" s="101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  <c r="AA451" s="92"/>
      <c r="AB451" s="92"/>
      <c r="AC451" s="92"/>
    </row>
    <row r="452" ht="15.75" customHeight="1">
      <c r="A452" s="92"/>
      <c r="B452" s="101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  <c r="AA452" s="92"/>
      <c r="AB452" s="92"/>
      <c r="AC452" s="92"/>
    </row>
    <row r="453" ht="15.75" customHeight="1">
      <c r="A453" s="92"/>
      <c r="B453" s="101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  <c r="AA453" s="92"/>
      <c r="AB453" s="92"/>
      <c r="AC453" s="92"/>
    </row>
    <row r="454" ht="15.75" customHeight="1">
      <c r="A454" s="92"/>
      <c r="B454" s="101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  <c r="AA454" s="92"/>
      <c r="AB454" s="92"/>
      <c r="AC454" s="92"/>
    </row>
    <row r="455" ht="15.75" customHeight="1">
      <c r="A455" s="92"/>
      <c r="B455" s="101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  <c r="AA455" s="92"/>
      <c r="AB455" s="92"/>
      <c r="AC455" s="92"/>
    </row>
    <row r="456" ht="15.75" customHeight="1">
      <c r="A456" s="92"/>
      <c r="B456" s="101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  <c r="AA456" s="92"/>
      <c r="AB456" s="92"/>
      <c r="AC456" s="92"/>
    </row>
    <row r="457" ht="15.75" customHeight="1">
      <c r="A457" s="92"/>
      <c r="B457" s="101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  <c r="AA457" s="92"/>
      <c r="AB457" s="92"/>
      <c r="AC457" s="92"/>
    </row>
    <row r="458" ht="15.75" customHeight="1">
      <c r="A458" s="92"/>
      <c r="B458" s="101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  <c r="AA458" s="92"/>
      <c r="AB458" s="92"/>
      <c r="AC458" s="92"/>
    </row>
    <row r="459" ht="15.75" customHeight="1">
      <c r="A459" s="92"/>
      <c r="B459" s="101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  <c r="AA459" s="92"/>
      <c r="AB459" s="92"/>
      <c r="AC459" s="92"/>
    </row>
    <row r="460" ht="15.75" customHeight="1">
      <c r="A460" s="92"/>
      <c r="B460" s="101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  <c r="AA460" s="92"/>
      <c r="AB460" s="92"/>
      <c r="AC460" s="92"/>
    </row>
    <row r="461" ht="15.75" customHeight="1">
      <c r="A461" s="92"/>
      <c r="B461" s="101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  <c r="AA461" s="92"/>
      <c r="AB461" s="92"/>
      <c r="AC461" s="92"/>
    </row>
    <row r="462" ht="15.75" customHeight="1">
      <c r="A462" s="92"/>
      <c r="B462" s="101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  <c r="AA462" s="92"/>
      <c r="AB462" s="92"/>
      <c r="AC462" s="92"/>
    </row>
    <row r="463" ht="15.75" customHeight="1">
      <c r="A463" s="92"/>
      <c r="B463" s="101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  <c r="AA463" s="92"/>
      <c r="AB463" s="92"/>
      <c r="AC463" s="92"/>
    </row>
    <row r="464" ht="15.75" customHeight="1">
      <c r="A464" s="92"/>
      <c r="B464" s="101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  <c r="AA464" s="92"/>
      <c r="AB464" s="92"/>
      <c r="AC464" s="92"/>
    </row>
    <row r="465" ht="15.75" customHeight="1">
      <c r="A465" s="92"/>
      <c r="B465" s="101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  <c r="AA465" s="92"/>
      <c r="AB465" s="92"/>
      <c r="AC465" s="92"/>
    </row>
    <row r="466" ht="15.75" customHeight="1">
      <c r="A466" s="92"/>
      <c r="B466" s="101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  <c r="AA466" s="92"/>
      <c r="AB466" s="92"/>
      <c r="AC466" s="92"/>
    </row>
    <row r="467" ht="15.75" customHeight="1">
      <c r="A467" s="92"/>
      <c r="B467" s="101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  <c r="AA467" s="92"/>
      <c r="AB467" s="92"/>
      <c r="AC467" s="92"/>
    </row>
    <row r="468" ht="15.75" customHeight="1">
      <c r="A468" s="92"/>
      <c r="B468" s="101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  <c r="AA468" s="92"/>
      <c r="AB468" s="92"/>
      <c r="AC468" s="92"/>
    </row>
    <row r="469" ht="15.75" customHeight="1">
      <c r="A469" s="92"/>
      <c r="B469" s="101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  <c r="AA469" s="92"/>
      <c r="AB469" s="92"/>
      <c r="AC469" s="92"/>
    </row>
    <row r="470" ht="15.75" customHeight="1">
      <c r="A470" s="92"/>
      <c r="B470" s="101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  <c r="AA470" s="92"/>
      <c r="AB470" s="92"/>
      <c r="AC470" s="92"/>
    </row>
    <row r="471" ht="15.75" customHeight="1">
      <c r="A471" s="92"/>
      <c r="B471" s="101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  <c r="AA471" s="92"/>
      <c r="AB471" s="92"/>
      <c r="AC471" s="92"/>
    </row>
    <row r="472" ht="15.75" customHeight="1">
      <c r="A472" s="92"/>
      <c r="B472" s="101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  <c r="AA472" s="92"/>
      <c r="AB472" s="92"/>
      <c r="AC472" s="92"/>
    </row>
    <row r="473" ht="15.75" customHeight="1">
      <c r="A473" s="92"/>
      <c r="B473" s="101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  <c r="AA473" s="92"/>
      <c r="AB473" s="92"/>
      <c r="AC473" s="92"/>
    </row>
    <row r="474" ht="15.75" customHeight="1">
      <c r="A474" s="92"/>
      <c r="B474" s="101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  <c r="AA474" s="92"/>
      <c r="AB474" s="92"/>
      <c r="AC474" s="92"/>
    </row>
    <row r="475" ht="15.75" customHeight="1">
      <c r="A475" s="92"/>
      <c r="B475" s="101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  <c r="AA475" s="92"/>
      <c r="AB475" s="92"/>
      <c r="AC475" s="92"/>
    </row>
    <row r="476" ht="15.75" customHeight="1">
      <c r="A476" s="92"/>
      <c r="B476" s="101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  <c r="AA476" s="92"/>
      <c r="AB476" s="92"/>
      <c r="AC476" s="92"/>
    </row>
    <row r="477" ht="15.75" customHeight="1">
      <c r="A477" s="92"/>
      <c r="B477" s="101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  <c r="AA477" s="92"/>
      <c r="AB477" s="92"/>
      <c r="AC477" s="92"/>
    </row>
    <row r="478" ht="15.75" customHeight="1">
      <c r="A478" s="92"/>
      <c r="B478" s="101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  <c r="AA478" s="92"/>
      <c r="AB478" s="92"/>
      <c r="AC478" s="92"/>
    </row>
    <row r="479" ht="15.75" customHeight="1">
      <c r="A479" s="92"/>
      <c r="B479" s="101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  <c r="AA479" s="92"/>
      <c r="AB479" s="92"/>
      <c r="AC479" s="92"/>
    </row>
    <row r="480" ht="15.75" customHeight="1">
      <c r="A480" s="92"/>
      <c r="B480" s="101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  <c r="AA480" s="92"/>
      <c r="AB480" s="92"/>
      <c r="AC480" s="92"/>
    </row>
    <row r="481" ht="15.75" customHeight="1">
      <c r="A481" s="92"/>
      <c r="B481" s="101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  <c r="AA481" s="92"/>
      <c r="AB481" s="92"/>
      <c r="AC481" s="92"/>
    </row>
    <row r="482" ht="15.75" customHeight="1">
      <c r="A482" s="92"/>
      <c r="B482" s="101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  <c r="AA482" s="92"/>
      <c r="AB482" s="92"/>
      <c r="AC482" s="92"/>
    </row>
    <row r="483" ht="15.75" customHeight="1">
      <c r="A483" s="92"/>
      <c r="B483" s="101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  <c r="AA483" s="92"/>
      <c r="AB483" s="92"/>
      <c r="AC483" s="92"/>
    </row>
    <row r="484" ht="15.75" customHeight="1">
      <c r="A484" s="92"/>
      <c r="B484" s="101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  <c r="AA484" s="92"/>
      <c r="AB484" s="92"/>
      <c r="AC484" s="92"/>
    </row>
    <row r="485" ht="15.75" customHeight="1">
      <c r="A485" s="92"/>
      <c r="B485" s="101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  <c r="AA485" s="92"/>
      <c r="AB485" s="92"/>
      <c r="AC485" s="92"/>
    </row>
    <row r="486" ht="15.75" customHeight="1">
      <c r="A486" s="92"/>
      <c r="B486" s="101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  <c r="AA486" s="92"/>
      <c r="AB486" s="92"/>
      <c r="AC486" s="92"/>
    </row>
    <row r="487" ht="15.75" customHeight="1">
      <c r="A487" s="92"/>
      <c r="B487" s="101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  <c r="AA487" s="92"/>
      <c r="AB487" s="92"/>
      <c r="AC487" s="92"/>
    </row>
    <row r="488" ht="15.75" customHeight="1">
      <c r="A488" s="92"/>
      <c r="B488" s="101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  <c r="AA488" s="92"/>
      <c r="AB488" s="92"/>
      <c r="AC488" s="92"/>
    </row>
    <row r="489" ht="15.75" customHeight="1">
      <c r="A489" s="92"/>
      <c r="B489" s="101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  <c r="AA489" s="92"/>
      <c r="AB489" s="92"/>
      <c r="AC489" s="92"/>
    </row>
    <row r="490" ht="15.75" customHeight="1">
      <c r="A490" s="92"/>
      <c r="B490" s="101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  <c r="AA490" s="92"/>
      <c r="AB490" s="92"/>
      <c r="AC490" s="92"/>
    </row>
    <row r="491" ht="15.75" customHeight="1">
      <c r="A491" s="92"/>
      <c r="B491" s="101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  <c r="AA491" s="92"/>
      <c r="AB491" s="92"/>
      <c r="AC491" s="92"/>
    </row>
    <row r="492" ht="15.75" customHeight="1">
      <c r="A492" s="92"/>
      <c r="B492" s="101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  <c r="AA492" s="92"/>
      <c r="AB492" s="92"/>
      <c r="AC492" s="92"/>
    </row>
    <row r="493" ht="15.75" customHeight="1">
      <c r="A493" s="92"/>
      <c r="B493" s="101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  <c r="AA493" s="92"/>
      <c r="AB493" s="92"/>
      <c r="AC493" s="92"/>
    </row>
    <row r="494" ht="15.75" customHeight="1">
      <c r="A494" s="92"/>
      <c r="B494" s="101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  <c r="AA494" s="92"/>
      <c r="AB494" s="92"/>
      <c r="AC494" s="92"/>
    </row>
    <row r="495" ht="15.75" customHeight="1">
      <c r="A495" s="92"/>
      <c r="B495" s="101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  <c r="AA495" s="92"/>
      <c r="AB495" s="92"/>
      <c r="AC495" s="92"/>
    </row>
    <row r="496" ht="15.75" customHeight="1">
      <c r="A496" s="92"/>
      <c r="B496" s="101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  <c r="AA496" s="92"/>
      <c r="AB496" s="92"/>
      <c r="AC496" s="92"/>
    </row>
    <row r="497" ht="15.75" customHeight="1">
      <c r="A497" s="92"/>
      <c r="B497" s="101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  <c r="AA497" s="92"/>
      <c r="AB497" s="92"/>
      <c r="AC497" s="92"/>
    </row>
    <row r="498" ht="15.75" customHeight="1">
      <c r="A498" s="92"/>
      <c r="B498" s="101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  <c r="AA498" s="92"/>
      <c r="AB498" s="92"/>
      <c r="AC498" s="92"/>
    </row>
    <row r="499" ht="15.75" customHeight="1">
      <c r="A499" s="92"/>
      <c r="B499" s="101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  <c r="AA499" s="92"/>
      <c r="AB499" s="92"/>
      <c r="AC499" s="92"/>
    </row>
    <row r="500" ht="15.75" customHeight="1">
      <c r="A500" s="92"/>
      <c r="B500" s="101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  <c r="AA500" s="92"/>
      <c r="AB500" s="92"/>
      <c r="AC500" s="92"/>
    </row>
    <row r="501" ht="15.75" customHeight="1">
      <c r="A501" s="92"/>
      <c r="B501" s="101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  <c r="AA501" s="92"/>
      <c r="AB501" s="92"/>
      <c r="AC501" s="92"/>
    </row>
    <row r="502" ht="15.75" customHeight="1">
      <c r="A502" s="92"/>
      <c r="B502" s="101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  <c r="AA502" s="92"/>
      <c r="AB502" s="92"/>
      <c r="AC502" s="92"/>
    </row>
    <row r="503" ht="15.75" customHeight="1">
      <c r="A503" s="92"/>
      <c r="B503" s="101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  <c r="AA503" s="92"/>
      <c r="AB503" s="92"/>
      <c r="AC503" s="92"/>
    </row>
    <row r="504" ht="15.75" customHeight="1">
      <c r="A504" s="92"/>
      <c r="B504" s="101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  <c r="AA504" s="92"/>
      <c r="AB504" s="92"/>
      <c r="AC504" s="92"/>
    </row>
    <row r="505" ht="15.75" customHeight="1">
      <c r="A505" s="92"/>
      <c r="B505" s="101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  <c r="AA505" s="92"/>
      <c r="AB505" s="92"/>
      <c r="AC505" s="92"/>
    </row>
    <row r="506" ht="15.75" customHeight="1">
      <c r="A506" s="92"/>
      <c r="B506" s="101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  <c r="AA506" s="92"/>
      <c r="AB506" s="92"/>
      <c r="AC506" s="92"/>
    </row>
    <row r="507" ht="15.75" customHeight="1">
      <c r="A507" s="92"/>
      <c r="B507" s="101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  <c r="AA507" s="92"/>
      <c r="AB507" s="92"/>
      <c r="AC507" s="92"/>
    </row>
    <row r="508" ht="15.75" customHeight="1">
      <c r="A508" s="92"/>
      <c r="B508" s="101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  <c r="AA508" s="92"/>
      <c r="AB508" s="92"/>
      <c r="AC508" s="92"/>
    </row>
    <row r="509" ht="15.75" customHeight="1">
      <c r="A509" s="92"/>
      <c r="B509" s="101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  <c r="AA509" s="92"/>
      <c r="AB509" s="92"/>
      <c r="AC509" s="92"/>
    </row>
    <row r="510" ht="15.75" customHeight="1">
      <c r="A510" s="92"/>
      <c r="B510" s="101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  <c r="AA510" s="92"/>
      <c r="AB510" s="92"/>
      <c r="AC510" s="92"/>
    </row>
    <row r="511" ht="15.75" customHeight="1">
      <c r="A511" s="92"/>
      <c r="B511" s="101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  <c r="AA511" s="92"/>
      <c r="AB511" s="92"/>
      <c r="AC511" s="92"/>
    </row>
    <row r="512" ht="15.75" customHeight="1">
      <c r="A512" s="92"/>
      <c r="B512" s="101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  <c r="AA512" s="92"/>
      <c r="AB512" s="92"/>
      <c r="AC512" s="92"/>
    </row>
    <row r="513" ht="15.75" customHeight="1">
      <c r="A513" s="92"/>
      <c r="B513" s="101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  <c r="AA513" s="92"/>
      <c r="AB513" s="92"/>
      <c r="AC513" s="92"/>
    </row>
    <row r="514" ht="15.75" customHeight="1">
      <c r="A514" s="92"/>
      <c r="B514" s="101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  <c r="AA514" s="92"/>
      <c r="AB514" s="92"/>
      <c r="AC514" s="92"/>
    </row>
    <row r="515" ht="15.75" customHeight="1">
      <c r="A515" s="92"/>
      <c r="B515" s="101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  <c r="AA515" s="92"/>
      <c r="AB515" s="92"/>
      <c r="AC515" s="92"/>
    </row>
    <row r="516" ht="15.75" customHeight="1">
      <c r="A516" s="92"/>
      <c r="B516" s="101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  <c r="AA516" s="92"/>
      <c r="AB516" s="92"/>
      <c r="AC516" s="92"/>
    </row>
    <row r="517" ht="15.75" customHeight="1">
      <c r="A517" s="92"/>
      <c r="B517" s="101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  <c r="AA517" s="92"/>
      <c r="AB517" s="92"/>
      <c r="AC517" s="92"/>
    </row>
    <row r="518" ht="15.75" customHeight="1">
      <c r="A518" s="92"/>
      <c r="B518" s="101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  <c r="AA518" s="92"/>
      <c r="AB518" s="92"/>
      <c r="AC518" s="92"/>
    </row>
    <row r="519" ht="15.75" customHeight="1">
      <c r="A519" s="92"/>
      <c r="B519" s="101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  <c r="AA519" s="92"/>
      <c r="AB519" s="92"/>
      <c r="AC519" s="92"/>
    </row>
    <row r="520" ht="15.75" customHeight="1">
      <c r="A520" s="92"/>
      <c r="B520" s="101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  <c r="AA520" s="92"/>
      <c r="AB520" s="92"/>
      <c r="AC520" s="92"/>
    </row>
    <row r="521" ht="15.75" customHeight="1">
      <c r="A521" s="92"/>
      <c r="B521" s="101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  <c r="AA521" s="92"/>
      <c r="AB521" s="92"/>
      <c r="AC521" s="92"/>
    </row>
    <row r="522" ht="15.75" customHeight="1">
      <c r="A522" s="92"/>
      <c r="B522" s="101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  <c r="AA522" s="92"/>
      <c r="AB522" s="92"/>
      <c r="AC522" s="92"/>
    </row>
    <row r="523" ht="15.75" customHeight="1">
      <c r="A523" s="92"/>
      <c r="B523" s="101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  <c r="AA523" s="92"/>
      <c r="AB523" s="92"/>
      <c r="AC523" s="92"/>
    </row>
    <row r="524" ht="15.75" customHeight="1">
      <c r="A524" s="92"/>
      <c r="B524" s="101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  <c r="AA524" s="92"/>
      <c r="AB524" s="92"/>
      <c r="AC524" s="92"/>
    </row>
    <row r="525" ht="15.75" customHeight="1">
      <c r="A525" s="92"/>
      <c r="B525" s="101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  <c r="AA525" s="92"/>
      <c r="AB525" s="92"/>
      <c r="AC525" s="92"/>
    </row>
    <row r="526" ht="15.75" customHeight="1">
      <c r="A526" s="92"/>
      <c r="B526" s="101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  <c r="AA526" s="92"/>
      <c r="AB526" s="92"/>
      <c r="AC526" s="92"/>
    </row>
    <row r="527" ht="15.75" customHeight="1">
      <c r="A527" s="92"/>
      <c r="B527" s="101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  <c r="AA527" s="92"/>
      <c r="AB527" s="92"/>
      <c r="AC527" s="92"/>
    </row>
    <row r="528" ht="15.75" customHeight="1">
      <c r="A528" s="92"/>
      <c r="B528" s="101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  <c r="AA528" s="92"/>
      <c r="AB528" s="92"/>
      <c r="AC528" s="92"/>
    </row>
    <row r="529" ht="15.75" customHeight="1">
      <c r="A529" s="92"/>
      <c r="B529" s="101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  <c r="AA529" s="92"/>
      <c r="AB529" s="92"/>
      <c r="AC529" s="92"/>
    </row>
    <row r="530" ht="15.75" customHeight="1">
      <c r="A530" s="92"/>
      <c r="B530" s="101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  <c r="AA530" s="92"/>
      <c r="AB530" s="92"/>
      <c r="AC530" s="92"/>
    </row>
    <row r="531" ht="15.75" customHeight="1">
      <c r="A531" s="92"/>
      <c r="B531" s="101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  <c r="AA531" s="92"/>
      <c r="AB531" s="92"/>
      <c r="AC531" s="92"/>
    </row>
    <row r="532" ht="15.75" customHeight="1">
      <c r="A532" s="92"/>
      <c r="B532" s="101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  <c r="AA532" s="92"/>
      <c r="AB532" s="92"/>
      <c r="AC532" s="92"/>
    </row>
    <row r="533" ht="15.75" customHeight="1">
      <c r="A533" s="92"/>
      <c r="B533" s="101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  <c r="AA533" s="92"/>
      <c r="AB533" s="92"/>
      <c r="AC533" s="92"/>
    </row>
    <row r="534" ht="15.75" customHeight="1">
      <c r="A534" s="92"/>
      <c r="B534" s="101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  <c r="AA534" s="92"/>
      <c r="AB534" s="92"/>
      <c r="AC534" s="92"/>
    </row>
    <row r="535" ht="15.75" customHeight="1">
      <c r="A535" s="92"/>
      <c r="B535" s="101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  <c r="AA535" s="92"/>
      <c r="AB535" s="92"/>
      <c r="AC535" s="92"/>
    </row>
    <row r="536" ht="15.75" customHeight="1">
      <c r="A536" s="92"/>
      <c r="B536" s="101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  <c r="AA536" s="92"/>
      <c r="AB536" s="92"/>
      <c r="AC536" s="92"/>
    </row>
    <row r="537" ht="15.75" customHeight="1">
      <c r="A537" s="92"/>
      <c r="B537" s="101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  <c r="AA537" s="92"/>
      <c r="AB537" s="92"/>
      <c r="AC537" s="92"/>
    </row>
    <row r="538" ht="15.75" customHeight="1">
      <c r="A538" s="92"/>
      <c r="B538" s="101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  <c r="AA538" s="92"/>
      <c r="AB538" s="92"/>
      <c r="AC538" s="92"/>
    </row>
    <row r="539" ht="15.75" customHeight="1">
      <c r="A539" s="92"/>
      <c r="B539" s="101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  <c r="AA539" s="92"/>
      <c r="AB539" s="92"/>
      <c r="AC539" s="92"/>
    </row>
    <row r="540" ht="15.75" customHeight="1">
      <c r="A540" s="92"/>
      <c r="B540" s="101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  <c r="AA540" s="92"/>
      <c r="AB540" s="92"/>
      <c r="AC540" s="92"/>
    </row>
    <row r="541" ht="15.75" customHeight="1">
      <c r="A541" s="92"/>
      <c r="B541" s="101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  <c r="AA541" s="92"/>
      <c r="AB541" s="92"/>
      <c r="AC541" s="92"/>
    </row>
    <row r="542" ht="15.75" customHeight="1">
      <c r="A542" s="92"/>
      <c r="B542" s="101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  <c r="AA542" s="92"/>
      <c r="AB542" s="92"/>
      <c r="AC542" s="92"/>
    </row>
    <row r="543" ht="15.75" customHeight="1">
      <c r="A543" s="92"/>
      <c r="B543" s="101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  <c r="AA543" s="92"/>
      <c r="AB543" s="92"/>
      <c r="AC543" s="92"/>
    </row>
    <row r="544" ht="15.75" customHeight="1">
      <c r="A544" s="92"/>
      <c r="B544" s="101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  <c r="AA544" s="92"/>
      <c r="AB544" s="92"/>
      <c r="AC544" s="92"/>
    </row>
    <row r="545" ht="15.75" customHeight="1">
      <c r="A545" s="92"/>
      <c r="B545" s="101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  <c r="AA545" s="92"/>
      <c r="AB545" s="92"/>
      <c r="AC545" s="92"/>
    </row>
    <row r="546" ht="15.75" customHeight="1">
      <c r="A546" s="92"/>
      <c r="B546" s="101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  <c r="AA546" s="92"/>
      <c r="AB546" s="92"/>
      <c r="AC546" s="92"/>
    </row>
    <row r="547" ht="15.75" customHeight="1">
      <c r="A547" s="92"/>
      <c r="B547" s="101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  <c r="AA547" s="92"/>
      <c r="AB547" s="92"/>
      <c r="AC547" s="92"/>
    </row>
    <row r="548" ht="15.75" customHeight="1">
      <c r="A548" s="92"/>
      <c r="B548" s="101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  <c r="AA548" s="92"/>
      <c r="AB548" s="92"/>
      <c r="AC548" s="92"/>
    </row>
    <row r="549" ht="15.75" customHeight="1">
      <c r="A549" s="92"/>
      <c r="B549" s="101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  <c r="AA549" s="92"/>
      <c r="AB549" s="92"/>
      <c r="AC549" s="92"/>
    </row>
    <row r="550" ht="15.75" customHeight="1">
      <c r="A550" s="92"/>
      <c r="B550" s="101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  <c r="AA550" s="92"/>
      <c r="AB550" s="92"/>
      <c r="AC550" s="92"/>
    </row>
    <row r="551" ht="15.75" customHeight="1">
      <c r="A551" s="92"/>
      <c r="B551" s="101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  <c r="AA551" s="92"/>
      <c r="AB551" s="92"/>
      <c r="AC551" s="92"/>
    </row>
    <row r="552" ht="15.75" customHeight="1">
      <c r="A552" s="92"/>
      <c r="B552" s="101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  <c r="AA552" s="92"/>
      <c r="AB552" s="92"/>
      <c r="AC552" s="92"/>
    </row>
    <row r="553" ht="15.75" customHeight="1">
      <c r="A553" s="92"/>
      <c r="B553" s="101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  <c r="AA553" s="92"/>
      <c r="AB553" s="92"/>
      <c r="AC553" s="92"/>
    </row>
    <row r="554" ht="15.75" customHeight="1">
      <c r="A554" s="92"/>
      <c r="B554" s="101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  <c r="AA554" s="92"/>
      <c r="AB554" s="92"/>
      <c r="AC554" s="92"/>
    </row>
    <row r="555" ht="15.75" customHeight="1">
      <c r="A555" s="92"/>
      <c r="B555" s="101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  <c r="AA555" s="92"/>
      <c r="AB555" s="92"/>
      <c r="AC555" s="92"/>
    </row>
    <row r="556" ht="15.75" customHeight="1">
      <c r="A556" s="92"/>
      <c r="B556" s="101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  <c r="AA556" s="92"/>
      <c r="AB556" s="92"/>
      <c r="AC556" s="92"/>
    </row>
    <row r="557" ht="15.75" customHeight="1">
      <c r="A557" s="92"/>
      <c r="B557" s="101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  <c r="AA557" s="92"/>
      <c r="AB557" s="92"/>
      <c r="AC557" s="92"/>
    </row>
    <row r="558" ht="15.75" customHeight="1">
      <c r="A558" s="92"/>
      <c r="B558" s="101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  <c r="AA558" s="92"/>
      <c r="AB558" s="92"/>
      <c r="AC558" s="92"/>
    </row>
    <row r="559" ht="15.75" customHeight="1">
      <c r="A559" s="92"/>
      <c r="B559" s="101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  <c r="AA559" s="92"/>
      <c r="AB559" s="92"/>
      <c r="AC559" s="92"/>
    </row>
    <row r="560" ht="15.75" customHeight="1">
      <c r="A560" s="92"/>
      <c r="B560" s="101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  <c r="AA560" s="92"/>
      <c r="AB560" s="92"/>
      <c r="AC560" s="92"/>
    </row>
    <row r="561" ht="15.75" customHeight="1">
      <c r="A561" s="92"/>
      <c r="B561" s="101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  <c r="AA561" s="92"/>
      <c r="AB561" s="92"/>
      <c r="AC561" s="92"/>
    </row>
    <row r="562" ht="15.75" customHeight="1">
      <c r="A562" s="92"/>
      <c r="B562" s="101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  <c r="AA562" s="92"/>
      <c r="AB562" s="92"/>
      <c r="AC562" s="92"/>
    </row>
    <row r="563" ht="15.75" customHeight="1">
      <c r="A563" s="92"/>
      <c r="B563" s="101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  <c r="AA563" s="92"/>
      <c r="AB563" s="92"/>
      <c r="AC563" s="92"/>
    </row>
    <row r="564" ht="15.75" customHeight="1">
      <c r="A564" s="92"/>
      <c r="B564" s="101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  <c r="AA564" s="92"/>
      <c r="AB564" s="92"/>
      <c r="AC564" s="92"/>
    </row>
    <row r="565" ht="15.75" customHeight="1">
      <c r="A565" s="92"/>
      <c r="B565" s="101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  <c r="AA565" s="92"/>
      <c r="AB565" s="92"/>
      <c r="AC565" s="92"/>
    </row>
    <row r="566" ht="15.75" customHeight="1">
      <c r="A566" s="92"/>
      <c r="B566" s="101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  <c r="AA566" s="92"/>
      <c r="AB566" s="92"/>
      <c r="AC566" s="92"/>
    </row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1.38"/>
    <col customWidth="1" min="2" max="2" width="20.75"/>
    <col customWidth="1" min="3" max="3" width="32.63"/>
    <col customWidth="1" min="4" max="4" width="26.13"/>
    <col customWidth="1" min="5" max="5" width="23.63"/>
    <col customWidth="1" min="6" max="6" width="19.0"/>
    <col customWidth="1" min="7" max="7" width="23.0"/>
    <col customWidth="1" min="8" max="8" width="11.25"/>
    <col customWidth="1" min="9" max="25" width="9.13"/>
  </cols>
  <sheetData>
    <row r="1" ht="7.5" customHeight="1">
      <c r="A1" s="89"/>
      <c r="B1" s="90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>
      <c r="A2" s="89"/>
      <c r="B2" s="90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>
      <c r="A3" s="93"/>
      <c r="B3" s="103" t="s">
        <v>481</v>
      </c>
      <c r="C3" s="92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>
      <c r="A4" s="89"/>
      <c r="B4" s="90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>
      <c r="A5" s="94"/>
      <c r="B5" s="95" t="s">
        <v>6</v>
      </c>
      <c r="C5" s="104" t="s">
        <v>52</v>
      </c>
      <c r="D5" s="104" t="s">
        <v>53</v>
      </c>
      <c r="E5" s="104" t="s">
        <v>54</v>
      </c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>
      <c r="A6" s="89"/>
      <c r="B6" s="98"/>
      <c r="C6" s="112"/>
      <c r="D6" s="112"/>
      <c r="E6" s="112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>
      <c r="A7" s="89"/>
      <c r="B7" s="98"/>
      <c r="C7" s="112"/>
      <c r="D7" s="112"/>
      <c r="E7" s="112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>
      <c r="A8" s="89"/>
      <c r="B8" s="98"/>
      <c r="C8" s="112"/>
      <c r="D8" s="112"/>
      <c r="E8" s="112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>
      <c r="A9" s="89"/>
      <c r="B9" s="98"/>
      <c r="C9" s="112"/>
      <c r="D9" s="112"/>
      <c r="E9" s="112"/>
      <c r="F9" s="89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>
      <c r="A10" s="89"/>
      <c r="B10" s="98"/>
      <c r="C10" s="112"/>
      <c r="D10" s="112"/>
      <c r="E10" s="112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>
      <c r="A11" s="89"/>
      <c r="B11" s="98"/>
      <c r="C11" s="112"/>
      <c r="D11" s="112"/>
      <c r="E11" s="112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>
      <c r="A12" s="89"/>
      <c r="B12" s="98"/>
      <c r="C12" s="112"/>
      <c r="D12" s="112"/>
      <c r="E12" s="112"/>
      <c r="F12" s="89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>
      <c r="A13" s="89"/>
      <c r="B13" s="98"/>
      <c r="C13" s="112"/>
      <c r="D13" s="112"/>
      <c r="E13" s="112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>
      <c r="A14" s="89"/>
      <c r="B14" s="98"/>
      <c r="C14" s="112"/>
      <c r="D14" s="112"/>
      <c r="E14" s="112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>
      <c r="A15" s="89"/>
      <c r="B15" s="98"/>
      <c r="C15" s="112"/>
      <c r="D15" s="112"/>
      <c r="E15" s="112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>
      <c r="A16" s="89"/>
      <c r="B16" s="98"/>
      <c r="C16" s="112"/>
      <c r="D16" s="112"/>
      <c r="E16" s="112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>
      <c r="A17" s="89"/>
      <c r="B17" s="98"/>
      <c r="C17" s="112"/>
      <c r="D17" s="112"/>
      <c r="E17" s="112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>
      <c r="A18" s="89"/>
      <c r="B18" s="98"/>
      <c r="C18" s="112"/>
      <c r="D18" s="112"/>
      <c r="E18" s="112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>
      <c r="A19" s="89"/>
      <c r="B19" s="98"/>
      <c r="C19" s="112"/>
      <c r="D19" s="112"/>
      <c r="E19" s="112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>
      <c r="A20" s="89"/>
      <c r="B20" s="98"/>
      <c r="C20" s="112"/>
      <c r="D20" s="112"/>
      <c r="E20" s="112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5.75" customHeight="1">
      <c r="A21" s="89"/>
      <c r="B21" s="98"/>
      <c r="C21" s="112"/>
      <c r="D21" s="112"/>
      <c r="E21" s="112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5.75" customHeight="1">
      <c r="A22" s="89"/>
      <c r="B22" s="98"/>
      <c r="C22" s="112"/>
      <c r="D22" s="112"/>
      <c r="E22" s="112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5.75" customHeight="1">
      <c r="A23" s="89"/>
      <c r="B23" s="98"/>
      <c r="C23" s="112"/>
      <c r="D23" s="112"/>
      <c r="E23" s="112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5.75" customHeight="1">
      <c r="A24" s="89"/>
      <c r="B24" s="98"/>
      <c r="C24" s="112"/>
      <c r="D24" s="112"/>
      <c r="E24" s="112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5.75" customHeight="1">
      <c r="A25" s="89"/>
      <c r="B25" s="98"/>
      <c r="C25" s="112"/>
      <c r="D25" s="112"/>
      <c r="E25" s="112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5.75" customHeight="1">
      <c r="A26" s="89"/>
      <c r="B26" s="98"/>
      <c r="C26" s="112"/>
      <c r="D26" s="112"/>
      <c r="E26" s="112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5.75" customHeight="1">
      <c r="A27" s="89"/>
      <c r="B27" s="98"/>
      <c r="C27" s="112"/>
      <c r="D27" s="112"/>
      <c r="E27" s="112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5.75" customHeight="1">
      <c r="A28" s="89"/>
      <c r="B28" s="98"/>
      <c r="C28" s="112"/>
      <c r="D28" s="112"/>
      <c r="E28" s="112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5.75" customHeight="1">
      <c r="A29" s="89"/>
      <c r="B29" s="98"/>
      <c r="C29" s="112"/>
      <c r="D29" s="112"/>
      <c r="E29" s="112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5.75" customHeight="1">
      <c r="A30" s="89"/>
      <c r="B30" s="98"/>
      <c r="C30" s="112"/>
      <c r="D30" s="112"/>
      <c r="E30" s="112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5.75" customHeight="1">
      <c r="A31" s="89"/>
      <c r="B31" s="98"/>
      <c r="C31" s="112"/>
      <c r="D31" s="112"/>
      <c r="E31" s="112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5.75" customHeight="1">
      <c r="A32" s="89"/>
      <c r="B32" s="98"/>
      <c r="C32" s="112"/>
      <c r="D32" s="112"/>
      <c r="E32" s="112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5.75" customHeight="1">
      <c r="A33" s="89"/>
      <c r="B33" s="98"/>
      <c r="C33" s="112"/>
      <c r="D33" s="112"/>
      <c r="E33" s="112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5.75" customHeight="1">
      <c r="A34" s="89"/>
      <c r="B34" s="98"/>
      <c r="C34" s="112"/>
      <c r="D34" s="112"/>
      <c r="E34" s="112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5.75" customHeight="1">
      <c r="A35" s="89"/>
      <c r="B35" s="98"/>
      <c r="C35" s="112"/>
      <c r="D35" s="112"/>
      <c r="E35" s="112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5.75" customHeight="1">
      <c r="A36" s="89"/>
      <c r="B36" s="98"/>
      <c r="C36" s="112"/>
      <c r="D36" s="112"/>
      <c r="E36" s="112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5.75" customHeight="1">
      <c r="A37" s="89"/>
      <c r="B37" s="98"/>
      <c r="C37" s="112"/>
      <c r="D37" s="112"/>
      <c r="E37" s="112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5.75" customHeight="1">
      <c r="A38" s="89"/>
      <c r="B38" s="98"/>
      <c r="C38" s="112"/>
      <c r="D38" s="112"/>
      <c r="E38" s="112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5.75" customHeight="1">
      <c r="A39" s="89"/>
      <c r="B39" s="98"/>
      <c r="C39" s="112"/>
      <c r="D39" s="112"/>
      <c r="E39" s="112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5.75" customHeight="1">
      <c r="A40" s="89"/>
      <c r="B40" s="98"/>
      <c r="C40" s="112"/>
      <c r="D40" s="112"/>
      <c r="E40" s="112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5.75" customHeight="1">
      <c r="A41" s="89"/>
      <c r="B41" s="98"/>
      <c r="C41" s="112"/>
      <c r="D41" s="112"/>
      <c r="E41" s="112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5.75" customHeight="1">
      <c r="A42" s="89"/>
      <c r="B42" s="98"/>
      <c r="C42" s="112"/>
      <c r="D42" s="112"/>
      <c r="E42" s="112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5.75" customHeight="1">
      <c r="A43" s="89"/>
      <c r="B43" s="98"/>
      <c r="C43" s="112"/>
      <c r="D43" s="112"/>
      <c r="E43" s="112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5.75" customHeight="1">
      <c r="A44" s="89"/>
      <c r="B44" s="98"/>
      <c r="C44" s="112"/>
      <c r="D44" s="112"/>
      <c r="E44" s="112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5.75" customHeight="1">
      <c r="A45" s="89"/>
      <c r="B45" s="98"/>
      <c r="C45" s="112"/>
      <c r="D45" s="112"/>
      <c r="E45" s="112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5.75" customHeight="1">
      <c r="A46" s="89"/>
      <c r="B46" s="100"/>
      <c r="C46" s="112"/>
      <c r="D46" s="112"/>
      <c r="E46" s="112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5.75" customHeight="1">
      <c r="A47" s="89"/>
      <c r="B47" s="100"/>
      <c r="C47" s="112"/>
      <c r="D47" s="112"/>
      <c r="E47" s="112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5.75" customHeight="1">
      <c r="A48" s="89"/>
      <c r="B48" s="100"/>
      <c r="C48" s="112"/>
      <c r="D48" s="112"/>
      <c r="E48" s="112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5.75" customHeight="1">
      <c r="A49" s="89"/>
      <c r="B49" s="100"/>
      <c r="C49" s="112"/>
      <c r="D49" s="112"/>
      <c r="E49" s="112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5.75" customHeight="1">
      <c r="A50" s="89"/>
      <c r="B50" s="101"/>
      <c r="C50" s="112"/>
      <c r="D50" s="112"/>
      <c r="E50" s="112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5.75" customHeight="1">
      <c r="A51" s="89"/>
      <c r="B51" s="101"/>
      <c r="C51" s="112"/>
      <c r="D51" s="112"/>
      <c r="E51" s="112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5.75" customHeight="1">
      <c r="A52" s="89"/>
      <c r="B52" s="101"/>
      <c r="C52" s="112"/>
      <c r="D52" s="112"/>
      <c r="E52" s="112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5.75" customHeight="1">
      <c r="A53" s="89"/>
      <c r="B53" s="101"/>
      <c r="C53" s="112"/>
      <c r="D53" s="112"/>
      <c r="E53" s="112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5.75" customHeight="1">
      <c r="A54" s="89"/>
      <c r="B54" s="101"/>
      <c r="C54" s="112"/>
      <c r="D54" s="112"/>
      <c r="E54" s="112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5.75" customHeight="1">
      <c r="A55" s="89"/>
      <c r="B55" s="101"/>
      <c r="C55" s="112"/>
      <c r="D55" s="112"/>
      <c r="E55" s="112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5.75" customHeight="1">
      <c r="A56" s="89"/>
      <c r="B56" s="101"/>
      <c r="C56" s="112"/>
      <c r="D56" s="112"/>
      <c r="E56" s="112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5.75" customHeight="1">
      <c r="A57" s="89"/>
      <c r="B57" s="101"/>
      <c r="C57" s="112"/>
      <c r="D57" s="112"/>
      <c r="E57" s="112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5.75" customHeight="1">
      <c r="A58" s="89"/>
      <c r="B58" s="101"/>
      <c r="C58" s="112"/>
      <c r="D58" s="112"/>
      <c r="E58" s="112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5.75" customHeight="1">
      <c r="A59" s="89"/>
      <c r="B59" s="101"/>
      <c r="C59" s="112"/>
      <c r="D59" s="112"/>
      <c r="E59" s="112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5.75" customHeight="1">
      <c r="A60" s="89"/>
      <c r="B60" s="101"/>
      <c r="C60" s="112"/>
      <c r="D60" s="112"/>
      <c r="E60" s="112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5.75" customHeight="1">
      <c r="A61" s="89"/>
      <c r="B61" s="101"/>
      <c r="C61" s="112"/>
      <c r="D61" s="112"/>
      <c r="E61" s="112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5.75" customHeight="1">
      <c r="A62" s="89"/>
      <c r="B62" s="101"/>
      <c r="C62" s="112"/>
      <c r="D62" s="112"/>
      <c r="E62" s="112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5.75" customHeight="1">
      <c r="A63" s="89"/>
      <c r="B63" s="101"/>
      <c r="C63" s="112"/>
      <c r="D63" s="112"/>
      <c r="E63" s="112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5.75" customHeight="1">
      <c r="A64" s="89"/>
      <c r="B64" s="101"/>
      <c r="C64" s="112"/>
      <c r="D64" s="112"/>
      <c r="E64" s="112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5.75" customHeight="1">
      <c r="A65" s="89"/>
      <c r="B65" s="101"/>
      <c r="C65" s="112"/>
      <c r="D65" s="112"/>
      <c r="E65" s="112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5.75" customHeight="1">
      <c r="A66" s="89"/>
      <c r="B66" s="101"/>
      <c r="C66" s="112"/>
      <c r="D66" s="112"/>
      <c r="E66" s="112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5.75" customHeight="1">
      <c r="A67" s="89"/>
      <c r="B67" s="101"/>
      <c r="C67" s="112"/>
      <c r="D67" s="112"/>
      <c r="E67" s="112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5.75" customHeight="1">
      <c r="A68" s="89"/>
      <c r="B68" s="101"/>
      <c r="C68" s="112"/>
      <c r="D68" s="112"/>
      <c r="E68" s="112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5.75" customHeight="1">
      <c r="A69" s="89"/>
      <c r="B69" s="101"/>
      <c r="C69" s="112"/>
      <c r="D69" s="112"/>
      <c r="E69" s="112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5.75" customHeight="1">
      <c r="A70" s="89"/>
      <c r="B70" s="101"/>
      <c r="C70" s="112"/>
      <c r="D70" s="112"/>
      <c r="E70" s="112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5.75" customHeight="1">
      <c r="A71" s="89"/>
      <c r="B71" s="101"/>
      <c r="C71" s="112"/>
      <c r="D71" s="112"/>
      <c r="E71" s="112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5.75" customHeight="1">
      <c r="A72" s="89"/>
      <c r="B72" s="101"/>
      <c r="C72" s="112"/>
      <c r="D72" s="112"/>
      <c r="E72" s="112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5.75" customHeight="1">
      <c r="A73" s="89"/>
      <c r="B73" s="101"/>
      <c r="C73" s="112"/>
      <c r="D73" s="112"/>
      <c r="E73" s="112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5.75" customHeight="1">
      <c r="A74" s="89"/>
      <c r="B74" s="101"/>
      <c r="C74" s="112"/>
      <c r="D74" s="112"/>
      <c r="E74" s="112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5.75" customHeight="1">
      <c r="A75" s="89"/>
      <c r="B75" s="101"/>
      <c r="C75" s="112"/>
      <c r="D75" s="112"/>
      <c r="E75" s="112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5.75" customHeight="1">
      <c r="A76" s="89"/>
      <c r="B76" s="101"/>
      <c r="C76" s="112"/>
      <c r="D76" s="112"/>
      <c r="E76" s="112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5.75" customHeight="1">
      <c r="A77" s="89"/>
      <c r="B77" s="101"/>
      <c r="C77" s="112"/>
      <c r="D77" s="112"/>
      <c r="E77" s="112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5.75" customHeight="1">
      <c r="A78" s="89"/>
      <c r="B78" s="101"/>
      <c r="C78" s="112"/>
      <c r="D78" s="112"/>
      <c r="E78" s="112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5.75" customHeight="1">
      <c r="A79" s="89"/>
      <c r="B79" s="101"/>
      <c r="C79" s="112"/>
      <c r="D79" s="112"/>
      <c r="E79" s="112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5.75" customHeight="1">
      <c r="A80" s="89"/>
      <c r="B80" s="101"/>
      <c r="C80" s="112"/>
      <c r="D80" s="112"/>
      <c r="E80" s="112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5.75" customHeight="1">
      <c r="A81" s="89"/>
      <c r="B81" s="101"/>
      <c r="C81" s="112"/>
      <c r="D81" s="112"/>
      <c r="E81" s="112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5.75" customHeight="1">
      <c r="A82" s="89"/>
      <c r="B82" s="101"/>
      <c r="C82" s="112"/>
      <c r="D82" s="112"/>
      <c r="E82" s="112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5.75" customHeight="1">
      <c r="A83" s="89"/>
      <c r="B83" s="101"/>
      <c r="C83" s="112"/>
      <c r="D83" s="112"/>
      <c r="E83" s="112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5.75" customHeight="1">
      <c r="A84" s="89"/>
      <c r="B84" s="101"/>
      <c r="C84" s="112"/>
      <c r="D84" s="112"/>
      <c r="E84" s="112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5.75" customHeight="1">
      <c r="A85" s="89"/>
      <c r="B85" s="101"/>
      <c r="C85" s="112"/>
      <c r="D85" s="112"/>
      <c r="E85" s="112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5.75" customHeight="1">
      <c r="A86" s="89"/>
      <c r="B86" s="101"/>
      <c r="C86" s="112"/>
      <c r="D86" s="112"/>
      <c r="E86" s="112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5.75" customHeight="1">
      <c r="A87" s="89"/>
      <c r="B87" s="101"/>
      <c r="C87" s="112"/>
      <c r="D87" s="112"/>
      <c r="E87" s="112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5.75" customHeight="1">
      <c r="A88" s="89"/>
      <c r="B88" s="101"/>
      <c r="C88" s="112"/>
      <c r="D88" s="112"/>
      <c r="E88" s="112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5.75" customHeight="1">
      <c r="A89" s="89"/>
      <c r="B89" s="101"/>
      <c r="C89" s="112"/>
      <c r="D89" s="112"/>
      <c r="E89" s="112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5.75" customHeight="1">
      <c r="A90" s="89"/>
      <c r="B90" s="101"/>
      <c r="C90" s="112"/>
      <c r="D90" s="112"/>
      <c r="E90" s="112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5.75" customHeight="1">
      <c r="A91" s="89"/>
      <c r="B91" s="101"/>
      <c r="C91" s="112"/>
      <c r="D91" s="112"/>
      <c r="E91" s="112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5.75" customHeight="1">
      <c r="A92" s="89"/>
      <c r="B92" s="101"/>
      <c r="C92" s="112"/>
      <c r="D92" s="112"/>
      <c r="E92" s="112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5.75" customHeight="1">
      <c r="A93" s="89"/>
      <c r="B93" s="101"/>
      <c r="C93" s="112"/>
      <c r="D93" s="112"/>
      <c r="E93" s="112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5.75" customHeight="1">
      <c r="A94" s="89"/>
      <c r="B94" s="101"/>
      <c r="C94" s="112"/>
      <c r="D94" s="112"/>
      <c r="E94" s="112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5.75" customHeight="1">
      <c r="A95" s="89"/>
      <c r="B95" s="101"/>
      <c r="C95" s="112"/>
      <c r="D95" s="112"/>
      <c r="E95" s="112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5.75" customHeight="1">
      <c r="A96" s="89"/>
      <c r="B96" s="101"/>
      <c r="C96" s="112"/>
      <c r="D96" s="112"/>
      <c r="E96" s="112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5.75" customHeight="1">
      <c r="A97" s="89"/>
      <c r="B97" s="101"/>
      <c r="C97" s="112"/>
      <c r="D97" s="112"/>
      <c r="E97" s="112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5.75" customHeight="1">
      <c r="A98" s="89"/>
      <c r="B98" s="101"/>
      <c r="C98" s="112"/>
      <c r="D98" s="112"/>
      <c r="E98" s="112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5.75" customHeight="1">
      <c r="A99" s="89"/>
      <c r="B99" s="101"/>
      <c r="C99" s="112"/>
      <c r="D99" s="112"/>
      <c r="E99" s="112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5.75" customHeight="1">
      <c r="A100" s="89"/>
      <c r="B100" s="101"/>
      <c r="C100" s="112"/>
      <c r="D100" s="112"/>
      <c r="E100" s="112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 ht="15.75" customHeight="1">
      <c r="A101" s="89"/>
      <c r="B101" s="101"/>
      <c r="C101" s="112"/>
      <c r="D101" s="112"/>
      <c r="E101" s="112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 ht="15.75" customHeight="1">
      <c r="A102" s="89"/>
      <c r="B102" s="101"/>
      <c r="C102" s="112"/>
      <c r="D102" s="112"/>
      <c r="E102" s="112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 ht="15.75" customHeight="1">
      <c r="A103" s="89"/>
      <c r="B103" s="101"/>
      <c r="C103" s="112"/>
      <c r="D103" s="112"/>
      <c r="E103" s="112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 ht="15.75" customHeight="1">
      <c r="A104" s="89"/>
      <c r="B104" s="101"/>
      <c r="C104" s="112"/>
      <c r="D104" s="112"/>
      <c r="E104" s="112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 ht="15.75" customHeight="1">
      <c r="A105" s="89"/>
      <c r="B105" s="101"/>
      <c r="C105" s="112"/>
      <c r="D105" s="112"/>
      <c r="E105" s="112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 ht="15.75" customHeight="1">
      <c r="A106" s="89"/>
      <c r="B106" s="101"/>
      <c r="C106" s="112"/>
      <c r="D106" s="112"/>
      <c r="E106" s="112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 ht="15.75" customHeight="1">
      <c r="A107" s="89"/>
      <c r="B107" s="101"/>
      <c r="C107" s="112"/>
      <c r="D107" s="112"/>
      <c r="E107" s="112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 ht="15.75" customHeight="1">
      <c r="A108" s="89"/>
      <c r="B108" s="101"/>
      <c r="C108" s="112"/>
      <c r="D108" s="112"/>
      <c r="E108" s="112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 ht="15.75" customHeight="1">
      <c r="A109" s="89"/>
      <c r="B109" s="101"/>
      <c r="C109" s="112"/>
      <c r="D109" s="112"/>
      <c r="E109" s="112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 ht="15.75" customHeight="1">
      <c r="A110" s="89"/>
      <c r="B110" s="101"/>
      <c r="C110" s="112"/>
      <c r="D110" s="112"/>
      <c r="E110" s="112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 ht="15.75" customHeight="1">
      <c r="A111" s="89"/>
      <c r="B111" s="101"/>
      <c r="C111" s="112"/>
      <c r="D111" s="112"/>
      <c r="E111" s="112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 ht="15.75" customHeight="1">
      <c r="A112" s="89"/>
      <c r="B112" s="101"/>
      <c r="C112" s="112"/>
      <c r="D112" s="112"/>
      <c r="E112" s="112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 ht="15.75" customHeight="1">
      <c r="A113" s="89"/>
      <c r="B113" s="101"/>
      <c r="C113" s="112"/>
      <c r="D113" s="112"/>
      <c r="E113" s="112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 ht="15.75" customHeight="1">
      <c r="A114" s="89"/>
      <c r="B114" s="101"/>
      <c r="C114" s="112"/>
      <c r="D114" s="104"/>
      <c r="E114" s="112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 ht="15.75" customHeight="1">
      <c r="A115" s="89"/>
      <c r="B115" s="101"/>
      <c r="C115" s="112"/>
      <c r="D115" s="112"/>
      <c r="E115" s="112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 ht="15.75" customHeight="1">
      <c r="A116" s="89"/>
      <c r="B116" s="101"/>
      <c r="C116" s="112"/>
      <c r="D116" s="112"/>
      <c r="E116" s="112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 ht="15.75" customHeight="1">
      <c r="A117" s="89"/>
      <c r="B117" s="101"/>
      <c r="C117" s="112"/>
      <c r="D117" s="112"/>
      <c r="E117" s="112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 ht="15.75" customHeight="1">
      <c r="A118" s="89"/>
      <c r="B118" s="101"/>
      <c r="C118" s="112"/>
      <c r="D118" s="112"/>
      <c r="E118" s="112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 ht="15.75" customHeight="1">
      <c r="A119" s="89"/>
      <c r="B119" s="101"/>
      <c r="C119" s="112"/>
      <c r="D119" s="112"/>
      <c r="E119" s="112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 ht="15.75" customHeight="1">
      <c r="A120" s="89"/>
      <c r="B120" s="101"/>
      <c r="C120" s="112"/>
      <c r="D120" s="112"/>
      <c r="E120" s="112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 ht="15.75" customHeight="1">
      <c r="A121" s="89"/>
      <c r="B121" s="101"/>
      <c r="C121" s="112"/>
      <c r="D121" s="112"/>
      <c r="E121" s="112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 ht="15.75" customHeight="1">
      <c r="A122" s="89"/>
      <c r="B122" s="101"/>
      <c r="C122" s="112"/>
      <c r="D122" s="112"/>
      <c r="E122" s="112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 ht="15.75" customHeight="1">
      <c r="A123" s="89"/>
      <c r="B123" s="101"/>
      <c r="C123" s="112"/>
      <c r="D123" s="112"/>
      <c r="E123" s="112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 ht="15.75" customHeight="1">
      <c r="A124" s="89"/>
      <c r="B124" s="101"/>
      <c r="C124" s="112"/>
      <c r="D124" s="112"/>
      <c r="E124" s="112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 ht="15.75" customHeight="1">
      <c r="A125" s="89"/>
      <c r="B125" s="101"/>
      <c r="C125" s="112"/>
      <c r="D125" s="112"/>
      <c r="E125" s="112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 ht="15.75" customHeight="1">
      <c r="A126" s="89"/>
      <c r="B126" s="101"/>
      <c r="C126" s="112"/>
      <c r="D126" s="112"/>
      <c r="E126" s="112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 ht="15.75" customHeight="1">
      <c r="A127" s="89"/>
      <c r="B127" s="101"/>
      <c r="C127" s="112"/>
      <c r="D127" s="112"/>
      <c r="E127" s="112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 ht="15.75" customHeight="1">
      <c r="A128" s="89"/>
      <c r="B128" s="101"/>
      <c r="C128" s="112"/>
      <c r="D128" s="112"/>
      <c r="E128" s="112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 ht="15.75" customHeight="1">
      <c r="A129" s="89"/>
      <c r="B129" s="101"/>
      <c r="C129" s="112"/>
      <c r="D129" s="112"/>
      <c r="E129" s="112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 ht="15.75" customHeight="1">
      <c r="A130" s="89"/>
      <c r="B130" s="101"/>
      <c r="C130" s="112"/>
      <c r="D130" s="112"/>
      <c r="E130" s="112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 ht="15.75" customHeight="1">
      <c r="A131" s="89"/>
      <c r="B131" s="101"/>
      <c r="C131" s="112"/>
      <c r="D131" s="112"/>
      <c r="E131" s="112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 ht="15.75" customHeight="1">
      <c r="A132" s="89"/>
      <c r="B132" s="101"/>
      <c r="C132" s="112"/>
      <c r="D132" s="112"/>
      <c r="E132" s="112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 ht="15.75" customHeight="1">
      <c r="A133" s="89"/>
      <c r="B133" s="101"/>
      <c r="C133" s="89"/>
      <c r="D133" s="112"/>
      <c r="E133" s="112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 ht="15.75" customHeight="1">
      <c r="A134" s="89"/>
      <c r="B134" s="101"/>
      <c r="C134" s="89"/>
      <c r="D134" s="112"/>
      <c r="E134" s="112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 ht="15.75" customHeight="1">
      <c r="A135" s="89"/>
      <c r="B135" s="101"/>
      <c r="C135" s="89"/>
      <c r="D135" s="112"/>
      <c r="E135" s="112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 ht="15.75" customHeight="1">
      <c r="A136" s="89"/>
      <c r="B136" s="101"/>
      <c r="C136" s="89"/>
      <c r="D136" s="112"/>
      <c r="E136" s="112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 ht="15.75" customHeight="1">
      <c r="A137" s="89"/>
      <c r="B137" s="101"/>
      <c r="C137" s="89"/>
      <c r="D137" s="112"/>
      <c r="E137" s="112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 ht="15.75" customHeight="1">
      <c r="A138" s="89"/>
      <c r="B138" s="101"/>
      <c r="C138" s="89"/>
      <c r="D138" s="112"/>
      <c r="E138" s="112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 ht="15.75" customHeight="1">
      <c r="A139" s="89"/>
      <c r="B139" s="101"/>
      <c r="C139" s="89"/>
      <c r="D139" s="112"/>
      <c r="E139" s="112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 ht="15.75" customHeight="1">
      <c r="A140" s="89"/>
      <c r="B140" s="101"/>
      <c r="C140" s="89"/>
      <c r="D140" s="112"/>
      <c r="E140" s="112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 ht="15.75" customHeight="1">
      <c r="A141" s="89"/>
      <c r="B141" s="101"/>
      <c r="C141" s="89"/>
      <c r="D141" s="112"/>
      <c r="E141" s="112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 ht="15.75" customHeight="1">
      <c r="A142" s="89"/>
      <c r="B142" s="101"/>
      <c r="C142" s="89"/>
      <c r="D142" s="112"/>
      <c r="E142" s="112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 ht="15.75" customHeight="1">
      <c r="A143" s="89"/>
      <c r="B143" s="101"/>
      <c r="C143" s="89"/>
      <c r="D143" s="112"/>
      <c r="E143" s="112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 ht="15.75" customHeight="1">
      <c r="A144" s="89"/>
      <c r="B144" s="101"/>
      <c r="C144" s="89"/>
      <c r="D144" s="112"/>
      <c r="E144" s="112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 ht="15.75" customHeight="1">
      <c r="A145" s="89"/>
      <c r="B145" s="101"/>
      <c r="C145" s="89"/>
      <c r="D145" s="112"/>
      <c r="E145" s="112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 ht="15.75" customHeight="1">
      <c r="A146" s="89"/>
      <c r="B146" s="101"/>
      <c r="C146" s="89"/>
      <c r="D146" s="112"/>
      <c r="E146" s="112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 ht="15.75" customHeight="1">
      <c r="A147" s="89"/>
      <c r="B147" s="101"/>
      <c r="C147" s="89"/>
      <c r="D147" s="112"/>
      <c r="E147" s="112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 ht="15.75" customHeight="1">
      <c r="A148" s="89"/>
      <c r="B148" s="101"/>
      <c r="C148" s="89"/>
      <c r="D148" s="112"/>
      <c r="E148" s="112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 ht="15.75" customHeight="1">
      <c r="A149" s="89"/>
      <c r="B149" s="101"/>
      <c r="C149" s="89"/>
      <c r="D149" s="112"/>
      <c r="E149" s="112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 ht="15.75" customHeight="1">
      <c r="A150" s="89"/>
      <c r="B150" s="101"/>
      <c r="C150" s="89"/>
      <c r="D150" s="112"/>
      <c r="E150" s="112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 ht="15.75" customHeight="1">
      <c r="A151" s="89"/>
      <c r="B151" s="101"/>
      <c r="C151" s="89"/>
      <c r="D151" s="112"/>
      <c r="E151" s="112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 ht="15.75" customHeight="1">
      <c r="A152" s="89"/>
      <c r="B152" s="101"/>
      <c r="C152" s="89"/>
      <c r="D152" s="112"/>
      <c r="E152" s="112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 ht="15.75" customHeight="1">
      <c r="A153" s="89"/>
      <c r="B153" s="101"/>
      <c r="C153" s="89"/>
      <c r="D153" s="112"/>
      <c r="E153" s="112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 ht="15.75" customHeight="1">
      <c r="A154" s="89"/>
      <c r="B154" s="101"/>
      <c r="C154" s="89"/>
      <c r="D154" s="112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 ht="15.75" customHeight="1">
      <c r="A155" s="89"/>
      <c r="B155" s="101"/>
      <c r="C155" s="89"/>
      <c r="D155" s="112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 ht="15.75" customHeight="1">
      <c r="A156" s="89"/>
      <c r="B156" s="101"/>
      <c r="C156" s="89"/>
      <c r="D156" s="112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 ht="15.75" customHeight="1">
      <c r="A157" s="89"/>
      <c r="B157" s="101"/>
      <c r="C157" s="89"/>
      <c r="D157" s="112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 ht="15.75" customHeight="1">
      <c r="A158" s="89"/>
      <c r="B158" s="101"/>
      <c r="C158" s="89"/>
      <c r="D158" s="112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 ht="15.75" customHeight="1">
      <c r="A159" s="89"/>
      <c r="B159" s="101"/>
      <c r="C159" s="89"/>
      <c r="D159" s="112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 ht="15.75" customHeight="1">
      <c r="A160" s="89"/>
      <c r="B160" s="101"/>
      <c r="C160" s="89"/>
      <c r="D160" s="112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 ht="15.75" customHeight="1">
      <c r="A161" s="89"/>
      <c r="B161" s="101"/>
      <c r="C161" s="89"/>
      <c r="D161" s="112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 ht="15.75" customHeight="1">
      <c r="A162" s="89"/>
      <c r="B162" s="101"/>
      <c r="C162" s="89"/>
      <c r="D162" s="112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 ht="15.75" customHeight="1">
      <c r="A163" s="89"/>
      <c r="B163" s="101"/>
      <c r="C163" s="89"/>
      <c r="D163" s="112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 ht="15.75" customHeight="1">
      <c r="A164" s="89"/>
      <c r="B164" s="101"/>
      <c r="C164" s="89"/>
      <c r="D164" s="112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 ht="15.75" customHeight="1">
      <c r="A165" s="89"/>
      <c r="B165" s="101"/>
      <c r="C165" s="89"/>
      <c r="D165" s="112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 ht="15.75" customHeight="1">
      <c r="A166" s="89"/>
      <c r="B166" s="101"/>
      <c r="C166" s="89"/>
      <c r="D166" s="112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 ht="15.75" customHeight="1">
      <c r="A167" s="89"/>
      <c r="B167" s="101"/>
      <c r="C167" s="89"/>
      <c r="D167" s="112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 ht="15.75" customHeight="1">
      <c r="A168" s="89"/>
      <c r="B168" s="101"/>
      <c r="C168" s="89"/>
      <c r="D168" s="112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 ht="15.75" customHeight="1">
      <c r="A169" s="89"/>
      <c r="B169" s="101"/>
      <c r="C169" s="89"/>
      <c r="D169" s="112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 ht="15.75" customHeight="1">
      <c r="A170" s="89"/>
      <c r="B170" s="101"/>
      <c r="C170" s="89"/>
      <c r="D170" s="112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 ht="15.75" customHeight="1">
      <c r="A171" s="89"/>
      <c r="B171" s="101"/>
      <c r="C171" s="89"/>
      <c r="D171" s="112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 ht="15.75" customHeight="1">
      <c r="A172" s="89"/>
      <c r="B172" s="101"/>
      <c r="C172" s="89"/>
      <c r="D172" s="112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 ht="15.75" customHeight="1">
      <c r="A173" s="89"/>
      <c r="B173" s="101"/>
      <c r="C173" s="89"/>
      <c r="D173" s="112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 ht="15.75" customHeight="1">
      <c r="A174" s="89"/>
      <c r="B174" s="101"/>
      <c r="C174" s="89"/>
      <c r="D174" s="112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 ht="15.75" customHeight="1">
      <c r="A175" s="89"/>
      <c r="B175" s="101"/>
      <c r="C175" s="89"/>
      <c r="D175" s="112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 ht="15.75" customHeight="1">
      <c r="A176" s="89"/>
      <c r="B176" s="101"/>
      <c r="C176" s="89"/>
      <c r="D176" s="112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 ht="15.75" customHeight="1">
      <c r="A177" s="89"/>
      <c r="B177" s="101"/>
      <c r="C177" s="89"/>
      <c r="D177" s="112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 ht="15.75" customHeight="1">
      <c r="A178" s="89"/>
      <c r="B178" s="101"/>
      <c r="C178" s="89"/>
      <c r="D178" s="112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 ht="15.75" customHeight="1">
      <c r="A179" s="89"/>
      <c r="B179" s="101"/>
      <c r="C179" s="89"/>
      <c r="D179" s="112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 ht="15.75" customHeight="1">
      <c r="A180" s="89"/>
      <c r="B180" s="101"/>
      <c r="C180" s="89"/>
      <c r="D180" s="112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 ht="15.75" customHeight="1">
      <c r="A181" s="89"/>
      <c r="B181" s="101"/>
      <c r="C181" s="89"/>
      <c r="D181" s="112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 ht="15.75" customHeight="1">
      <c r="A182" s="89"/>
      <c r="B182" s="101"/>
      <c r="C182" s="89"/>
      <c r="D182" s="112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 ht="15.75" customHeight="1">
      <c r="A183" s="89"/>
      <c r="B183" s="101"/>
      <c r="C183" s="89"/>
      <c r="D183" s="112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 ht="15.75" customHeight="1">
      <c r="A184" s="89"/>
      <c r="B184" s="101"/>
      <c r="C184" s="89"/>
      <c r="D184" s="112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 ht="15.75" customHeight="1">
      <c r="A185" s="89"/>
      <c r="B185" s="101"/>
      <c r="C185" s="89"/>
      <c r="D185" s="112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 ht="15.75" customHeight="1">
      <c r="A186" s="89"/>
      <c r="B186" s="101"/>
      <c r="C186" s="89"/>
      <c r="D186" s="112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 ht="15.75" customHeight="1">
      <c r="A187" s="89"/>
      <c r="B187" s="101"/>
      <c r="C187" s="89"/>
      <c r="D187" s="112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 ht="15.75" customHeight="1">
      <c r="A188" s="89"/>
      <c r="B188" s="101"/>
      <c r="C188" s="89"/>
      <c r="D188" s="112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 ht="15.75" customHeight="1">
      <c r="A189" s="89"/>
      <c r="B189" s="101"/>
      <c r="C189" s="89"/>
      <c r="D189" s="112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 ht="15.75" customHeight="1">
      <c r="A190" s="89"/>
      <c r="B190" s="101"/>
      <c r="C190" s="89"/>
      <c r="D190" s="112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 ht="15.75" customHeight="1">
      <c r="A191" s="89"/>
      <c r="B191" s="101"/>
      <c r="C191" s="89"/>
      <c r="D191" s="112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 ht="15.75" customHeight="1">
      <c r="A192" s="89"/>
      <c r="B192" s="101"/>
      <c r="C192" s="89"/>
      <c r="D192" s="112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 ht="15.75" customHeight="1">
      <c r="A193" s="89"/>
      <c r="B193" s="101"/>
      <c r="C193" s="89"/>
      <c r="D193" s="112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 ht="15.75" customHeight="1">
      <c r="A194" s="89"/>
      <c r="B194" s="101"/>
      <c r="C194" s="89"/>
      <c r="D194" s="112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 ht="15.75" customHeight="1">
      <c r="A195" s="89"/>
      <c r="B195" s="101"/>
      <c r="C195" s="89"/>
      <c r="D195" s="112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 ht="15.75" customHeight="1">
      <c r="A196" s="89"/>
      <c r="B196" s="101"/>
      <c r="C196" s="89"/>
      <c r="D196" s="112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 ht="15.75" customHeight="1">
      <c r="A197" s="89"/>
      <c r="B197" s="101"/>
      <c r="C197" s="89"/>
      <c r="D197" s="112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 ht="15.75" customHeight="1">
      <c r="A198" s="89"/>
      <c r="B198" s="101"/>
      <c r="C198" s="89"/>
      <c r="D198" s="112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 ht="15.75" customHeight="1">
      <c r="A199" s="89"/>
      <c r="B199" s="101"/>
      <c r="C199" s="89"/>
      <c r="D199" s="112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 ht="15.75" customHeight="1">
      <c r="A200" s="89"/>
      <c r="B200" s="101"/>
      <c r="C200" s="89"/>
      <c r="D200" s="112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 ht="15.75" customHeight="1">
      <c r="A201" s="89"/>
      <c r="B201" s="101"/>
      <c r="C201" s="89"/>
      <c r="D201" s="112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 ht="15.75" customHeight="1">
      <c r="A202" s="89"/>
      <c r="B202" s="101"/>
      <c r="C202" s="89"/>
      <c r="D202" s="112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 ht="15.75" customHeight="1">
      <c r="A203" s="89"/>
      <c r="B203" s="101"/>
      <c r="C203" s="89"/>
      <c r="D203" s="112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 ht="15.75" customHeight="1">
      <c r="A204" s="89"/>
      <c r="B204" s="101"/>
      <c r="C204" s="89"/>
      <c r="D204" s="112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 ht="15.75" customHeight="1">
      <c r="A205" s="89"/>
      <c r="B205" s="101"/>
      <c r="C205" s="89"/>
      <c r="D205" s="112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 ht="15.75" customHeight="1">
      <c r="A206" s="89"/>
      <c r="B206" s="101"/>
      <c r="C206" s="89"/>
      <c r="D206" s="112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 ht="15.75" customHeight="1">
      <c r="A207" s="89"/>
      <c r="B207" s="101"/>
      <c r="C207" s="89"/>
      <c r="D207" s="112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 ht="15.75" customHeight="1">
      <c r="A208" s="89"/>
      <c r="B208" s="101"/>
      <c r="C208" s="89"/>
      <c r="D208" s="112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 ht="15.75" customHeight="1">
      <c r="A209" s="89"/>
      <c r="B209" s="101"/>
      <c r="C209" s="89"/>
      <c r="D209" s="112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 ht="15.75" customHeight="1">
      <c r="A210" s="89"/>
      <c r="B210" s="101"/>
      <c r="C210" s="89"/>
      <c r="D210" s="112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 ht="15.75" customHeight="1">
      <c r="A211" s="89"/>
      <c r="B211" s="101"/>
      <c r="C211" s="89"/>
      <c r="D211" s="112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 ht="15.75" customHeight="1">
      <c r="A212" s="89"/>
      <c r="B212" s="101"/>
      <c r="C212" s="89"/>
      <c r="D212" s="112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 ht="15.75" customHeight="1">
      <c r="A213" s="89"/>
      <c r="B213" s="101"/>
      <c r="C213" s="89"/>
      <c r="D213" s="112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 ht="15.75" customHeight="1">
      <c r="A214" s="89"/>
      <c r="B214" s="101"/>
      <c r="C214" s="89"/>
      <c r="D214" s="112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 ht="15.75" customHeight="1">
      <c r="A215" s="89"/>
      <c r="B215" s="101"/>
      <c r="C215" s="89"/>
      <c r="D215" s="112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 ht="15.75" customHeight="1">
      <c r="A216" s="89"/>
      <c r="B216" s="101"/>
      <c r="C216" s="89"/>
      <c r="D216" s="112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 ht="15.75" customHeight="1">
      <c r="A217" s="89"/>
      <c r="B217" s="101"/>
      <c r="C217" s="89"/>
      <c r="D217" s="112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 ht="15.75" customHeight="1">
      <c r="A218" s="89"/>
      <c r="B218" s="101"/>
      <c r="C218" s="89"/>
      <c r="D218" s="112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 ht="15.75" customHeight="1">
      <c r="A219" s="89"/>
      <c r="B219" s="101"/>
      <c r="C219" s="89"/>
      <c r="D219" s="112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 ht="15.75" customHeight="1">
      <c r="A220" s="89"/>
      <c r="B220" s="101"/>
      <c r="C220" s="89"/>
      <c r="D220" s="112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6923C"/>
    <pageSetUpPr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8.63"/>
    <col customWidth="1" min="3" max="3" width="10.88"/>
    <col customWidth="1" min="4" max="4" width="11.88"/>
    <col customWidth="1" min="5" max="5" width="10.75"/>
    <col customWidth="1" min="6" max="6" width="9.38"/>
    <col customWidth="1" min="7" max="7" width="11.0"/>
    <col customWidth="1" min="8" max="8" width="10.38"/>
    <col customWidth="1" min="9" max="9" width="12.75"/>
    <col customWidth="1" min="10" max="10" width="13.13"/>
    <col customWidth="1" min="11" max="11" width="12.75"/>
    <col customWidth="1" min="12" max="12" width="13.63"/>
    <col customWidth="1" min="13" max="26" width="9.13"/>
  </cols>
  <sheetData>
    <row r="1" ht="12.75" customHeight="1">
      <c r="A1" s="113" t="s">
        <v>8</v>
      </c>
      <c r="B1" s="113" t="s">
        <v>482</v>
      </c>
      <c r="C1" s="114" t="s">
        <v>34</v>
      </c>
      <c r="D1" s="114" t="s">
        <v>483</v>
      </c>
      <c r="E1" s="114" t="s">
        <v>484</v>
      </c>
      <c r="F1" s="114" t="s">
        <v>43</v>
      </c>
      <c r="G1" s="114" t="s">
        <v>485</v>
      </c>
      <c r="H1" s="115" t="s">
        <v>486</v>
      </c>
      <c r="I1" s="114" t="s">
        <v>487</v>
      </c>
      <c r="J1" s="113" t="s">
        <v>488</v>
      </c>
      <c r="K1" s="114" t="s">
        <v>489</v>
      </c>
      <c r="L1" s="113" t="s">
        <v>490</v>
      </c>
      <c r="M1" s="116"/>
      <c r="N1" s="116"/>
      <c r="O1" s="116"/>
      <c r="P1" s="116"/>
      <c r="Q1" s="116"/>
      <c r="R1" s="54"/>
      <c r="S1" s="54"/>
      <c r="T1" s="54"/>
      <c r="U1" s="54"/>
      <c r="V1" s="54"/>
      <c r="W1" s="54"/>
      <c r="X1" s="54"/>
      <c r="Y1" s="54"/>
      <c r="Z1" s="54"/>
    </row>
    <row r="2" ht="6.75" customHeight="1">
      <c r="A2" s="117"/>
      <c r="B2" s="118"/>
      <c r="C2" s="119"/>
      <c r="D2" s="119"/>
      <c r="E2" s="119"/>
      <c r="F2" s="119"/>
      <c r="G2" s="119"/>
      <c r="H2" s="120"/>
      <c r="I2" s="119"/>
      <c r="J2" s="118"/>
      <c r="K2" s="118"/>
      <c r="L2" s="118"/>
      <c r="M2" s="121"/>
      <c r="N2" s="121"/>
      <c r="O2" s="121"/>
      <c r="P2" s="121"/>
      <c r="Q2" s="121"/>
      <c r="R2" s="122"/>
      <c r="S2" s="122"/>
      <c r="T2" s="122"/>
      <c r="U2" s="122"/>
      <c r="V2" s="122"/>
      <c r="W2" s="122"/>
      <c r="X2" s="122"/>
      <c r="Y2" s="122"/>
      <c r="Z2" s="122"/>
    </row>
    <row r="3" ht="12.75" customHeight="1">
      <c r="A3" s="123" t="s">
        <v>491</v>
      </c>
      <c r="B3" s="118"/>
      <c r="C3" s="119"/>
      <c r="D3" s="119"/>
      <c r="E3" s="119"/>
      <c r="F3" s="119"/>
      <c r="G3" s="119"/>
      <c r="H3" s="120"/>
      <c r="I3" s="119"/>
      <c r="J3" s="118"/>
      <c r="K3" s="118"/>
      <c r="L3" s="118"/>
      <c r="M3" s="121"/>
      <c r="N3" s="121"/>
      <c r="O3" s="121"/>
      <c r="P3" s="121"/>
      <c r="Q3" s="121"/>
      <c r="R3" s="122"/>
      <c r="S3" s="122"/>
      <c r="T3" s="122"/>
      <c r="U3" s="122"/>
      <c r="V3" s="122"/>
      <c r="W3" s="122"/>
      <c r="X3" s="122"/>
      <c r="Y3" s="122"/>
      <c r="Z3" s="122"/>
    </row>
    <row r="4" ht="12.75" customHeight="1">
      <c r="A4" s="124" t="s">
        <v>492</v>
      </c>
      <c r="B4" s="124"/>
      <c r="C4" s="125"/>
      <c r="D4" s="125"/>
      <c r="E4" s="125"/>
      <c r="F4" s="125"/>
      <c r="G4" s="125"/>
      <c r="H4" s="126"/>
      <c r="I4" s="125"/>
      <c r="J4" s="125"/>
      <c r="K4" s="125"/>
      <c r="L4" s="125"/>
      <c r="M4" s="127"/>
      <c r="N4" s="127"/>
      <c r="O4" s="127"/>
      <c r="P4" s="127"/>
      <c r="Q4" s="127"/>
      <c r="R4" s="77"/>
      <c r="S4" s="77"/>
      <c r="T4" s="77"/>
      <c r="U4" s="77"/>
      <c r="V4" s="77"/>
      <c r="W4" s="77"/>
      <c r="X4" s="77"/>
      <c r="Y4" s="77"/>
      <c r="Z4" s="77"/>
    </row>
    <row r="5" ht="12.75" customHeight="1">
      <c r="A5" s="128" t="s">
        <v>493</v>
      </c>
      <c r="B5" s="128"/>
      <c r="C5" s="129"/>
      <c r="D5" s="129"/>
      <c r="E5" s="129"/>
      <c r="F5" s="129"/>
      <c r="G5" s="129"/>
      <c r="H5" s="130"/>
      <c r="I5" s="129"/>
      <c r="J5" s="129"/>
      <c r="K5" s="129"/>
      <c r="L5" s="129"/>
      <c r="M5" s="127"/>
      <c r="N5" s="127"/>
      <c r="O5" s="127"/>
      <c r="P5" s="127"/>
      <c r="Q5" s="127"/>
      <c r="R5" s="77"/>
      <c r="S5" s="77"/>
      <c r="T5" s="77"/>
      <c r="U5" s="77"/>
      <c r="V5" s="77"/>
      <c r="W5" s="77"/>
      <c r="X5" s="77"/>
      <c r="Y5" s="77"/>
      <c r="Z5" s="77"/>
    </row>
    <row r="6" ht="12.75" customHeight="1">
      <c r="A6" s="124" t="s">
        <v>57</v>
      </c>
      <c r="B6" s="124"/>
      <c r="C6" s="125"/>
      <c r="D6" s="125"/>
      <c r="E6" s="125"/>
      <c r="F6" s="125"/>
      <c r="G6" s="125"/>
      <c r="H6" s="126"/>
      <c r="I6" s="125"/>
      <c r="J6" s="125"/>
      <c r="K6" s="125"/>
      <c r="L6" s="125"/>
      <c r="M6" s="127"/>
      <c r="N6" s="127"/>
      <c r="O6" s="127"/>
      <c r="P6" s="127"/>
      <c r="Q6" s="127"/>
      <c r="R6" s="77"/>
      <c r="S6" s="77"/>
      <c r="T6" s="77"/>
      <c r="U6" s="77"/>
      <c r="V6" s="77"/>
      <c r="W6" s="77"/>
      <c r="X6" s="77"/>
      <c r="Y6" s="77"/>
      <c r="Z6" s="77"/>
    </row>
    <row r="7" ht="12.75" customHeight="1">
      <c r="A7" s="128" t="s">
        <v>494</v>
      </c>
      <c r="B7" s="128"/>
      <c r="C7" s="129"/>
      <c r="D7" s="129"/>
      <c r="E7" s="129"/>
      <c r="F7" s="129"/>
      <c r="G7" s="129"/>
      <c r="H7" s="130"/>
      <c r="I7" s="129"/>
      <c r="J7" s="129"/>
      <c r="K7" s="129"/>
      <c r="L7" s="129"/>
      <c r="M7" s="127"/>
      <c r="N7" s="127"/>
      <c r="O7" s="127"/>
      <c r="P7" s="127"/>
      <c r="Q7" s="127"/>
      <c r="R7" s="77"/>
      <c r="S7" s="77"/>
      <c r="T7" s="77"/>
      <c r="U7" s="77"/>
      <c r="V7" s="77"/>
      <c r="W7" s="77"/>
      <c r="X7" s="77"/>
      <c r="Y7" s="77"/>
      <c r="Z7" s="77"/>
    </row>
    <row r="8" ht="12.75" customHeight="1">
      <c r="A8" s="124" t="s">
        <v>495</v>
      </c>
      <c r="B8" s="124"/>
      <c r="C8" s="125"/>
      <c r="D8" s="125"/>
      <c r="E8" s="125"/>
      <c r="F8" s="125"/>
      <c r="G8" s="125"/>
      <c r="H8" s="126"/>
      <c r="I8" s="125"/>
      <c r="J8" s="125"/>
      <c r="K8" s="125"/>
      <c r="L8" s="125"/>
      <c r="M8" s="127"/>
      <c r="N8" s="127"/>
      <c r="O8" s="127"/>
      <c r="P8" s="127"/>
      <c r="Q8" s="127"/>
      <c r="R8" s="77"/>
      <c r="S8" s="77"/>
      <c r="T8" s="77"/>
      <c r="U8" s="77"/>
      <c r="V8" s="77"/>
      <c r="W8" s="77"/>
      <c r="X8" s="77"/>
      <c r="Y8" s="77"/>
      <c r="Z8" s="77"/>
    </row>
    <row r="9" ht="12.75" customHeight="1">
      <c r="A9" s="131" t="s">
        <v>496</v>
      </c>
      <c r="B9" s="131"/>
      <c r="C9" s="132"/>
      <c r="D9" s="132"/>
      <c r="E9" s="132"/>
      <c r="F9" s="132"/>
      <c r="G9" s="132"/>
      <c r="H9" s="133"/>
      <c r="I9" s="132"/>
      <c r="J9" s="132"/>
      <c r="K9" s="132"/>
      <c r="L9" s="132"/>
      <c r="M9" s="127"/>
      <c r="N9" s="127"/>
      <c r="O9" s="127"/>
      <c r="P9" s="127"/>
      <c r="Q9" s="127"/>
      <c r="R9" s="77"/>
      <c r="S9" s="77"/>
      <c r="T9" s="77"/>
      <c r="U9" s="77"/>
      <c r="V9" s="77"/>
      <c r="W9" s="77"/>
      <c r="X9" s="77"/>
      <c r="Y9" s="77"/>
      <c r="Z9" s="77"/>
    </row>
    <row r="10" ht="9.75" customHeight="1">
      <c r="A10" s="134"/>
      <c r="B10" s="127"/>
      <c r="C10" s="135"/>
      <c r="D10" s="135"/>
      <c r="E10" s="135"/>
      <c r="F10" s="135"/>
      <c r="G10" s="135"/>
      <c r="H10" s="136"/>
      <c r="I10" s="135"/>
      <c r="J10" s="127"/>
      <c r="K10" s="135"/>
      <c r="L10" s="127"/>
      <c r="M10" s="127"/>
      <c r="N10" s="127"/>
      <c r="O10" s="127"/>
      <c r="P10" s="127"/>
      <c r="Q10" s="127"/>
      <c r="R10" s="77"/>
      <c r="S10" s="77"/>
      <c r="T10" s="77"/>
      <c r="U10" s="77"/>
      <c r="V10" s="77"/>
      <c r="W10" s="77"/>
      <c r="X10" s="77"/>
      <c r="Y10" s="77"/>
      <c r="Z10" s="77"/>
    </row>
    <row r="11" ht="12.75" customHeight="1">
      <c r="A11" s="123" t="s">
        <v>497</v>
      </c>
      <c r="B11" s="137"/>
      <c r="C11" s="138"/>
      <c r="D11" s="138"/>
      <c r="E11" s="138"/>
      <c r="F11" s="138"/>
      <c r="G11" s="138"/>
      <c r="H11" s="139"/>
      <c r="I11" s="138"/>
      <c r="J11" s="127"/>
      <c r="K11" s="138"/>
      <c r="L11" s="127"/>
      <c r="M11" s="127"/>
      <c r="N11" s="127"/>
      <c r="O11" s="127"/>
      <c r="P11" s="127"/>
      <c r="Q11" s="127"/>
      <c r="R11" s="77"/>
      <c r="S11" s="77"/>
      <c r="T11" s="77"/>
      <c r="U11" s="77"/>
      <c r="V11" s="77"/>
      <c r="W11" s="77"/>
      <c r="X11" s="77"/>
      <c r="Y11" s="77"/>
      <c r="Z11" s="77"/>
    </row>
    <row r="12" ht="12.75" customHeight="1">
      <c r="A12" s="124" t="s">
        <v>492</v>
      </c>
      <c r="B12" s="124"/>
      <c r="C12" s="125"/>
      <c r="D12" s="125"/>
      <c r="E12" s="125"/>
      <c r="F12" s="125"/>
      <c r="G12" s="125"/>
      <c r="H12" s="126"/>
      <c r="I12" s="125"/>
      <c r="J12" s="125"/>
      <c r="K12" s="125"/>
      <c r="L12" s="125"/>
      <c r="M12" s="127"/>
      <c r="N12" s="127"/>
      <c r="O12" s="127"/>
      <c r="P12" s="127"/>
      <c r="Q12" s="127"/>
      <c r="R12" s="77"/>
      <c r="S12" s="77"/>
      <c r="T12" s="77"/>
      <c r="U12" s="77"/>
      <c r="V12" s="77"/>
      <c r="W12" s="77"/>
      <c r="X12" s="77"/>
      <c r="Y12" s="77"/>
      <c r="Z12" s="77"/>
    </row>
    <row r="13" ht="12.75" customHeight="1">
      <c r="A13" s="128" t="s">
        <v>493</v>
      </c>
      <c r="B13" s="128"/>
      <c r="C13" s="129"/>
      <c r="D13" s="129"/>
      <c r="E13" s="129"/>
      <c r="F13" s="129"/>
      <c r="G13" s="129"/>
      <c r="H13" s="130"/>
      <c r="I13" s="129"/>
      <c r="J13" s="129"/>
      <c r="K13" s="129"/>
      <c r="L13" s="129"/>
      <c r="M13" s="127"/>
      <c r="N13" s="127"/>
      <c r="O13" s="127"/>
      <c r="P13" s="127"/>
      <c r="Q13" s="127"/>
      <c r="R13" s="77"/>
      <c r="S13" s="77"/>
      <c r="T13" s="77"/>
      <c r="U13" s="77"/>
      <c r="V13" s="77"/>
      <c r="W13" s="77"/>
      <c r="X13" s="77"/>
      <c r="Y13" s="77"/>
      <c r="Z13" s="77"/>
    </row>
    <row r="14" ht="12.75" customHeight="1">
      <c r="A14" s="124" t="s">
        <v>57</v>
      </c>
      <c r="B14" s="124"/>
      <c r="C14" s="125"/>
      <c r="D14" s="125"/>
      <c r="E14" s="125"/>
      <c r="F14" s="125"/>
      <c r="G14" s="125"/>
      <c r="H14" s="126"/>
      <c r="I14" s="125"/>
      <c r="J14" s="125"/>
      <c r="K14" s="125"/>
      <c r="L14" s="125"/>
      <c r="M14" s="127"/>
      <c r="N14" s="127"/>
      <c r="O14" s="127"/>
      <c r="P14" s="127"/>
      <c r="Q14" s="127"/>
      <c r="R14" s="77"/>
      <c r="S14" s="77"/>
      <c r="T14" s="77"/>
      <c r="U14" s="77"/>
      <c r="V14" s="77"/>
      <c r="W14" s="77"/>
      <c r="X14" s="77"/>
      <c r="Y14" s="77"/>
      <c r="Z14" s="77"/>
    </row>
    <row r="15" ht="12.75" customHeight="1">
      <c r="A15" s="128" t="s">
        <v>494</v>
      </c>
      <c r="B15" s="128"/>
      <c r="C15" s="129"/>
      <c r="D15" s="129"/>
      <c r="E15" s="129"/>
      <c r="F15" s="129"/>
      <c r="G15" s="129"/>
      <c r="H15" s="130"/>
      <c r="I15" s="129"/>
      <c r="J15" s="129"/>
      <c r="K15" s="129"/>
      <c r="L15" s="129"/>
      <c r="M15" s="127"/>
      <c r="N15" s="127"/>
      <c r="O15" s="127"/>
      <c r="P15" s="127"/>
      <c r="Q15" s="127"/>
      <c r="R15" s="77"/>
      <c r="S15" s="77"/>
      <c r="T15" s="77"/>
      <c r="U15" s="77"/>
      <c r="V15" s="77"/>
      <c r="W15" s="77"/>
      <c r="X15" s="77"/>
      <c r="Y15" s="77"/>
      <c r="Z15" s="77"/>
    </row>
    <row r="16" ht="12.75" customHeight="1">
      <c r="A16" s="124" t="s">
        <v>495</v>
      </c>
      <c r="B16" s="124"/>
      <c r="C16" s="125"/>
      <c r="D16" s="125"/>
      <c r="E16" s="125"/>
      <c r="F16" s="125"/>
      <c r="G16" s="125"/>
      <c r="H16" s="126"/>
      <c r="I16" s="125"/>
      <c r="J16" s="125"/>
      <c r="K16" s="125"/>
      <c r="L16" s="125"/>
      <c r="M16" s="127"/>
      <c r="N16" s="127"/>
      <c r="O16" s="127"/>
      <c r="P16" s="127"/>
      <c r="Q16" s="127"/>
      <c r="R16" s="77"/>
      <c r="S16" s="77"/>
      <c r="T16" s="77"/>
      <c r="U16" s="77"/>
      <c r="V16" s="77"/>
      <c r="W16" s="77"/>
      <c r="X16" s="77"/>
      <c r="Y16" s="77"/>
      <c r="Z16" s="77"/>
    </row>
    <row r="17" ht="12.75" customHeight="1">
      <c r="A17" s="131" t="s">
        <v>496</v>
      </c>
      <c r="B17" s="131"/>
      <c r="C17" s="132"/>
      <c r="D17" s="132"/>
      <c r="E17" s="132"/>
      <c r="F17" s="132"/>
      <c r="G17" s="132"/>
      <c r="H17" s="133"/>
      <c r="I17" s="132"/>
      <c r="J17" s="132"/>
      <c r="K17" s="132"/>
      <c r="L17" s="132"/>
      <c r="M17" s="140"/>
      <c r="N17" s="140"/>
      <c r="O17" s="140"/>
      <c r="P17" s="140"/>
      <c r="Q17" s="140"/>
      <c r="R17" s="28"/>
      <c r="S17" s="28"/>
      <c r="T17" s="28"/>
      <c r="U17" s="28"/>
      <c r="V17" s="28"/>
      <c r="W17" s="28"/>
      <c r="X17" s="28"/>
      <c r="Y17" s="28"/>
      <c r="Z17" s="28"/>
    </row>
    <row r="18" ht="12.75" customHeight="1">
      <c r="A18" s="140"/>
      <c r="B18" s="140"/>
      <c r="C18" s="141"/>
      <c r="D18" s="141"/>
      <c r="E18" s="141"/>
      <c r="F18" s="141"/>
      <c r="G18" s="141"/>
      <c r="H18" s="142"/>
      <c r="I18" s="141"/>
      <c r="J18" s="140"/>
      <c r="K18" s="140"/>
      <c r="L18" s="140"/>
      <c r="M18" s="140"/>
      <c r="N18" s="140"/>
      <c r="O18" s="140"/>
      <c r="P18" s="140"/>
      <c r="Q18" s="140"/>
      <c r="R18" s="28"/>
      <c r="S18" s="28"/>
      <c r="T18" s="28"/>
      <c r="U18" s="28"/>
      <c r="V18" s="28"/>
      <c r="W18" s="28"/>
      <c r="X18" s="28"/>
      <c r="Y18" s="28"/>
      <c r="Z18" s="28"/>
    </row>
    <row r="19" ht="12.75" customHeight="1">
      <c r="A19" s="140"/>
      <c r="B19" s="140"/>
      <c r="C19" s="141"/>
      <c r="D19" s="141"/>
      <c r="E19" s="141"/>
      <c r="F19" s="141"/>
      <c r="G19" s="141"/>
      <c r="H19" s="142"/>
      <c r="I19" s="141"/>
      <c r="J19" s="140"/>
      <c r="K19" s="140"/>
      <c r="L19" s="140"/>
      <c r="M19" s="140"/>
      <c r="N19" s="140"/>
      <c r="O19" s="140"/>
      <c r="P19" s="140"/>
      <c r="Q19" s="140"/>
      <c r="R19" s="28"/>
      <c r="S19" s="28"/>
      <c r="T19" s="28"/>
      <c r="U19" s="28"/>
      <c r="V19" s="28"/>
      <c r="W19" s="28"/>
      <c r="X19" s="28"/>
      <c r="Y19" s="28"/>
      <c r="Z19" s="28"/>
    </row>
    <row r="20" ht="12.75" customHeight="1">
      <c r="A20" s="140"/>
      <c r="B20" s="140"/>
      <c r="C20" s="141"/>
      <c r="D20" s="141"/>
      <c r="E20" s="141"/>
      <c r="F20" s="141"/>
      <c r="G20" s="141"/>
      <c r="H20" s="142"/>
      <c r="I20" s="141"/>
      <c r="J20" s="140"/>
      <c r="K20" s="140"/>
      <c r="L20" s="140"/>
      <c r="M20" s="140"/>
      <c r="N20" s="140"/>
      <c r="O20" s="140"/>
      <c r="P20" s="140"/>
      <c r="Q20" s="140"/>
      <c r="R20" s="28"/>
      <c r="S20" s="28"/>
      <c r="T20" s="28"/>
      <c r="U20" s="28"/>
      <c r="V20" s="28"/>
      <c r="W20" s="28"/>
      <c r="X20" s="28"/>
      <c r="Y20" s="28"/>
      <c r="Z20" s="28"/>
    </row>
    <row r="21" ht="12.75" customHeight="1">
      <c r="A21" s="140"/>
      <c r="B21" s="140"/>
      <c r="C21" s="141"/>
      <c r="D21" s="141"/>
      <c r="E21" s="141"/>
      <c r="F21" s="141"/>
      <c r="G21" s="141"/>
      <c r="H21" s="142"/>
      <c r="I21" s="141"/>
      <c r="J21" s="140"/>
      <c r="K21" s="140"/>
      <c r="L21" s="140"/>
      <c r="M21" s="140"/>
      <c r="N21" s="140"/>
      <c r="O21" s="140"/>
      <c r="P21" s="140"/>
      <c r="Q21" s="140"/>
      <c r="R21" s="28"/>
      <c r="S21" s="28"/>
      <c r="T21" s="28"/>
      <c r="U21" s="28"/>
      <c r="V21" s="28"/>
      <c r="W21" s="28"/>
      <c r="X21" s="28"/>
      <c r="Y21" s="28"/>
      <c r="Z21" s="28"/>
    </row>
    <row r="22" ht="12.75" customHeight="1">
      <c r="A22" s="140"/>
      <c r="B22" s="140"/>
      <c r="C22" s="141"/>
      <c r="D22" s="141"/>
      <c r="E22" s="141"/>
      <c r="F22" s="141"/>
      <c r="G22" s="141"/>
      <c r="H22" s="142"/>
      <c r="I22" s="141"/>
      <c r="J22" s="140"/>
      <c r="K22" s="140"/>
      <c r="L22" s="140"/>
      <c r="M22" s="140"/>
      <c r="N22" s="140"/>
      <c r="O22" s="140"/>
      <c r="P22" s="140"/>
      <c r="Q22" s="140"/>
      <c r="R22" s="28"/>
      <c r="S22" s="28"/>
      <c r="T22" s="28"/>
      <c r="U22" s="28"/>
      <c r="V22" s="28"/>
      <c r="W22" s="28"/>
      <c r="X22" s="28"/>
      <c r="Y22" s="28"/>
      <c r="Z22" s="28"/>
    </row>
    <row r="23" ht="12.75" customHeight="1">
      <c r="A23" s="140"/>
      <c r="B23" s="140"/>
      <c r="C23" s="141"/>
      <c r="D23" s="141"/>
      <c r="E23" s="141"/>
      <c r="F23" s="143"/>
      <c r="G23" s="141"/>
      <c r="H23" s="142"/>
      <c r="I23" s="141"/>
      <c r="J23" s="140"/>
      <c r="K23" s="140"/>
      <c r="L23" s="140"/>
      <c r="M23" s="140"/>
      <c r="N23" s="140"/>
      <c r="O23" s="140"/>
      <c r="P23" s="140"/>
      <c r="Q23" s="140"/>
      <c r="R23" s="28"/>
      <c r="S23" s="28"/>
      <c r="T23" s="28"/>
      <c r="U23" s="28"/>
      <c r="V23" s="28"/>
      <c r="W23" s="28"/>
      <c r="X23" s="28"/>
      <c r="Y23" s="28"/>
      <c r="Z23" s="28"/>
    </row>
    <row r="24" ht="12.75" customHeight="1">
      <c r="A24" s="28"/>
      <c r="B24" s="28"/>
      <c r="C24" s="144"/>
      <c r="D24" s="144"/>
      <c r="E24" s="144"/>
      <c r="F24" s="144"/>
      <c r="G24" s="144"/>
      <c r="H24" s="145"/>
      <c r="I24" s="144"/>
      <c r="J24" s="28"/>
      <c r="K24" s="28"/>
      <c r="L24" s="28"/>
      <c r="M24" s="140"/>
      <c r="N24" s="140"/>
      <c r="O24" s="140"/>
      <c r="P24" s="140"/>
      <c r="Q24" s="140"/>
      <c r="R24" s="28"/>
      <c r="S24" s="28"/>
      <c r="T24" s="28"/>
      <c r="U24" s="28"/>
      <c r="V24" s="28"/>
      <c r="W24" s="28"/>
      <c r="X24" s="28"/>
      <c r="Y24" s="28"/>
      <c r="Z24" s="28"/>
    </row>
    <row r="25" ht="12.75" customHeight="1">
      <c r="A25" s="28"/>
      <c r="B25" s="28"/>
      <c r="C25" s="144"/>
      <c r="D25" s="144"/>
      <c r="E25" s="144"/>
      <c r="F25" s="144"/>
      <c r="G25" s="144"/>
      <c r="H25" s="145"/>
      <c r="I25" s="144"/>
      <c r="J25" s="28"/>
      <c r="K25" s="28"/>
      <c r="L25" s="28"/>
      <c r="M25" s="140"/>
      <c r="N25" s="140"/>
      <c r="O25" s="140"/>
      <c r="P25" s="140"/>
      <c r="Q25" s="140"/>
      <c r="R25" s="28"/>
      <c r="S25" s="28"/>
      <c r="T25" s="28"/>
      <c r="U25" s="28"/>
      <c r="V25" s="28"/>
      <c r="W25" s="28"/>
      <c r="X25" s="28"/>
      <c r="Y25" s="28"/>
      <c r="Z25" s="28"/>
    </row>
    <row r="26" ht="12.75" customHeight="1">
      <c r="A26" s="28"/>
      <c r="B26" s="28"/>
      <c r="C26" s="144"/>
      <c r="D26" s="144"/>
      <c r="E26" s="144"/>
      <c r="F26" s="144"/>
      <c r="G26" s="144"/>
      <c r="H26" s="145"/>
      <c r="I26" s="144"/>
      <c r="J26" s="28"/>
      <c r="K26" s="28"/>
      <c r="L26" s="28"/>
      <c r="M26" s="140"/>
      <c r="N26" s="140"/>
      <c r="O26" s="140"/>
      <c r="P26" s="140"/>
      <c r="Q26" s="140"/>
      <c r="R26" s="28"/>
      <c r="S26" s="28"/>
      <c r="T26" s="28"/>
      <c r="U26" s="28"/>
      <c r="V26" s="28"/>
      <c r="W26" s="28"/>
      <c r="X26" s="28"/>
      <c r="Y26" s="28"/>
      <c r="Z26" s="28"/>
    </row>
    <row r="27" ht="12.75" customHeight="1">
      <c r="A27" s="28"/>
      <c r="B27" s="28"/>
      <c r="C27" s="144"/>
      <c r="D27" s="144"/>
      <c r="E27" s="144"/>
      <c r="F27" s="144"/>
      <c r="G27" s="144"/>
      <c r="H27" s="145"/>
      <c r="I27" s="144"/>
      <c r="J27" s="28"/>
      <c r="K27" s="28"/>
      <c r="L27" s="28"/>
      <c r="M27" s="140"/>
      <c r="N27" s="140"/>
      <c r="O27" s="140"/>
      <c r="P27" s="140"/>
      <c r="Q27" s="140"/>
      <c r="R27" s="28"/>
      <c r="S27" s="28"/>
      <c r="T27" s="28"/>
      <c r="U27" s="28"/>
      <c r="V27" s="28"/>
      <c r="W27" s="28"/>
      <c r="X27" s="28"/>
      <c r="Y27" s="28"/>
      <c r="Z27" s="28"/>
    </row>
    <row r="28" ht="12.75" customHeight="1">
      <c r="A28" s="28"/>
      <c r="B28" s="28"/>
      <c r="C28" s="144"/>
      <c r="D28" s="144"/>
      <c r="E28" s="144"/>
      <c r="F28" s="144"/>
      <c r="G28" s="144"/>
      <c r="H28" s="145"/>
      <c r="I28" s="144"/>
      <c r="J28" s="28"/>
      <c r="K28" s="28"/>
      <c r="L28" s="28"/>
      <c r="M28" s="140"/>
      <c r="N28" s="140"/>
      <c r="O28" s="140"/>
      <c r="P28" s="140"/>
      <c r="Q28" s="140"/>
      <c r="R28" s="28"/>
      <c r="S28" s="28"/>
      <c r="T28" s="28"/>
      <c r="U28" s="28"/>
      <c r="V28" s="28"/>
      <c r="W28" s="28"/>
      <c r="X28" s="28"/>
      <c r="Y28" s="28"/>
      <c r="Z28" s="28"/>
    </row>
    <row r="29" ht="12.75" customHeight="1">
      <c r="A29" s="28"/>
      <c r="B29" s="28"/>
      <c r="C29" s="144"/>
      <c r="D29" s="144"/>
      <c r="E29" s="144"/>
      <c r="F29" s="144"/>
      <c r="G29" s="144"/>
      <c r="H29" s="145"/>
      <c r="I29" s="144"/>
      <c r="J29" s="28"/>
      <c r="K29" s="28"/>
      <c r="L29" s="28"/>
      <c r="M29" s="140"/>
      <c r="N29" s="140"/>
      <c r="O29" s="140"/>
      <c r="P29" s="140"/>
      <c r="Q29" s="140"/>
      <c r="R29" s="28"/>
      <c r="S29" s="28"/>
      <c r="T29" s="28"/>
      <c r="U29" s="28"/>
      <c r="V29" s="28"/>
      <c r="W29" s="28"/>
      <c r="X29" s="28"/>
      <c r="Y29" s="28"/>
      <c r="Z29" s="28"/>
    </row>
    <row r="30" ht="12.75" customHeight="1">
      <c r="A30" s="28"/>
      <c r="B30" s="28"/>
      <c r="C30" s="144"/>
      <c r="D30" s="144"/>
      <c r="E30" s="144"/>
      <c r="F30" s="144"/>
      <c r="G30" s="144"/>
      <c r="H30" s="145"/>
      <c r="I30" s="144"/>
      <c r="J30" s="28"/>
      <c r="K30" s="28"/>
      <c r="L30" s="28"/>
      <c r="M30" s="140"/>
      <c r="N30" s="140"/>
      <c r="O30" s="140"/>
      <c r="P30" s="140"/>
      <c r="Q30" s="140"/>
      <c r="R30" s="28"/>
      <c r="S30" s="28"/>
      <c r="T30" s="28"/>
      <c r="U30" s="28"/>
      <c r="V30" s="28"/>
      <c r="W30" s="28"/>
      <c r="X30" s="28"/>
      <c r="Y30" s="28"/>
      <c r="Z30" s="28"/>
    </row>
    <row r="31" ht="12.75" customHeight="1">
      <c r="A31" s="28"/>
      <c r="B31" s="28"/>
      <c r="C31" s="144"/>
      <c r="D31" s="144"/>
      <c r="E31" s="144"/>
      <c r="F31" s="144"/>
      <c r="G31" s="144"/>
      <c r="H31" s="145"/>
      <c r="I31" s="144"/>
      <c r="J31" s="28"/>
      <c r="K31" s="28"/>
      <c r="L31" s="28"/>
      <c r="M31" s="140"/>
      <c r="N31" s="140"/>
      <c r="O31" s="140"/>
      <c r="P31" s="140"/>
      <c r="Q31" s="140"/>
      <c r="R31" s="28"/>
      <c r="S31" s="28"/>
      <c r="T31" s="28"/>
      <c r="U31" s="28"/>
      <c r="V31" s="28"/>
      <c r="W31" s="28"/>
      <c r="X31" s="28"/>
      <c r="Y31" s="28"/>
      <c r="Z31" s="28"/>
    </row>
    <row r="32" ht="12.75" customHeight="1">
      <c r="A32" s="28"/>
      <c r="B32" s="28"/>
      <c r="C32" s="144"/>
      <c r="D32" s="144"/>
      <c r="E32" s="144"/>
      <c r="F32" s="144"/>
      <c r="G32" s="144"/>
      <c r="H32" s="145"/>
      <c r="I32" s="144"/>
      <c r="J32" s="28"/>
      <c r="K32" s="28"/>
      <c r="L32" s="28"/>
      <c r="M32" s="140"/>
      <c r="N32" s="140"/>
      <c r="O32" s="140"/>
      <c r="P32" s="140"/>
      <c r="Q32" s="140"/>
      <c r="R32" s="28"/>
      <c r="S32" s="28"/>
      <c r="T32" s="28"/>
      <c r="U32" s="28"/>
      <c r="V32" s="28"/>
      <c r="W32" s="28"/>
      <c r="X32" s="28"/>
      <c r="Y32" s="28"/>
      <c r="Z32" s="28"/>
    </row>
    <row r="33" ht="12.75" customHeight="1">
      <c r="A33" s="28"/>
      <c r="B33" s="28"/>
      <c r="C33" s="144"/>
      <c r="D33" s="144"/>
      <c r="E33" s="144"/>
      <c r="F33" s="144"/>
      <c r="G33" s="144"/>
      <c r="H33" s="145"/>
      <c r="I33" s="144"/>
      <c r="J33" s="28"/>
      <c r="K33" s="28"/>
      <c r="L33" s="28"/>
      <c r="M33" s="140"/>
      <c r="N33" s="140"/>
      <c r="O33" s="140"/>
      <c r="P33" s="140"/>
      <c r="Q33" s="140"/>
      <c r="R33" s="28"/>
      <c r="S33" s="28"/>
      <c r="T33" s="28"/>
      <c r="U33" s="28"/>
      <c r="V33" s="28"/>
      <c r="W33" s="28"/>
      <c r="X33" s="28"/>
      <c r="Y33" s="28"/>
      <c r="Z33" s="28"/>
    </row>
    <row r="34" ht="12.75" customHeight="1">
      <c r="A34" s="28"/>
      <c r="B34" s="28"/>
      <c r="C34" s="144"/>
      <c r="D34" s="144"/>
      <c r="E34" s="144"/>
      <c r="F34" s="144"/>
      <c r="G34" s="144"/>
      <c r="H34" s="145"/>
      <c r="I34" s="144"/>
      <c r="J34" s="28"/>
      <c r="K34" s="28"/>
      <c r="L34" s="28"/>
      <c r="M34" s="140"/>
      <c r="N34" s="140"/>
      <c r="O34" s="140"/>
      <c r="P34" s="140"/>
      <c r="Q34" s="140"/>
      <c r="R34" s="28"/>
      <c r="S34" s="28"/>
      <c r="T34" s="28"/>
      <c r="U34" s="28"/>
      <c r="V34" s="28"/>
      <c r="W34" s="28"/>
      <c r="X34" s="28"/>
      <c r="Y34" s="28"/>
      <c r="Z34" s="28"/>
    </row>
    <row r="35" ht="12.75" customHeight="1">
      <c r="A35" s="28"/>
      <c r="B35" s="28"/>
      <c r="C35" s="144"/>
      <c r="D35" s="144"/>
      <c r="E35" s="144"/>
      <c r="F35" s="144"/>
      <c r="G35" s="144"/>
      <c r="H35" s="145"/>
      <c r="I35" s="144"/>
      <c r="J35" s="28"/>
      <c r="K35" s="28"/>
      <c r="L35" s="28"/>
      <c r="M35" s="140"/>
      <c r="N35" s="140"/>
      <c r="O35" s="140"/>
      <c r="P35" s="140"/>
      <c r="Q35" s="140"/>
      <c r="R35" s="28"/>
      <c r="S35" s="28"/>
      <c r="T35" s="28"/>
      <c r="U35" s="28"/>
      <c r="V35" s="28"/>
      <c r="W35" s="28"/>
      <c r="X35" s="28"/>
      <c r="Y35" s="28"/>
      <c r="Z35" s="28"/>
    </row>
    <row r="36" ht="12.75" customHeight="1">
      <c r="A36" s="28"/>
      <c r="B36" s="28"/>
      <c r="C36" s="144"/>
      <c r="D36" s="144"/>
      <c r="E36" s="144"/>
      <c r="F36" s="144"/>
      <c r="G36" s="144"/>
      <c r="H36" s="145"/>
      <c r="I36" s="144"/>
      <c r="J36" s="28"/>
      <c r="K36" s="28"/>
      <c r="L36" s="28"/>
      <c r="M36" s="140"/>
      <c r="N36" s="140"/>
      <c r="O36" s="140"/>
      <c r="P36" s="140"/>
      <c r="Q36" s="140"/>
      <c r="R36" s="28"/>
      <c r="S36" s="28"/>
      <c r="T36" s="28"/>
      <c r="U36" s="28"/>
      <c r="V36" s="28"/>
      <c r="W36" s="28"/>
      <c r="X36" s="28"/>
      <c r="Y36" s="28"/>
      <c r="Z36" s="28"/>
    </row>
    <row r="37" ht="12.75" customHeight="1">
      <c r="A37" s="28"/>
      <c r="B37" s="28"/>
      <c r="C37" s="144"/>
      <c r="D37" s="144"/>
      <c r="E37" s="144"/>
      <c r="F37" s="144"/>
      <c r="G37" s="144"/>
      <c r="H37" s="145"/>
      <c r="I37" s="144"/>
      <c r="J37" s="28"/>
      <c r="K37" s="28"/>
      <c r="L37" s="28"/>
      <c r="M37" s="140"/>
      <c r="N37" s="140"/>
      <c r="O37" s="140"/>
      <c r="P37" s="140"/>
      <c r="Q37" s="140"/>
      <c r="R37" s="28"/>
      <c r="S37" s="28"/>
      <c r="T37" s="28"/>
      <c r="U37" s="28"/>
      <c r="V37" s="28"/>
      <c r="W37" s="28"/>
      <c r="X37" s="28"/>
      <c r="Y37" s="28"/>
      <c r="Z37" s="28"/>
    </row>
    <row r="38" ht="12.75" customHeight="1">
      <c r="A38" s="28"/>
      <c r="B38" s="28"/>
      <c r="C38" s="144"/>
      <c r="D38" s="144"/>
      <c r="E38" s="144"/>
      <c r="F38" s="144"/>
      <c r="G38" s="144"/>
      <c r="H38" s="145"/>
      <c r="I38" s="144"/>
      <c r="J38" s="28"/>
      <c r="K38" s="28"/>
      <c r="L38" s="28"/>
      <c r="M38" s="140"/>
      <c r="N38" s="140"/>
      <c r="O38" s="140"/>
      <c r="P38" s="140"/>
      <c r="Q38" s="140"/>
      <c r="R38" s="28"/>
      <c r="S38" s="28"/>
      <c r="T38" s="28"/>
      <c r="U38" s="28"/>
      <c r="V38" s="28"/>
      <c r="W38" s="28"/>
      <c r="X38" s="28"/>
      <c r="Y38" s="28"/>
      <c r="Z38" s="28"/>
    </row>
    <row r="39" ht="12.75" customHeight="1">
      <c r="A39" s="28"/>
      <c r="B39" s="28"/>
      <c r="C39" s="144"/>
      <c r="D39" s="144"/>
      <c r="E39" s="144"/>
      <c r="F39" s="144"/>
      <c r="G39" s="144"/>
      <c r="H39" s="145"/>
      <c r="I39" s="144"/>
      <c r="J39" s="28"/>
      <c r="K39" s="28"/>
      <c r="L39" s="28"/>
      <c r="M39" s="140"/>
      <c r="N39" s="140"/>
      <c r="O39" s="140"/>
      <c r="P39" s="140"/>
      <c r="Q39" s="140"/>
      <c r="R39" s="28"/>
      <c r="S39" s="28"/>
      <c r="T39" s="28"/>
      <c r="U39" s="28"/>
      <c r="V39" s="28"/>
      <c r="W39" s="28"/>
      <c r="X39" s="28"/>
      <c r="Y39" s="28"/>
      <c r="Z39" s="28"/>
    </row>
    <row r="40" ht="12.75" customHeight="1">
      <c r="A40" s="28"/>
      <c r="B40" s="28"/>
      <c r="C40" s="144"/>
      <c r="D40" s="144"/>
      <c r="E40" s="144"/>
      <c r="F40" s="144"/>
      <c r="G40" s="144"/>
      <c r="H40" s="145"/>
      <c r="I40" s="144"/>
      <c r="J40" s="28"/>
      <c r="K40" s="28"/>
      <c r="L40" s="28"/>
      <c r="M40" s="140"/>
      <c r="N40" s="140"/>
      <c r="O40" s="140"/>
      <c r="P40" s="140"/>
      <c r="Q40" s="140"/>
      <c r="R40" s="28"/>
      <c r="S40" s="28"/>
      <c r="T40" s="28"/>
      <c r="U40" s="28"/>
      <c r="V40" s="28"/>
      <c r="W40" s="28"/>
      <c r="X40" s="28"/>
      <c r="Y40" s="28"/>
      <c r="Z40" s="28"/>
    </row>
    <row r="41" ht="12.75" customHeight="1">
      <c r="A41" s="28"/>
      <c r="B41" s="28"/>
      <c r="C41" s="144"/>
      <c r="D41" s="144"/>
      <c r="E41" s="144"/>
      <c r="F41" s="144"/>
      <c r="G41" s="144"/>
      <c r="H41" s="145"/>
      <c r="I41" s="144"/>
      <c r="J41" s="28"/>
      <c r="K41" s="28"/>
      <c r="L41" s="28"/>
      <c r="M41" s="140"/>
      <c r="N41" s="140"/>
      <c r="O41" s="140"/>
      <c r="P41" s="140"/>
      <c r="Q41" s="140"/>
      <c r="R41" s="28"/>
      <c r="S41" s="28"/>
      <c r="T41" s="28"/>
      <c r="U41" s="28"/>
      <c r="V41" s="28"/>
      <c r="W41" s="28"/>
      <c r="X41" s="28"/>
      <c r="Y41" s="28"/>
      <c r="Z41" s="28"/>
    </row>
    <row r="42" ht="12.75" customHeight="1">
      <c r="A42" s="28"/>
      <c r="B42" s="28"/>
      <c r="C42" s="144"/>
      <c r="D42" s="144"/>
      <c r="E42" s="144"/>
      <c r="F42" s="144"/>
      <c r="G42" s="144"/>
      <c r="H42" s="145"/>
      <c r="I42" s="144"/>
      <c r="J42" s="28"/>
      <c r="K42" s="28"/>
      <c r="L42" s="28"/>
      <c r="M42" s="140"/>
      <c r="N42" s="140"/>
      <c r="O42" s="140"/>
      <c r="P42" s="140"/>
      <c r="Q42" s="140"/>
      <c r="R42" s="28"/>
      <c r="S42" s="28"/>
      <c r="T42" s="28"/>
      <c r="U42" s="28"/>
      <c r="V42" s="28"/>
      <c r="W42" s="28"/>
      <c r="X42" s="28"/>
      <c r="Y42" s="28"/>
      <c r="Z42" s="28"/>
    </row>
    <row r="43" ht="12.75" customHeight="1">
      <c r="A43" s="28"/>
      <c r="B43" s="28"/>
      <c r="C43" s="144"/>
      <c r="D43" s="144"/>
      <c r="E43" s="144"/>
      <c r="F43" s="144"/>
      <c r="G43" s="144"/>
      <c r="H43" s="145"/>
      <c r="I43" s="144"/>
      <c r="J43" s="28"/>
      <c r="K43" s="28"/>
      <c r="L43" s="28"/>
      <c r="M43" s="140"/>
      <c r="N43" s="140"/>
      <c r="O43" s="140"/>
      <c r="P43" s="140"/>
      <c r="Q43" s="140"/>
      <c r="R43" s="28"/>
      <c r="S43" s="28"/>
      <c r="T43" s="28"/>
      <c r="U43" s="28"/>
      <c r="V43" s="28"/>
      <c r="W43" s="28"/>
      <c r="X43" s="28"/>
      <c r="Y43" s="28"/>
      <c r="Z43" s="28"/>
    </row>
    <row r="44" ht="12.75" customHeight="1">
      <c r="A44" s="28"/>
      <c r="B44" s="28"/>
      <c r="C44" s="144"/>
      <c r="D44" s="144"/>
      <c r="E44" s="144"/>
      <c r="F44" s="144"/>
      <c r="G44" s="144"/>
      <c r="H44" s="145"/>
      <c r="I44" s="144"/>
      <c r="J44" s="28"/>
      <c r="K44" s="28"/>
      <c r="L44" s="28"/>
      <c r="M44" s="140"/>
      <c r="N44" s="140"/>
      <c r="O44" s="140"/>
      <c r="P44" s="140"/>
      <c r="Q44" s="140"/>
      <c r="R44" s="28"/>
      <c r="S44" s="28"/>
      <c r="T44" s="28"/>
      <c r="U44" s="28"/>
      <c r="V44" s="28"/>
      <c r="W44" s="28"/>
      <c r="X44" s="28"/>
      <c r="Y44" s="28"/>
      <c r="Z44" s="28"/>
    </row>
    <row r="45" ht="12.75" customHeight="1">
      <c r="A45" s="28"/>
      <c r="B45" s="28"/>
      <c r="C45" s="144"/>
      <c r="D45" s="144"/>
      <c r="E45" s="144"/>
      <c r="F45" s="144"/>
      <c r="G45" s="144"/>
      <c r="H45" s="145"/>
      <c r="I45" s="144"/>
      <c r="J45" s="28"/>
      <c r="K45" s="28"/>
      <c r="L45" s="28"/>
      <c r="M45" s="140"/>
      <c r="N45" s="140"/>
      <c r="O45" s="140"/>
      <c r="P45" s="140"/>
      <c r="Q45" s="140"/>
      <c r="R45" s="28"/>
      <c r="S45" s="28"/>
      <c r="T45" s="28"/>
      <c r="U45" s="28"/>
      <c r="V45" s="28"/>
      <c r="W45" s="28"/>
      <c r="X45" s="28"/>
      <c r="Y45" s="28"/>
      <c r="Z45" s="28"/>
    </row>
    <row r="46" ht="12.75" customHeight="1">
      <c r="A46" s="28"/>
      <c r="B46" s="28"/>
      <c r="C46" s="144"/>
      <c r="D46" s="144"/>
      <c r="E46" s="144"/>
      <c r="F46" s="144"/>
      <c r="G46" s="144"/>
      <c r="H46" s="145"/>
      <c r="I46" s="144"/>
      <c r="J46" s="28"/>
      <c r="K46" s="28"/>
      <c r="L46" s="28"/>
      <c r="M46" s="140"/>
      <c r="N46" s="140"/>
      <c r="O46" s="140"/>
      <c r="P46" s="140"/>
      <c r="Q46" s="140"/>
      <c r="R46" s="28"/>
      <c r="S46" s="28"/>
      <c r="T46" s="28"/>
      <c r="U46" s="28"/>
      <c r="V46" s="28"/>
      <c r="W46" s="28"/>
      <c r="X46" s="28"/>
      <c r="Y46" s="28"/>
      <c r="Z46" s="28"/>
    </row>
    <row r="47" ht="12.75" customHeight="1">
      <c r="A47" s="28"/>
      <c r="B47" s="28"/>
      <c r="C47" s="144"/>
      <c r="D47" s="144"/>
      <c r="E47" s="144"/>
      <c r="F47" s="144"/>
      <c r="G47" s="144"/>
      <c r="H47" s="145"/>
      <c r="I47" s="144"/>
      <c r="J47" s="28"/>
      <c r="K47" s="28"/>
      <c r="L47" s="28"/>
      <c r="M47" s="140"/>
      <c r="N47" s="140"/>
      <c r="O47" s="140"/>
      <c r="P47" s="140"/>
      <c r="Q47" s="140"/>
      <c r="R47" s="28"/>
      <c r="S47" s="28"/>
      <c r="T47" s="28"/>
      <c r="U47" s="28"/>
      <c r="V47" s="28"/>
      <c r="W47" s="28"/>
      <c r="X47" s="28"/>
      <c r="Y47" s="28"/>
      <c r="Z47" s="28"/>
    </row>
    <row r="48" ht="12.75" customHeight="1">
      <c r="A48" s="28"/>
      <c r="B48" s="28"/>
      <c r="C48" s="144"/>
      <c r="D48" s="144"/>
      <c r="E48" s="144"/>
      <c r="F48" s="144"/>
      <c r="G48" s="144"/>
      <c r="H48" s="145"/>
      <c r="I48" s="144"/>
      <c r="J48" s="28"/>
      <c r="K48" s="28"/>
      <c r="L48" s="28"/>
      <c r="M48" s="140"/>
      <c r="N48" s="140"/>
      <c r="O48" s="140"/>
      <c r="P48" s="140"/>
      <c r="Q48" s="140"/>
      <c r="R48" s="28"/>
      <c r="S48" s="28"/>
      <c r="T48" s="28"/>
      <c r="U48" s="28"/>
      <c r="V48" s="28"/>
      <c r="W48" s="28"/>
      <c r="X48" s="28"/>
      <c r="Y48" s="28"/>
      <c r="Z48" s="28"/>
    </row>
    <row r="49" ht="12.75" customHeight="1">
      <c r="A49" s="28"/>
      <c r="B49" s="28"/>
      <c r="C49" s="144"/>
      <c r="D49" s="144"/>
      <c r="E49" s="144"/>
      <c r="F49" s="144"/>
      <c r="G49" s="144"/>
      <c r="H49" s="145"/>
      <c r="I49" s="144"/>
      <c r="J49" s="28"/>
      <c r="K49" s="28"/>
      <c r="L49" s="28"/>
      <c r="M49" s="140"/>
      <c r="N49" s="140"/>
      <c r="O49" s="140"/>
      <c r="P49" s="140"/>
      <c r="Q49" s="140"/>
      <c r="R49" s="28"/>
      <c r="S49" s="28"/>
      <c r="T49" s="28"/>
      <c r="U49" s="28"/>
      <c r="V49" s="28"/>
      <c r="W49" s="28"/>
      <c r="X49" s="28"/>
      <c r="Y49" s="28"/>
      <c r="Z49" s="28"/>
    </row>
    <row r="50" ht="12.75" customHeight="1">
      <c r="A50" s="28"/>
      <c r="B50" s="28"/>
      <c r="C50" s="144"/>
      <c r="D50" s="144"/>
      <c r="E50" s="144"/>
      <c r="F50" s="144"/>
      <c r="G50" s="144"/>
      <c r="H50" s="145"/>
      <c r="I50" s="144"/>
      <c r="J50" s="28"/>
      <c r="K50" s="28"/>
      <c r="L50" s="28"/>
      <c r="M50" s="140"/>
      <c r="N50" s="140"/>
      <c r="O50" s="140"/>
      <c r="P50" s="140"/>
      <c r="Q50" s="140"/>
      <c r="R50" s="28"/>
      <c r="S50" s="28"/>
      <c r="T50" s="28"/>
      <c r="U50" s="28"/>
      <c r="V50" s="28"/>
      <c r="W50" s="28"/>
      <c r="X50" s="28"/>
      <c r="Y50" s="28"/>
      <c r="Z50" s="28"/>
    </row>
    <row r="51" ht="12.75" customHeight="1">
      <c r="A51" s="28"/>
      <c r="B51" s="28"/>
      <c r="C51" s="144"/>
      <c r="D51" s="144"/>
      <c r="E51" s="144"/>
      <c r="F51" s="144"/>
      <c r="G51" s="144"/>
      <c r="H51" s="145"/>
      <c r="I51" s="144"/>
      <c r="J51" s="28"/>
      <c r="K51" s="28"/>
      <c r="L51" s="28"/>
      <c r="M51" s="140"/>
      <c r="N51" s="140"/>
      <c r="O51" s="140"/>
      <c r="P51" s="140"/>
      <c r="Q51" s="140"/>
      <c r="R51" s="28"/>
      <c r="S51" s="28"/>
      <c r="T51" s="28"/>
      <c r="U51" s="28"/>
      <c r="V51" s="28"/>
      <c r="W51" s="28"/>
      <c r="X51" s="28"/>
      <c r="Y51" s="28"/>
      <c r="Z51" s="28"/>
    </row>
    <row r="52" ht="12.75" customHeight="1">
      <c r="A52" s="28"/>
      <c r="B52" s="28"/>
      <c r="C52" s="144"/>
      <c r="D52" s="144"/>
      <c r="E52" s="144"/>
      <c r="F52" s="144"/>
      <c r="G52" s="144"/>
      <c r="H52" s="145"/>
      <c r="I52" s="144"/>
      <c r="J52" s="28"/>
      <c r="K52" s="28"/>
      <c r="L52" s="28"/>
      <c r="M52" s="140"/>
      <c r="N52" s="140"/>
      <c r="O52" s="140"/>
      <c r="P52" s="140"/>
      <c r="Q52" s="140"/>
      <c r="R52" s="28"/>
      <c r="S52" s="28"/>
      <c r="T52" s="28"/>
      <c r="U52" s="28"/>
      <c r="V52" s="28"/>
      <c r="W52" s="28"/>
      <c r="X52" s="28"/>
      <c r="Y52" s="28"/>
      <c r="Z52" s="28"/>
    </row>
    <row r="53" ht="12.75" customHeight="1">
      <c r="A53" s="28"/>
      <c r="B53" s="28"/>
      <c r="C53" s="144"/>
      <c r="D53" s="144"/>
      <c r="E53" s="144"/>
      <c r="F53" s="144"/>
      <c r="G53" s="144"/>
      <c r="H53" s="145"/>
      <c r="I53" s="144"/>
      <c r="J53" s="28"/>
      <c r="K53" s="28"/>
      <c r="L53" s="28"/>
      <c r="M53" s="140"/>
      <c r="N53" s="140"/>
      <c r="O53" s="140"/>
      <c r="P53" s="140"/>
      <c r="Q53" s="140"/>
      <c r="R53" s="28"/>
      <c r="S53" s="28"/>
      <c r="T53" s="28"/>
      <c r="U53" s="28"/>
      <c r="V53" s="28"/>
      <c r="W53" s="28"/>
      <c r="X53" s="28"/>
      <c r="Y53" s="28"/>
      <c r="Z53" s="28"/>
    </row>
    <row r="54" ht="12.75" customHeight="1">
      <c r="A54" s="28"/>
      <c r="B54" s="28"/>
      <c r="C54" s="144"/>
      <c r="D54" s="144"/>
      <c r="E54" s="144"/>
      <c r="F54" s="144"/>
      <c r="G54" s="144"/>
      <c r="H54" s="145"/>
      <c r="I54" s="144"/>
      <c r="J54" s="28"/>
      <c r="K54" s="28"/>
      <c r="L54" s="28"/>
      <c r="M54" s="140"/>
      <c r="N54" s="140"/>
      <c r="O54" s="140"/>
      <c r="P54" s="140"/>
      <c r="Q54" s="140"/>
      <c r="R54" s="28"/>
      <c r="S54" s="28"/>
      <c r="T54" s="28"/>
      <c r="U54" s="28"/>
      <c r="V54" s="28"/>
      <c r="W54" s="28"/>
      <c r="X54" s="28"/>
      <c r="Y54" s="28"/>
      <c r="Z54" s="28"/>
    </row>
    <row r="55" ht="12.75" customHeight="1">
      <c r="A55" s="28"/>
      <c r="B55" s="28"/>
      <c r="C55" s="144"/>
      <c r="D55" s="144"/>
      <c r="E55" s="144"/>
      <c r="F55" s="144"/>
      <c r="G55" s="144"/>
      <c r="H55" s="145"/>
      <c r="I55" s="144"/>
      <c r="J55" s="28"/>
      <c r="K55" s="28"/>
      <c r="L55" s="28"/>
      <c r="M55" s="140"/>
      <c r="N55" s="140"/>
      <c r="O55" s="140"/>
      <c r="P55" s="140"/>
      <c r="Q55" s="140"/>
      <c r="R55" s="28"/>
      <c r="S55" s="28"/>
      <c r="T55" s="28"/>
      <c r="U55" s="28"/>
      <c r="V55" s="28"/>
      <c r="W55" s="28"/>
      <c r="X55" s="28"/>
      <c r="Y55" s="28"/>
      <c r="Z55" s="28"/>
    </row>
    <row r="56" ht="12.75" customHeight="1">
      <c r="A56" s="28"/>
      <c r="B56" s="28"/>
      <c r="C56" s="144"/>
      <c r="D56" s="144"/>
      <c r="E56" s="144"/>
      <c r="F56" s="144"/>
      <c r="G56" s="144"/>
      <c r="H56" s="145"/>
      <c r="I56" s="144"/>
      <c r="J56" s="28"/>
      <c r="K56" s="28"/>
      <c r="L56" s="28"/>
      <c r="M56" s="140"/>
      <c r="N56" s="140"/>
      <c r="O56" s="140"/>
      <c r="P56" s="140"/>
      <c r="Q56" s="140"/>
      <c r="R56" s="28"/>
      <c r="S56" s="28"/>
      <c r="T56" s="28"/>
      <c r="U56" s="28"/>
      <c r="V56" s="28"/>
      <c r="W56" s="28"/>
      <c r="X56" s="28"/>
      <c r="Y56" s="28"/>
      <c r="Z56" s="28"/>
    </row>
    <row r="57" ht="12.75" customHeight="1">
      <c r="A57" s="28"/>
      <c r="B57" s="28"/>
      <c r="C57" s="144"/>
      <c r="D57" s="144"/>
      <c r="E57" s="144"/>
      <c r="F57" s="144"/>
      <c r="G57" s="144"/>
      <c r="H57" s="145"/>
      <c r="I57" s="144"/>
      <c r="J57" s="28"/>
      <c r="K57" s="28"/>
      <c r="L57" s="28"/>
      <c r="M57" s="140"/>
      <c r="N57" s="140"/>
      <c r="O57" s="140"/>
      <c r="P57" s="140"/>
      <c r="Q57" s="140"/>
      <c r="R57" s="28"/>
      <c r="S57" s="28"/>
      <c r="T57" s="28"/>
      <c r="U57" s="28"/>
      <c r="V57" s="28"/>
      <c r="W57" s="28"/>
      <c r="X57" s="28"/>
      <c r="Y57" s="28"/>
      <c r="Z57" s="28"/>
    </row>
    <row r="58" ht="12.75" customHeight="1">
      <c r="A58" s="28"/>
      <c r="B58" s="28"/>
      <c r="C58" s="144"/>
      <c r="D58" s="144"/>
      <c r="E58" s="144"/>
      <c r="F58" s="144"/>
      <c r="G58" s="144"/>
      <c r="H58" s="145"/>
      <c r="I58" s="144"/>
      <c r="J58" s="28"/>
      <c r="K58" s="28"/>
      <c r="L58" s="28"/>
      <c r="M58" s="140"/>
      <c r="N58" s="140"/>
      <c r="O58" s="140"/>
      <c r="P58" s="140"/>
      <c r="Q58" s="140"/>
      <c r="R58" s="28"/>
      <c r="S58" s="28"/>
      <c r="T58" s="28"/>
      <c r="U58" s="28"/>
      <c r="V58" s="28"/>
      <c r="W58" s="28"/>
      <c r="X58" s="28"/>
      <c r="Y58" s="28"/>
      <c r="Z58" s="28"/>
    </row>
    <row r="59" ht="12.75" customHeight="1">
      <c r="A59" s="28"/>
      <c r="B59" s="28"/>
      <c r="C59" s="144"/>
      <c r="D59" s="144"/>
      <c r="E59" s="144"/>
      <c r="F59" s="144"/>
      <c r="G59" s="144"/>
      <c r="H59" s="145"/>
      <c r="I59" s="144"/>
      <c r="J59" s="28"/>
      <c r="K59" s="28"/>
      <c r="L59" s="28"/>
      <c r="M59" s="140"/>
      <c r="N59" s="140"/>
      <c r="O59" s="140"/>
      <c r="P59" s="140"/>
      <c r="Q59" s="140"/>
      <c r="R59" s="28"/>
      <c r="S59" s="28"/>
      <c r="T59" s="28"/>
      <c r="U59" s="28"/>
      <c r="V59" s="28"/>
      <c r="W59" s="28"/>
      <c r="X59" s="28"/>
      <c r="Y59" s="28"/>
      <c r="Z59" s="28"/>
    </row>
    <row r="60" ht="12.75" customHeight="1">
      <c r="A60" s="28"/>
      <c r="B60" s="28"/>
      <c r="C60" s="144"/>
      <c r="D60" s="144"/>
      <c r="E60" s="144"/>
      <c r="F60" s="144"/>
      <c r="G60" s="144"/>
      <c r="H60" s="145"/>
      <c r="I60" s="144"/>
      <c r="J60" s="28"/>
      <c r="K60" s="28"/>
      <c r="L60" s="28"/>
      <c r="M60" s="140"/>
      <c r="N60" s="140"/>
      <c r="O60" s="140"/>
      <c r="P60" s="140"/>
      <c r="Q60" s="140"/>
      <c r="R60" s="28"/>
      <c r="S60" s="28"/>
      <c r="T60" s="28"/>
      <c r="U60" s="28"/>
      <c r="V60" s="28"/>
      <c r="W60" s="28"/>
      <c r="X60" s="28"/>
      <c r="Y60" s="28"/>
      <c r="Z60" s="28"/>
    </row>
    <row r="61" ht="12.75" customHeight="1">
      <c r="A61" s="28"/>
      <c r="B61" s="28"/>
      <c r="C61" s="144"/>
      <c r="D61" s="144"/>
      <c r="E61" s="144"/>
      <c r="F61" s="144"/>
      <c r="G61" s="144"/>
      <c r="H61" s="145"/>
      <c r="I61" s="144"/>
      <c r="J61" s="28"/>
      <c r="K61" s="28"/>
      <c r="L61" s="28"/>
      <c r="M61" s="140"/>
      <c r="N61" s="140"/>
      <c r="O61" s="140"/>
      <c r="P61" s="140"/>
      <c r="Q61" s="140"/>
      <c r="R61" s="28"/>
      <c r="S61" s="28"/>
      <c r="T61" s="28"/>
      <c r="U61" s="28"/>
      <c r="V61" s="28"/>
      <c r="W61" s="28"/>
      <c r="X61" s="28"/>
      <c r="Y61" s="28"/>
      <c r="Z61" s="28"/>
    </row>
    <row r="62" ht="12.75" customHeight="1">
      <c r="A62" s="28"/>
      <c r="B62" s="28"/>
      <c r="C62" s="144"/>
      <c r="D62" s="144"/>
      <c r="E62" s="144"/>
      <c r="F62" s="144"/>
      <c r="G62" s="144"/>
      <c r="H62" s="145"/>
      <c r="I62" s="144"/>
      <c r="J62" s="28"/>
      <c r="K62" s="28"/>
      <c r="L62" s="28"/>
      <c r="M62" s="140"/>
      <c r="N62" s="140"/>
      <c r="O62" s="140"/>
      <c r="P62" s="140"/>
      <c r="Q62" s="140"/>
      <c r="R62" s="28"/>
      <c r="S62" s="28"/>
      <c r="T62" s="28"/>
      <c r="U62" s="28"/>
      <c r="V62" s="28"/>
      <c r="W62" s="28"/>
      <c r="X62" s="28"/>
      <c r="Y62" s="28"/>
      <c r="Z62" s="28"/>
    </row>
    <row r="63" ht="12.75" customHeight="1">
      <c r="A63" s="28"/>
      <c r="B63" s="28"/>
      <c r="C63" s="144"/>
      <c r="D63" s="144"/>
      <c r="E63" s="144"/>
      <c r="F63" s="144"/>
      <c r="G63" s="144"/>
      <c r="H63" s="145"/>
      <c r="I63" s="144"/>
      <c r="J63" s="28"/>
      <c r="K63" s="28"/>
      <c r="L63" s="28"/>
      <c r="M63" s="140"/>
      <c r="N63" s="140"/>
      <c r="O63" s="140"/>
      <c r="P63" s="140"/>
      <c r="Q63" s="140"/>
      <c r="R63" s="28"/>
      <c r="S63" s="28"/>
      <c r="T63" s="28"/>
      <c r="U63" s="28"/>
      <c r="V63" s="28"/>
      <c r="W63" s="28"/>
      <c r="X63" s="28"/>
      <c r="Y63" s="28"/>
      <c r="Z63" s="28"/>
    </row>
    <row r="64" ht="12.75" customHeight="1">
      <c r="A64" s="28"/>
      <c r="B64" s="28"/>
      <c r="C64" s="144"/>
      <c r="D64" s="144"/>
      <c r="E64" s="144"/>
      <c r="F64" s="144"/>
      <c r="G64" s="144"/>
      <c r="H64" s="145"/>
      <c r="I64" s="144"/>
      <c r="J64" s="28"/>
      <c r="K64" s="28"/>
      <c r="L64" s="28"/>
      <c r="M64" s="140"/>
      <c r="N64" s="140"/>
      <c r="O64" s="140"/>
      <c r="P64" s="140"/>
      <c r="Q64" s="140"/>
      <c r="R64" s="28"/>
      <c r="S64" s="28"/>
      <c r="T64" s="28"/>
      <c r="U64" s="28"/>
      <c r="V64" s="28"/>
      <c r="W64" s="28"/>
      <c r="X64" s="28"/>
      <c r="Y64" s="28"/>
      <c r="Z64" s="28"/>
    </row>
    <row r="65" ht="12.75" customHeight="1">
      <c r="A65" s="28"/>
      <c r="B65" s="28"/>
      <c r="C65" s="144"/>
      <c r="D65" s="144"/>
      <c r="E65" s="144"/>
      <c r="F65" s="144"/>
      <c r="G65" s="144"/>
      <c r="H65" s="145"/>
      <c r="I65" s="144"/>
      <c r="J65" s="28"/>
      <c r="K65" s="28"/>
      <c r="L65" s="28"/>
      <c r="M65" s="140"/>
      <c r="N65" s="140"/>
      <c r="O65" s="140"/>
      <c r="P65" s="140"/>
      <c r="Q65" s="140"/>
      <c r="R65" s="28"/>
      <c r="S65" s="28"/>
      <c r="T65" s="28"/>
      <c r="U65" s="28"/>
      <c r="V65" s="28"/>
      <c r="W65" s="28"/>
      <c r="X65" s="28"/>
      <c r="Y65" s="28"/>
      <c r="Z65" s="28"/>
    </row>
    <row r="66" ht="12.75" customHeight="1">
      <c r="A66" s="28"/>
      <c r="B66" s="28"/>
      <c r="C66" s="144"/>
      <c r="D66" s="144"/>
      <c r="E66" s="144"/>
      <c r="F66" s="144"/>
      <c r="G66" s="144"/>
      <c r="H66" s="145"/>
      <c r="I66" s="144"/>
      <c r="J66" s="28"/>
      <c r="K66" s="28"/>
      <c r="L66" s="28"/>
      <c r="M66" s="140"/>
      <c r="N66" s="140"/>
      <c r="O66" s="140"/>
      <c r="P66" s="140"/>
      <c r="Q66" s="140"/>
      <c r="R66" s="28"/>
      <c r="S66" s="28"/>
      <c r="T66" s="28"/>
      <c r="U66" s="28"/>
      <c r="V66" s="28"/>
      <c r="W66" s="28"/>
      <c r="X66" s="28"/>
      <c r="Y66" s="28"/>
      <c r="Z66" s="28"/>
    </row>
    <row r="67" ht="12.75" customHeight="1">
      <c r="A67" s="28"/>
      <c r="B67" s="28"/>
      <c r="C67" s="144"/>
      <c r="D67" s="144"/>
      <c r="E67" s="144"/>
      <c r="F67" s="144"/>
      <c r="G67" s="144"/>
      <c r="H67" s="145"/>
      <c r="I67" s="144"/>
      <c r="J67" s="28"/>
      <c r="K67" s="28"/>
      <c r="L67" s="28"/>
      <c r="M67" s="140"/>
      <c r="N67" s="140"/>
      <c r="O67" s="140"/>
      <c r="P67" s="140"/>
      <c r="Q67" s="140"/>
      <c r="R67" s="28"/>
      <c r="S67" s="28"/>
      <c r="T67" s="28"/>
      <c r="U67" s="28"/>
      <c r="V67" s="28"/>
      <c r="W67" s="28"/>
      <c r="X67" s="28"/>
      <c r="Y67" s="28"/>
      <c r="Z67" s="28"/>
    </row>
    <row r="68" ht="12.75" customHeight="1">
      <c r="A68" s="28"/>
      <c r="B68" s="28"/>
      <c r="C68" s="144"/>
      <c r="D68" s="144"/>
      <c r="E68" s="144"/>
      <c r="F68" s="144"/>
      <c r="G68" s="144"/>
      <c r="H68" s="145"/>
      <c r="I68" s="144"/>
      <c r="J68" s="28"/>
      <c r="K68" s="28"/>
      <c r="L68" s="28"/>
      <c r="M68" s="140"/>
      <c r="N68" s="140"/>
      <c r="O68" s="140"/>
      <c r="P68" s="140"/>
      <c r="Q68" s="140"/>
      <c r="R68" s="28"/>
      <c r="S68" s="28"/>
      <c r="T68" s="28"/>
      <c r="U68" s="28"/>
      <c r="V68" s="28"/>
      <c r="W68" s="28"/>
      <c r="X68" s="28"/>
      <c r="Y68" s="28"/>
      <c r="Z68" s="28"/>
    </row>
    <row r="69" ht="12.75" customHeight="1">
      <c r="A69" s="28"/>
      <c r="B69" s="28"/>
      <c r="C69" s="144"/>
      <c r="D69" s="144"/>
      <c r="E69" s="144"/>
      <c r="F69" s="144"/>
      <c r="G69" s="144"/>
      <c r="H69" s="145"/>
      <c r="I69" s="144"/>
      <c r="J69" s="28"/>
      <c r="K69" s="28"/>
      <c r="L69" s="28"/>
      <c r="M69" s="140"/>
      <c r="N69" s="140"/>
      <c r="O69" s="140"/>
      <c r="P69" s="140"/>
      <c r="Q69" s="140"/>
      <c r="R69" s="28"/>
      <c r="S69" s="28"/>
      <c r="T69" s="28"/>
      <c r="U69" s="28"/>
      <c r="V69" s="28"/>
      <c r="W69" s="28"/>
      <c r="X69" s="28"/>
      <c r="Y69" s="28"/>
      <c r="Z69" s="28"/>
    </row>
    <row r="70" ht="12.75" customHeight="1">
      <c r="A70" s="28"/>
      <c r="B70" s="28"/>
      <c r="C70" s="144"/>
      <c r="D70" s="144"/>
      <c r="E70" s="144"/>
      <c r="F70" s="144"/>
      <c r="G70" s="144"/>
      <c r="H70" s="145"/>
      <c r="I70" s="144"/>
      <c r="J70" s="28"/>
      <c r="K70" s="28"/>
      <c r="L70" s="28"/>
      <c r="M70" s="140"/>
      <c r="N70" s="140"/>
      <c r="O70" s="140"/>
      <c r="P70" s="140"/>
      <c r="Q70" s="140"/>
      <c r="R70" s="28"/>
      <c r="S70" s="28"/>
      <c r="T70" s="28"/>
      <c r="U70" s="28"/>
      <c r="V70" s="28"/>
      <c r="W70" s="28"/>
      <c r="X70" s="28"/>
      <c r="Y70" s="28"/>
      <c r="Z70" s="28"/>
    </row>
    <row r="71" ht="12.75" customHeight="1">
      <c r="A71" s="28"/>
      <c r="B71" s="28"/>
      <c r="C71" s="144"/>
      <c r="D71" s="144"/>
      <c r="E71" s="144"/>
      <c r="F71" s="144"/>
      <c r="G71" s="144"/>
      <c r="H71" s="145"/>
      <c r="I71" s="144"/>
      <c r="J71" s="28"/>
      <c r="K71" s="28"/>
      <c r="L71" s="28"/>
      <c r="M71" s="140"/>
      <c r="N71" s="140"/>
      <c r="O71" s="140"/>
      <c r="P71" s="140"/>
      <c r="Q71" s="140"/>
      <c r="R71" s="28"/>
      <c r="S71" s="28"/>
      <c r="T71" s="28"/>
      <c r="U71" s="28"/>
      <c r="V71" s="28"/>
      <c r="W71" s="28"/>
      <c r="X71" s="28"/>
      <c r="Y71" s="28"/>
      <c r="Z71" s="28"/>
    </row>
    <row r="72" ht="12.75" customHeight="1">
      <c r="A72" s="28"/>
      <c r="B72" s="28"/>
      <c r="C72" s="144"/>
      <c r="D72" s="144"/>
      <c r="E72" s="144"/>
      <c r="F72" s="144"/>
      <c r="G72" s="144"/>
      <c r="H72" s="145"/>
      <c r="I72" s="144"/>
      <c r="J72" s="28"/>
      <c r="K72" s="28"/>
      <c r="L72" s="28"/>
      <c r="M72" s="140"/>
      <c r="N72" s="140"/>
      <c r="O72" s="140"/>
      <c r="P72" s="140"/>
      <c r="Q72" s="140"/>
      <c r="R72" s="28"/>
      <c r="S72" s="28"/>
      <c r="T72" s="28"/>
      <c r="U72" s="28"/>
      <c r="V72" s="28"/>
      <c r="W72" s="28"/>
      <c r="X72" s="28"/>
      <c r="Y72" s="28"/>
      <c r="Z72" s="28"/>
    </row>
    <row r="73" ht="12.75" customHeight="1">
      <c r="A73" s="28"/>
      <c r="B73" s="28"/>
      <c r="C73" s="144"/>
      <c r="D73" s="144"/>
      <c r="E73" s="144"/>
      <c r="F73" s="144"/>
      <c r="G73" s="144"/>
      <c r="H73" s="145"/>
      <c r="I73" s="144"/>
      <c r="J73" s="28"/>
      <c r="K73" s="28"/>
      <c r="L73" s="28"/>
      <c r="M73" s="140"/>
      <c r="N73" s="140"/>
      <c r="O73" s="140"/>
      <c r="P73" s="140"/>
      <c r="Q73" s="140"/>
      <c r="R73" s="28"/>
      <c r="S73" s="28"/>
      <c r="T73" s="28"/>
      <c r="U73" s="28"/>
      <c r="V73" s="28"/>
      <c r="W73" s="28"/>
      <c r="X73" s="28"/>
      <c r="Y73" s="28"/>
      <c r="Z73" s="28"/>
    </row>
    <row r="74" ht="12.75" customHeight="1">
      <c r="A74" s="28"/>
      <c r="B74" s="28"/>
      <c r="C74" s="144"/>
      <c r="D74" s="144"/>
      <c r="E74" s="144"/>
      <c r="F74" s="144"/>
      <c r="G74" s="144"/>
      <c r="H74" s="145"/>
      <c r="I74" s="144"/>
      <c r="J74" s="28"/>
      <c r="K74" s="28"/>
      <c r="L74" s="28"/>
      <c r="M74" s="140"/>
      <c r="N74" s="140"/>
      <c r="O74" s="140"/>
      <c r="P74" s="140"/>
      <c r="Q74" s="140"/>
      <c r="R74" s="28"/>
      <c r="S74" s="28"/>
      <c r="T74" s="28"/>
      <c r="U74" s="28"/>
      <c r="V74" s="28"/>
      <c r="W74" s="28"/>
      <c r="X74" s="28"/>
      <c r="Y74" s="28"/>
      <c r="Z74" s="28"/>
    </row>
    <row r="75" ht="12.75" customHeight="1">
      <c r="A75" s="28"/>
      <c r="B75" s="28"/>
      <c r="C75" s="144"/>
      <c r="D75" s="144"/>
      <c r="E75" s="144"/>
      <c r="F75" s="144"/>
      <c r="G75" s="144"/>
      <c r="H75" s="145"/>
      <c r="I75" s="144"/>
      <c r="J75" s="28"/>
      <c r="K75" s="28"/>
      <c r="L75" s="28"/>
      <c r="M75" s="140"/>
      <c r="N75" s="140"/>
      <c r="O75" s="140"/>
      <c r="P75" s="140"/>
      <c r="Q75" s="140"/>
      <c r="R75" s="28"/>
      <c r="S75" s="28"/>
      <c r="T75" s="28"/>
      <c r="U75" s="28"/>
      <c r="V75" s="28"/>
      <c r="W75" s="28"/>
      <c r="X75" s="28"/>
      <c r="Y75" s="28"/>
      <c r="Z75" s="28"/>
    </row>
    <row r="76" ht="12.75" customHeight="1">
      <c r="A76" s="28"/>
      <c r="B76" s="28"/>
      <c r="C76" s="144"/>
      <c r="D76" s="144"/>
      <c r="E76" s="144"/>
      <c r="F76" s="144"/>
      <c r="G76" s="144"/>
      <c r="H76" s="145"/>
      <c r="I76" s="144"/>
      <c r="J76" s="28"/>
      <c r="K76" s="28"/>
      <c r="L76" s="28"/>
      <c r="M76" s="140"/>
      <c r="N76" s="140"/>
      <c r="O76" s="140"/>
      <c r="P76" s="140"/>
      <c r="Q76" s="140"/>
      <c r="R76" s="28"/>
      <c r="S76" s="28"/>
      <c r="T76" s="28"/>
      <c r="U76" s="28"/>
      <c r="V76" s="28"/>
      <c r="W76" s="28"/>
      <c r="X76" s="28"/>
      <c r="Y76" s="28"/>
      <c r="Z76" s="28"/>
    </row>
    <row r="77" ht="12.75" customHeight="1">
      <c r="A77" s="28"/>
      <c r="B77" s="28"/>
      <c r="C77" s="144"/>
      <c r="D77" s="144"/>
      <c r="E77" s="144"/>
      <c r="F77" s="144"/>
      <c r="G77" s="144"/>
      <c r="H77" s="145"/>
      <c r="I77" s="144"/>
      <c r="J77" s="28"/>
      <c r="K77" s="28"/>
      <c r="L77" s="28"/>
      <c r="M77" s="140"/>
      <c r="N77" s="140"/>
      <c r="O77" s="140"/>
      <c r="P77" s="140"/>
      <c r="Q77" s="140"/>
      <c r="R77" s="28"/>
      <c r="S77" s="28"/>
      <c r="T77" s="28"/>
      <c r="U77" s="28"/>
      <c r="V77" s="28"/>
      <c r="W77" s="28"/>
      <c r="X77" s="28"/>
      <c r="Y77" s="28"/>
      <c r="Z77" s="28"/>
    </row>
    <row r="78" ht="12.75" customHeight="1">
      <c r="A78" s="28"/>
      <c r="B78" s="28"/>
      <c r="C78" s="144"/>
      <c r="D78" s="144"/>
      <c r="E78" s="144"/>
      <c r="F78" s="144"/>
      <c r="G78" s="144"/>
      <c r="H78" s="145"/>
      <c r="I78" s="144"/>
      <c r="J78" s="28"/>
      <c r="K78" s="28"/>
      <c r="L78" s="28"/>
      <c r="M78" s="140"/>
      <c r="N78" s="140"/>
      <c r="O78" s="140"/>
      <c r="P78" s="140"/>
      <c r="Q78" s="140"/>
      <c r="R78" s="28"/>
      <c r="S78" s="28"/>
      <c r="T78" s="28"/>
      <c r="U78" s="28"/>
      <c r="V78" s="28"/>
      <c r="W78" s="28"/>
      <c r="X78" s="28"/>
      <c r="Y78" s="28"/>
      <c r="Z78" s="28"/>
    </row>
    <row r="79" ht="12.75" customHeight="1">
      <c r="A79" s="28"/>
      <c r="B79" s="28"/>
      <c r="C79" s="144"/>
      <c r="D79" s="144"/>
      <c r="E79" s="144"/>
      <c r="F79" s="144"/>
      <c r="G79" s="144"/>
      <c r="H79" s="145"/>
      <c r="I79" s="144"/>
      <c r="J79" s="28"/>
      <c r="K79" s="28"/>
      <c r="L79" s="28"/>
      <c r="M79" s="140"/>
      <c r="N79" s="140"/>
      <c r="O79" s="140"/>
      <c r="P79" s="140"/>
      <c r="Q79" s="140"/>
      <c r="R79" s="28"/>
      <c r="S79" s="28"/>
      <c r="T79" s="28"/>
      <c r="U79" s="28"/>
      <c r="V79" s="28"/>
      <c r="W79" s="28"/>
      <c r="X79" s="28"/>
      <c r="Y79" s="28"/>
      <c r="Z79" s="28"/>
    </row>
    <row r="80" ht="12.75" customHeight="1">
      <c r="A80" s="28"/>
      <c r="B80" s="28"/>
      <c r="C80" s="144"/>
      <c r="D80" s="144"/>
      <c r="E80" s="144"/>
      <c r="F80" s="144"/>
      <c r="G80" s="144"/>
      <c r="H80" s="145"/>
      <c r="I80" s="144"/>
      <c r="J80" s="28"/>
      <c r="K80" s="28"/>
      <c r="L80" s="28"/>
      <c r="M80" s="140"/>
      <c r="N80" s="140"/>
      <c r="O80" s="140"/>
      <c r="P80" s="140"/>
      <c r="Q80" s="140"/>
      <c r="R80" s="28"/>
      <c r="S80" s="28"/>
      <c r="T80" s="28"/>
      <c r="U80" s="28"/>
      <c r="V80" s="28"/>
      <c r="W80" s="28"/>
      <c r="X80" s="28"/>
      <c r="Y80" s="28"/>
      <c r="Z80" s="28"/>
    </row>
    <row r="81" ht="12.75" customHeight="1">
      <c r="A81" s="28"/>
      <c r="B81" s="28"/>
      <c r="C81" s="144"/>
      <c r="D81" s="144"/>
      <c r="E81" s="144"/>
      <c r="F81" s="144"/>
      <c r="G81" s="144"/>
      <c r="H81" s="145"/>
      <c r="I81" s="144"/>
      <c r="J81" s="28"/>
      <c r="K81" s="28"/>
      <c r="L81" s="28"/>
      <c r="M81" s="140"/>
      <c r="N81" s="140"/>
      <c r="O81" s="140"/>
      <c r="P81" s="140"/>
      <c r="Q81" s="140"/>
      <c r="R81" s="28"/>
      <c r="S81" s="28"/>
      <c r="T81" s="28"/>
      <c r="U81" s="28"/>
      <c r="V81" s="28"/>
      <c r="W81" s="28"/>
      <c r="X81" s="28"/>
      <c r="Y81" s="28"/>
      <c r="Z81" s="28"/>
    </row>
    <row r="82" ht="12.75" customHeight="1">
      <c r="A82" s="28"/>
      <c r="B82" s="28"/>
      <c r="C82" s="144"/>
      <c r="D82" s="144"/>
      <c r="E82" s="144"/>
      <c r="F82" s="144"/>
      <c r="G82" s="144"/>
      <c r="H82" s="145"/>
      <c r="I82" s="144"/>
      <c r="J82" s="28"/>
      <c r="K82" s="28"/>
      <c r="L82" s="28"/>
      <c r="M82" s="140"/>
      <c r="N82" s="140"/>
      <c r="O82" s="140"/>
      <c r="P82" s="140"/>
      <c r="Q82" s="140"/>
      <c r="R82" s="28"/>
      <c r="S82" s="28"/>
      <c r="T82" s="28"/>
      <c r="U82" s="28"/>
      <c r="V82" s="28"/>
      <c r="W82" s="28"/>
      <c r="X82" s="28"/>
      <c r="Y82" s="28"/>
      <c r="Z82" s="28"/>
    </row>
    <row r="83" ht="12.75" customHeight="1">
      <c r="A83" s="28"/>
      <c r="B83" s="28"/>
      <c r="C83" s="144"/>
      <c r="D83" s="144"/>
      <c r="E83" s="144"/>
      <c r="F83" s="144"/>
      <c r="G83" s="144"/>
      <c r="H83" s="145"/>
      <c r="I83" s="144"/>
      <c r="J83" s="28"/>
      <c r="K83" s="28"/>
      <c r="L83" s="28"/>
      <c r="M83" s="140"/>
      <c r="N83" s="140"/>
      <c r="O83" s="140"/>
      <c r="P83" s="140"/>
      <c r="Q83" s="140"/>
      <c r="R83" s="28"/>
      <c r="S83" s="28"/>
      <c r="T83" s="28"/>
      <c r="U83" s="28"/>
      <c r="V83" s="28"/>
      <c r="W83" s="28"/>
      <c r="X83" s="28"/>
      <c r="Y83" s="28"/>
      <c r="Z83" s="28"/>
    </row>
    <row r="84" ht="12.75" customHeight="1">
      <c r="A84" s="28"/>
      <c r="B84" s="28"/>
      <c r="C84" s="144"/>
      <c r="D84" s="144"/>
      <c r="E84" s="144"/>
      <c r="F84" s="144"/>
      <c r="G84" s="144"/>
      <c r="H84" s="145"/>
      <c r="I84" s="144"/>
      <c r="J84" s="28"/>
      <c r="K84" s="28"/>
      <c r="L84" s="28"/>
      <c r="M84" s="140"/>
      <c r="N84" s="140"/>
      <c r="O84" s="140"/>
      <c r="P84" s="140"/>
      <c r="Q84" s="140"/>
      <c r="R84" s="28"/>
      <c r="S84" s="28"/>
      <c r="T84" s="28"/>
      <c r="U84" s="28"/>
      <c r="V84" s="28"/>
      <c r="W84" s="28"/>
      <c r="X84" s="28"/>
      <c r="Y84" s="28"/>
      <c r="Z84" s="28"/>
    </row>
    <row r="85" ht="12.75" customHeight="1">
      <c r="A85" s="28"/>
      <c r="B85" s="28"/>
      <c r="C85" s="144"/>
      <c r="D85" s="144"/>
      <c r="E85" s="144"/>
      <c r="F85" s="144"/>
      <c r="G85" s="144"/>
      <c r="H85" s="145"/>
      <c r="I85" s="144"/>
      <c r="J85" s="28"/>
      <c r="K85" s="28"/>
      <c r="L85" s="28"/>
      <c r="M85" s="140"/>
      <c r="N85" s="140"/>
      <c r="O85" s="140"/>
      <c r="P85" s="140"/>
      <c r="Q85" s="140"/>
      <c r="R85" s="28"/>
      <c r="S85" s="28"/>
      <c r="T85" s="28"/>
      <c r="U85" s="28"/>
      <c r="V85" s="28"/>
      <c r="W85" s="28"/>
      <c r="X85" s="28"/>
      <c r="Y85" s="28"/>
      <c r="Z85" s="28"/>
    </row>
    <row r="86" ht="12.75" customHeight="1">
      <c r="A86" s="28"/>
      <c r="B86" s="28"/>
      <c r="C86" s="144"/>
      <c r="D86" s="144"/>
      <c r="E86" s="144"/>
      <c r="F86" s="144"/>
      <c r="G86" s="144"/>
      <c r="H86" s="145"/>
      <c r="I86" s="144"/>
      <c r="J86" s="28"/>
      <c r="K86" s="28"/>
      <c r="L86" s="28"/>
      <c r="M86" s="140"/>
      <c r="N86" s="140"/>
      <c r="O86" s="140"/>
      <c r="P86" s="140"/>
      <c r="Q86" s="140"/>
      <c r="R86" s="28"/>
      <c r="S86" s="28"/>
      <c r="T86" s="28"/>
      <c r="U86" s="28"/>
      <c r="V86" s="28"/>
      <c r="W86" s="28"/>
      <c r="X86" s="28"/>
      <c r="Y86" s="28"/>
      <c r="Z86" s="28"/>
    </row>
    <row r="87" ht="12.75" customHeight="1">
      <c r="A87" s="28"/>
      <c r="B87" s="28"/>
      <c r="C87" s="144"/>
      <c r="D87" s="144"/>
      <c r="E87" s="144"/>
      <c r="F87" s="144"/>
      <c r="G87" s="144"/>
      <c r="H87" s="145"/>
      <c r="I87" s="144"/>
      <c r="J87" s="28"/>
      <c r="K87" s="28"/>
      <c r="L87" s="28"/>
      <c r="M87" s="140"/>
      <c r="N87" s="140"/>
      <c r="O87" s="140"/>
      <c r="P87" s="140"/>
      <c r="Q87" s="140"/>
      <c r="R87" s="28"/>
      <c r="S87" s="28"/>
      <c r="T87" s="28"/>
      <c r="U87" s="28"/>
      <c r="V87" s="28"/>
      <c r="W87" s="28"/>
      <c r="X87" s="28"/>
      <c r="Y87" s="28"/>
      <c r="Z87" s="28"/>
    </row>
    <row r="88" ht="12.75" customHeight="1">
      <c r="A88" s="28"/>
      <c r="B88" s="28"/>
      <c r="C88" s="144"/>
      <c r="D88" s="144"/>
      <c r="E88" s="144"/>
      <c r="F88" s="144"/>
      <c r="G88" s="144"/>
      <c r="H88" s="145"/>
      <c r="I88" s="144"/>
      <c r="J88" s="28"/>
      <c r="K88" s="28"/>
      <c r="L88" s="28"/>
      <c r="M88" s="140"/>
      <c r="N88" s="140"/>
      <c r="O88" s="140"/>
      <c r="P88" s="140"/>
      <c r="Q88" s="140"/>
      <c r="R88" s="28"/>
      <c r="S88" s="28"/>
      <c r="T88" s="28"/>
      <c r="U88" s="28"/>
      <c r="V88" s="28"/>
      <c r="W88" s="28"/>
      <c r="X88" s="28"/>
      <c r="Y88" s="28"/>
      <c r="Z88" s="28"/>
    </row>
    <row r="89" ht="12.75" customHeight="1">
      <c r="A89" s="28"/>
      <c r="B89" s="28"/>
      <c r="C89" s="144"/>
      <c r="D89" s="144"/>
      <c r="E89" s="144"/>
      <c r="F89" s="144"/>
      <c r="G89" s="144"/>
      <c r="H89" s="145"/>
      <c r="I89" s="144"/>
      <c r="J89" s="28"/>
      <c r="K89" s="28"/>
      <c r="L89" s="28"/>
      <c r="M89" s="140"/>
      <c r="N89" s="140"/>
      <c r="O89" s="140"/>
      <c r="P89" s="140"/>
      <c r="Q89" s="140"/>
      <c r="R89" s="28"/>
      <c r="S89" s="28"/>
      <c r="T89" s="28"/>
      <c r="U89" s="28"/>
      <c r="V89" s="28"/>
      <c r="W89" s="28"/>
      <c r="X89" s="28"/>
      <c r="Y89" s="28"/>
      <c r="Z89" s="28"/>
    </row>
    <row r="90" ht="12.75" customHeight="1">
      <c r="A90" s="28"/>
      <c r="B90" s="28"/>
      <c r="C90" s="144"/>
      <c r="D90" s="144"/>
      <c r="E90" s="144"/>
      <c r="F90" s="144"/>
      <c r="G90" s="144"/>
      <c r="H90" s="145"/>
      <c r="I90" s="144"/>
      <c r="J90" s="28"/>
      <c r="K90" s="28"/>
      <c r="L90" s="28"/>
      <c r="M90" s="140"/>
      <c r="N90" s="140"/>
      <c r="O90" s="140"/>
      <c r="P90" s="140"/>
      <c r="Q90" s="140"/>
      <c r="R90" s="28"/>
      <c r="S90" s="28"/>
      <c r="T90" s="28"/>
      <c r="U90" s="28"/>
      <c r="V90" s="28"/>
      <c r="W90" s="28"/>
      <c r="X90" s="28"/>
      <c r="Y90" s="28"/>
      <c r="Z90" s="28"/>
    </row>
    <row r="91" ht="12.75" customHeight="1">
      <c r="A91" s="28"/>
      <c r="B91" s="28"/>
      <c r="C91" s="144"/>
      <c r="D91" s="144"/>
      <c r="E91" s="144"/>
      <c r="F91" s="144"/>
      <c r="G91" s="144"/>
      <c r="H91" s="145"/>
      <c r="I91" s="144"/>
      <c r="J91" s="28"/>
      <c r="K91" s="28"/>
      <c r="L91" s="28"/>
      <c r="M91" s="140"/>
      <c r="N91" s="140"/>
      <c r="O91" s="140"/>
      <c r="P91" s="140"/>
      <c r="Q91" s="140"/>
      <c r="R91" s="28"/>
      <c r="S91" s="28"/>
      <c r="T91" s="28"/>
      <c r="U91" s="28"/>
      <c r="V91" s="28"/>
      <c r="W91" s="28"/>
      <c r="X91" s="28"/>
      <c r="Y91" s="28"/>
      <c r="Z91" s="28"/>
    </row>
    <row r="92" ht="12.75" customHeight="1">
      <c r="A92" s="28"/>
      <c r="B92" s="28"/>
      <c r="C92" s="144"/>
      <c r="D92" s="144"/>
      <c r="E92" s="144"/>
      <c r="F92" s="144"/>
      <c r="G92" s="144"/>
      <c r="H92" s="145"/>
      <c r="I92" s="144"/>
      <c r="J92" s="28"/>
      <c r="K92" s="28"/>
      <c r="L92" s="28"/>
      <c r="M92" s="140"/>
      <c r="N92" s="140"/>
      <c r="O92" s="140"/>
      <c r="P92" s="140"/>
      <c r="Q92" s="140"/>
      <c r="R92" s="28"/>
      <c r="S92" s="28"/>
      <c r="T92" s="28"/>
      <c r="U92" s="28"/>
      <c r="V92" s="28"/>
      <c r="W92" s="28"/>
      <c r="X92" s="28"/>
      <c r="Y92" s="28"/>
      <c r="Z92" s="28"/>
    </row>
    <row r="93" ht="12.75" customHeight="1">
      <c r="A93" s="28"/>
      <c r="B93" s="28"/>
      <c r="C93" s="144"/>
      <c r="D93" s="144"/>
      <c r="E93" s="144"/>
      <c r="F93" s="144"/>
      <c r="G93" s="144"/>
      <c r="H93" s="145"/>
      <c r="I93" s="144"/>
      <c r="J93" s="28"/>
      <c r="K93" s="28"/>
      <c r="L93" s="28"/>
      <c r="M93" s="140"/>
      <c r="N93" s="140"/>
      <c r="O93" s="140"/>
      <c r="P93" s="140"/>
      <c r="Q93" s="140"/>
      <c r="R93" s="28"/>
      <c r="S93" s="28"/>
      <c r="T93" s="28"/>
      <c r="U93" s="28"/>
      <c r="V93" s="28"/>
      <c r="W93" s="28"/>
      <c r="X93" s="28"/>
      <c r="Y93" s="28"/>
      <c r="Z93" s="28"/>
    </row>
    <row r="94" ht="12.75" customHeight="1">
      <c r="A94" s="28"/>
      <c r="B94" s="28"/>
      <c r="C94" s="144"/>
      <c r="D94" s="144"/>
      <c r="E94" s="144"/>
      <c r="F94" s="144"/>
      <c r="G94" s="144"/>
      <c r="H94" s="145"/>
      <c r="I94" s="144"/>
      <c r="J94" s="28"/>
      <c r="K94" s="28"/>
      <c r="L94" s="28"/>
      <c r="M94" s="140"/>
      <c r="N94" s="140"/>
      <c r="O94" s="140"/>
      <c r="P94" s="140"/>
      <c r="Q94" s="140"/>
      <c r="R94" s="28"/>
      <c r="S94" s="28"/>
      <c r="T94" s="28"/>
      <c r="U94" s="28"/>
      <c r="V94" s="28"/>
      <c r="W94" s="28"/>
      <c r="X94" s="28"/>
      <c r="Y94" s="28"/>
      <c r="Z94" s="28"/>
    </row>
    <row r="95" ht="12.75" customHeight="1">
      <c r="A95" s="28"/>
      <c r="B95" s="28"/>
      <c r="C95" s="144"/>
      <c r="D95" s="144"/>
      <c r="E95" s="144"/>
      <c r="F95" s="144"/>
      <c r="G95" s="144"/>
      <c r="H95" s="145"/>
      <c r="I95" s="144"/>
      <c r="J95" s="28"/>
      <c r="K95" s="28"/>
      <c r="L95" s="28"/>
      <c r="M95" s="140"/>
      <c r="N95" s="140"/>
      <c r="O95" s="140"/>
      <c r="P95" s="140"/>
      <c r="Q95" s="140"/>
      <c r="R95" s="28"/>
      <c r="S95" s="28"/>
      <c r="T95" s="28"/>
      <c r="U95" s="28"/>
      <c r="V95" s="28"/>
      <c r="W95" s="28"/>
      <c r="X95" s="28"/>
      <c r="Y95" s="28"/>
      <c r="Z95" s="28"/>
    </row>
    <row r="96" ht="12.75" customHeight="1">
      <c r="A96" s="28"/>
      <c r="B96" s="28"/>
      <c r="C96" s="144"/>
      <c r="D96" s="144"/>
      <c r="E96" s="144"/>
      <c r="F96" s="144"/>
      <c r="G96" s="144"/>
      <c r="H96" s="145"/>
      <c r="I96" s="144"/>
      <c r="J96" s="28"/>
      <c r="K96" s="28"/>
      <c r="L96" s="28"/>
      <c r="M96" s="140"/>
      <c r="N96" s="140"/>
      <c r="O96" s="140"/>
      <c r="P96" s="140"/>
      <c r="Q96" s="140"/>
      <c r="R96" s="28"/>
      <c r="S96" s="28"/>
      <c r="T96" s="28"/>
      <c r="U96" s="28"/>
      <c r="V96" s="28"/>
      <c r="W96" s="28"/>
      <c r="X96" s="28"/>
      <c r="Y96" s="28"/>
      <c r="Z96" s="28"/>
    </row>
    <row r="97" ht="12.75" customHeight="1">
      <c r="A97" s="28"/>
      <c r="B97" s="28"/>
      <c r="C97" s="144"/>
      <c r="D97" s="144"/>
      <c r="E97" s="144"/>
      <c r="F97" s="144"/>
      <c r="G97" s="144"/>
      <c r="H97" s="145"/>
      <c r="I97" s="144"/>
      <c r="J97" s="28"/>
      <c r="K97" s="28"/>
      <c r="L97" s="28"/>
      <c r="M97" s="140"/>
      <c r="N97" s="140"/>
      <c r="O97" s="140"/>
      <c r="P97" s="140"/>
      <c r="Q97" s="140"/>
      <c r="R97" s="28"/>
      <c r="S97" s="28"/>
      <c r="T97" s="28"/>
      <c r="U97" s="28"/>
      <c r="V97" s="28"/>
      <c r="W97" s="28"/>
      <c r="X97" s="28"/>
      <c r="Y97" s="28"/>
      <c r="Z97" s="28"/>
    </row>
    <row r="98" ht="12.75" customHeight="1">
      <c r="A98" s="28"/>
      <c r="B98" s="28"/>
      <c r="C98" s="144"/>
      <c r="D98" s="144"/>
      <c r="E98" s="144"/>
      <c r="F98" s="144"/>
      <c r="G98" s="144"/>
      <c r="H98" s="145"/>
      <c r="I98" s="144"/>
      <c r="J98" s="28"/>
      <c r="K98" s="28"/>
      <c r="L98" s="28"/>
      <c r="M98" s="140"/>
      <c r="N98" s="140"/>
      <c r="O98" s="140"/>
      <c r="P98" s="140"/>
      <c r="Q98" s="140"/>
      <c r="R98" s="28"/>
      <c r="S98" s="28"/>
      <c r="T98" s="28"/>
      <c r="U98" s="28"/>
      <c r="V98" s="28"/>
      <c r="W98" s="28"/>
      <c r="X98" s="28"/>
      <c r="Y98" s="28"/>
      <c r="Z98" s="28"/>
    </row>
    <row r="99" ht="12.75" customHeight="1">
      <c r="A99" s="28"/>
      <c r="B99" s="28"/>
      <c r="C99" s="144"/>
      <c r="D99" s="144"/>
      <c r="E99" s="144"/>
      <c r="F99" s="144"/>
      <c r="G99" s="144"/>
      <c r="H99" s="145"/>
      <c r="I99" s="144"/>
      <c r="J99" s="28"/>
      <c r="K99" s="28"/>
      <c r="L99" s="28"/>
      <c r="M99" s="140"/>
      <c r="N99" s="140"/>
      <c r="O99" s="140"/>
      <c r="P99" s="140"/>
      <c r="Q99" s="140"/>
      <c r="R99" s="28"/>
      <c r="S99" s="28"/>
      <c r="T99" s="28"/>
      <c r="U99" s="28"/>
      <c r="V99" s="28"/>
      <c r="W99" s="28"/>
      <c r="X99" s="28"/>
      <c r="Y99" s="28"/>
      <c r="Z99" s="28"/>
    </row>
    <row r="100" ht="12.75" customHeight="1">
      <c r="A100" s="28"/>
      <c r="B100" s="28"/>
      <c r="C100" s="144"/>
      <c r="D100" s="144"/>
      <c r="E100" s="144"/>
      <c r="F100" s="144"/>
      <c r="G100" s="144"/>
      <c r="H100" s="145"/>
      <c r="I100" s="144"/>
      <c r="J100" s="28"/>
      <c r="K100" s="28"/>
      <c r="L100" s="28"/>
      <c r="M100" s="140"/>
      <c r="N100" s="140"/>
      <c r="O100" s="140"/>
      <c r="P100" s="140"/>
      <c r="Q100" s="140"/>
      <c r="R100" s="28"/>
      <c r="S100" s="28"/>
      <c r="T100" s="28"/>
      <c r="U100" s="28"/>
      <c r="V100" s="28"/>
      <c r="W100" s="28"/>
      <c r="X100" s="28"/>
      <c r="Y100" s="28"/>
      <c r="Z100" s="28"/>
    </row>
    <row r="101" ht="12.75" customHeight="1">
      <c r="A101" s="28"/>
      <c r="B101" s="28"/>
      <c r="C101" s="144"/>
      <c r="D101" s="144"/>
      <c r="E101" s="144"/>
      <c r="F101" s="144"/>
      <c r="G101" s="144"/>
      <c r="H101" s="145"/>
      <c r="I101" s="144"/>
      <c r="J101" s="28"/>
      <c r="K101" s="28"/>
      <c r="L101" s="28"/>
      <c r="M101" s="140"/>
      <c r="N101" s="140"/>
      <c r="O101" s="140"/>
      <c r="P101" s="140"/>
      <c r="Q101" s="140"/>
      <c r="R101" s="28"/>
      <c r="S101" s="28"/>
      <c r="T101" s="28"/>
      <c r="U101" s="28"/>
      <c r="V101" s="28"/>
      <c r="W101" s="28"/>
      <c r="X101" s="28"/>
      <c r="Y101" s="28"/>
      <c r="Z101" s="28"/>
    </row>
    <row r="102" ht="12.75" customHeight="1">
      <c r="A102" s="28"/>
      <c r="B102" s="28"/>
      <c r="C102" s="144"/>
      <c r="D102" s="144"/>
      <c r="E102" s="144"/>
      <c r="F102" s="144"/>
      <c r="G102" s="144"/>
      <c r="H102" s="145"/>
      <c r="I102" s="144"/>
      <c r="J102" s="28"/>
      <c r="K102" s="28"/>
      <c r="L102" s="28"/>
      <c r="M102" s="140"/>
      <c r="N102" s="140"/>
      <c r="O102" s="140"/>
      <c r="P102" s="140"/>
      <c r="Q102" s="140"/>
      <c r="R102" s="28"/>
      <c r="S102" s="28"/>
      <c r="T102" s="28"/>
      <c r="U102" s="28"/>
      <c r="V102" s="28"/>
      <c r="W102" s="28"/>
      <c r="X102" s="28"/>
      <c r="Y102" s="28"/>
      <c r="Z102" s="28"/>
    </row>
    <row r="103" ht="12.75" customHeight="1">
      <c r="A103" s="28"/>
      <c r="B103" s="28"/>
      <c r="C103" s="144"/>
      <c r="D103" s="144"/>
      <c r="E103" s="144"/>
      <c r="F103" s="144"/>
      <c r="G103" s="144"/>
      <c r="H103" s="145"/>
      <c r="I103" s="144"/>
      <c r="J103" s="28"/>
      <c r="K103" s="28"/>
      <c r="L103" s="28"/>
      <c r="M103" s="140"/>
      <c r="N103" s="140"/>
      <c r="O103" s="140"/>
      <c r="P103" s="140"/>
      <c r="Q103" s="140"/>
      <c r="R103" s="28"/>
      <c r="S103" s="28"/>
      <c r="T103" s="28"/>
      <c r="U103" s="28"/>
      <c r="V103" s="28"/>
      <c r="W103" s="28"/>
      <c r="X103" s="28"/>
      <c r="Y103" s="28"/>
      <c r="Z103" s="28"/>
    </row>
    <row r="104" ht="12.75" customHeight="1">
      <c r="A104" s="28"/>
      <c r="B104" s="28"/>
      <c r="C104" s="144"/>
      <c r="D104" s="144"/>
      <c r="E104" s="144"/>
      <c r="F104" s="144"/>
      <c r="G104" s="144"/>
      <c r="H104" s="145"/>
      <c r="I104" s="144"/>
      <c r="J104" s="28"/>
      <c r="K104" s="28"/>
      <c r="L104" s="28"/>
      <c r="M104" s="140"/>
      <c r="N104" s="140"/>
      <c r="O104" s="140"/>
      <c r="P104" s="140"/>
      <c r="Q104" s="140"/>
      <c r="R104" s="28"/>
      <c r="S104" s="28"/>
      <c r="T104" s="28"/>
      <c r="U104" s="28"/>
      <c r="V104" s="28"/>
      <c r="W104" s="28"/>
      <c r="X104" s="28"/>
      <c r="Y104" s="28"/>
      <c r="Z104" s="28"/>
    </row>
    <row r="105" ht="12.75" customHeight="1">
      <c r="A105" s="28"/>
      <c r="B105" s="28"/>
      <c r="C105" s="144"/>
      <c r="D105" s="144"/>
      <c r="E105" s="144"/>
      <c r="F105" s="144"/>
      <c r="G105" s="144"/>
      <c r="H105" s="145"/>
      <c r="I105" s="144"/>
      <c r="J105" s="28"/>
      <c r="K105" s="28"/>
      <c r="L105" s="28"/>
      <c r="M105" s="140"/>
      <c r="N105" s="140"/>
      <c r="O105" s="140"/>
      <c r="P105" s="140"/>
      <c r="Q105" s="140"/>
      <c r="R105" s="28"/>
      <c r="S105" s="28"/>
      <c r="T105" s="28"/>
      <c r="U105" s="28"/>
      <c r="V105" s="28"/>
      <c r="W105" s="28"/>
      <c r="X105" s="28"/>
      <c r="Y105" s="28"/>
      <c r="Z105" s="28"/>
    </row>
    <row r="106" ht="12.75" customHeight="1">
      <c r="A106" s="28"/>
      <c r="B106" s="28"/>
      <c r="C106" s="144"/>
      <c r="D106" s="144"/>
      <c r="E106" s="144"/>
      <c r="F106" s="144"/>
      <c r="G106" s="144"/>
      <c r="H106" s="145"/>
      <c r="I106" s="144"/>
      <c r="J106" s="28"/>
      <c r="K106" s="28"/>
      <c r="L106" s="28"/>
      <c r="M106" s="140"/>
      <c r="N106" s="140"/>
      <c r="O106" s="140"/>
      <c r="P106" s="140"/>
      <c r="Q106" s="140"/>
      <c r="R106" s="28"/>
      <c r="S106" s="28"/>
      <c r="T106" s="28"/>
      <c r="U106" s="28"/>
      <c r="V106" s="28"/>
      <c r="W106" s="28"/>
      <c r="X106" s="28"/>
      <c r="Y106" s="28"/>
      <c r="Z106" s="28"/>
    </row>
    <row r="107" ht="12.75" customHeight="1">
      <c r="A107" s="28"/>
      <c r="B107" s="28"/>
      <c r="C107" s="144"/>
      <c r="D107" s="144"/>
      <c r="E107" s="144"/>
      <c r="F107" s="144"/>
      <c r="G107" s="144"/>
      <c r="H107" s="145"/>
      <c r="I107" s="144"/>
      <c r="J107" s="28"/>
      <c r="K107" s="28"/>
      <c r="L107" s="28"/>
      <c r="M107" s="140"/>
      <c r="N107" s="140"/>
      <c r="O107" s="140"/>
      <c r="P107" s="140"/>
      <c r="Q107" s="140"/>
      <c r="R107" s="28"/>
      <c r="S107" s="28"/>
      <c r="T107" s="28"/>
      <c r="U107" s="28"/>
      <c r="V107" s="28"/>
      <c r="W107" s="28"/>
      <c r="X107" s="28"/>
      <c r="Y107" s="28"/>
      <c r="Z107" s="28"/>
    </row>
    <row r="108" ht="12.75" customHeight="1">
      <c r="A108" s="28"/>
      <c r="B108" s="28"/>
      <c r="C108" s="144"/>
      <c r="D108" s="144"/>
      <c r="E108" s="144"/>
      <c r="F108" s="144"/>
      <c r="G108" s="144"/>
      <c r="H108" s="145"/>
      <c r="I108" s="144"/>
      <c r="J108" s="28"/>
      <c r="K108" s="28"/>
      <c r="L108" s="28"/>
      <c r="M108" s="140"/>
      <c r="N108" s="140"/>
      <c r="O108" s="140"/>
      <c r="P108" s="140"/>
      <c r="Q108" s="140"/>
      <c r="R108" s="28"/>
      <c r="S108" s="28"/>
      <c r="T108" s="28"/>
      <c r="U108" s="28"/>
      <c r="V108" s="28"/>
      <c r="W108" s="28"/>
      <c r="X108" s="28"/>
      <c r="Y108" s="28"/>
      <c r="Z108" s="28"/>
    </row>
    <row r="109" ht="12.75" customHeight="1">
      <c r="A109" s="28"/>
      <c r="B109" s="28"/>
      <c r="C109" s="144"/>
      <c r="D109" s="144"/>
      <c r="E109" s="144"/>
      <c r="F109" s="144"/>
      <c r="G109" s="144"/>
      <c r="H109" s="145"/>
      <c r="I109" s="144"/>
      <c r="J109" s="28"/>
      <c r="K109" s="28"/>
      <c r="L109" s="28"/>
      <c r="M109" s="140"/>
      <c r="N109" s="140"/>
      <c r="O109" s="140"/>
      <c r="P109" s="140"/>
      <c r="Q109" s="140"/>
      <c r="R109" s="28"/>
      <c r="S109" s="28"/>
      <c r="T109" s="28"/>
      <c r="U109" s="28"/>
      <c r="V109" s="28"/>
      <c r="W109" s="28"/>
      <c r="X109" s="28"/>
      <c r="Y109" s="28"/>
      <c r="Z109" s="28"/>
    </row>
    <row r="110" ht="12.75" customHeight="1">
      <c r="A110" s="28"/>
      <c r="B110" s="28"/>
      <c r="C110" s="144"/>
      <c r="D110" s="144"/>
      <c r="E110" s="144"/>
      <c r="F110" s="144"/>
      <c r="G110" s="144"/>
      <c r="H110" s="145"/>
      <c r="I110" s="144"/>
      <c r="J110" s="28"/>
      <c r="K110" s="28"/>
      <c r="L110" s="28"/>
      <c r="M110" s="140"/>
      <c r="N110" s="140"/>
      <c r="O110" s="140"/>
      <c r="P110" s="140"/>
      <c r="Q110" s="140"/>
      <c r="R110" s="28"/>
      <c r="S110" s="28"/>
      <c r="T110" s="28"/>
      <c r="U110" s="28"/>
      <c r="V110" s="28"/>
      <c r="W110" s="28"/>
      <c r="X110" s="28"/>
      <c r="Y110" s="28"/>
      <c r="Z110" s="28"/>
    </row>
    <row r="111" ht="12.75" customHeight="1">
      <c r="A111" s="28"/>
      <c r="B111" s="28"/>
      <c r="C111" s="144"/>
      <c r="D111" s="144"/>
      <c r="E111" s="144"/>
      <c r="F111" s="144"/>
      <c r="G111" s="144"/>
      <c r="H111" s="145"/>
      <c r="I111" s="144"/>
      <c r="J111" s="28"/>
      <c r="K111" s="28"/>
      <c r="L111" s="28"/>
      <c r="M111" s="140"/>
      <c r="N111" s="140"/>
      <c r="O111" s="140"/>
      <c r="P111" s="140"/>
      <c r="Q111" s="140"/>
      <c r="R111" s="28"/>
      <c r="S111" s="28"/>
      <c r="T111" s="28"/>
      <c r="U111" s="28"/>
      <c r="V111" s="28"/>
      <c r="W111" s="28"/>
      <c r="X111" s="28"/>
      <c r="Y111" s="28"/>
      <c r="Z111" s="28"/>
    </row>
    <row r="112" ht="12.75" customHeight="1">
      <c r="A112" s="28"/>
      <c r="B112" s="28"/>
      <c r="C112" s="144"/>
      <c r="D112" s="144"/>
      <c r="E112" s="144"/>
      <c r="F112" s="144"/>
      <c r="G112" s="144"/>
      <c r="H112" s="145"/>
      <c r="I112" s="144"/>
      <c r="J112" s="28"/>
      <c r="K112" s="28"/>
      <c r="L112" s="28"/>
      <c r="M112" s="140"/>
      <c r="N112" s="140"/>
      <c r="O112" s="140"/>
      <c r="P112" s="140"/>
      <c r="Q112" s="140"/>
      <c r="R112" s="28"/>
      <c r="S112" s="28"/>
      <c r="T112" s="28"/>
      <c r="U112" s="28"/>
      <c r="V112" s="28"/>
      <c r="W112" s="28"/>
      <c r="X112" s="28"/>
      <c r="Y112" s="28"/>
      <c r="Z112" s="28"/>
    </row>
    <row r="113" ht="12.75" customHeight="1">
      <c r="A113" s="28"/>
      <c r="B113" s="28"/>
      <c r="C113" s="144"/>
      <c r="D113" s="144"/>
      <c r="E113" s="144"/>
      <c r="F113" s="144"/>
      <c r="G113" s="144"/>
      <c r="H113" s="145"/>
      <c r="I113" s="144"/>
      <c r="J113" s="28"/>
      <c r="K113" s="28"/>
      <c r="L113" s="28"/>
      <c r="M113" s="140"/>
      <c r="N113" s="140"/>
      <c r="O113" s="140"/>
      <c r="P113" s="140"/>
      <c r="Q113" s="140"/>
      <c r="R113" s="28"/>
      <c r="S113" s="28"/>
      <c r="T113" s="28"/>
      <c r="U113" s="28"/>
      <c r="V113" s="28"/>
      <c r="W113" s="28"/>
      <c r="X113" s="28"/>
      <c r="Y113" s="28"/>
      <c r="Z113" s="28"/>
    </row>
    <row r="114" ht="12.75" customHeight="1">
      <c r="A114" s="28"/>
      <c r="B114" s="28"/>
      <c r="C114" s="144"/>
      <c r="D114" s="144"/>
      <c r="E114" s="144"/>
      <c r="F114" s="144"/>
      <c r="G114" s="144"/>
      <c r="H114" s="145"/>
      <c r="I114" s="144"/>
      <c r="J114" s="28"/>
      <c r="K114" s="28"/>
      <c r="L114" s="28"/>
      <c r="M114" s="140"/>
      <c r="N114" s="140"/>
      <c r="O114" s="140"/>
      <c r="P114" s="140"/>
      <c r="Q114" s="140"/>
      <c r="R114" s="28"/>
      <c r="S114" s="28"/>
      <c r="T114" s="28"/>
      <c r="U114" s="28"/>
      <c r="V114" s="28"/>
      <c r="W114" s="28"/>
      <c r="X114" s="28"/>
      <c r="Y114" s="28"/>
      <c r="Z114" s="28"/>
    </row>
    <row r="115" ht="12.75" customHeight="1">
      <c r="A115" s="28"/>
      <c r="B115" s="28"/>
      <c r="C115" s="144"/>
      <c r="D115" s="144"/>
      <c r="E115" s="144"/>
      <c r="F115" s="144"/>
      <c r="G115" s="144"/>
      <c r="H115" s="145"/>
      <c r="I115" s="144"/>
      <c r="J115" s="28"/>
      <c r="K115" s="28"/>
      <c r="L115" s="28"/>
      <c r="M115" s="140"/>
      <c r="N115" s="140"/>
      <c r="O115" s="140"/>
      <c r="P115" s="140"/>
      <c r="Q115" s="140"/>
      <c r="R115" s="28"/>
      <c r="S115" s="28"/>
      <c r="T115" s="28"/>
      <c r="U115" s="28"/>
      <c r="V115" s="28"/>
      <c r="W115" s="28"/>
      <c r="X115" s="28"/>
      <c r="Y115" s="28"/>
      <c r="Z115" s="28"/>
    </row>
    <row r="116" ht="12.75" customHeight="1">
      <c r="A116" s="28"/>
      <c r="B116" s="28"/>
      <c r="C116" s="144"/>
      <c r="D116" s="144"/>
      <c r="E116" s="144"/>
      <c r="F116" s="144"/>
      <c r="G116" s="144"/>
      <c r="H116" s="145"/>
      <c r="I116" s="144"/>
      <c r="J116" s="28"/>
      <c r="K116" s="28"/>
      <c r="L116" s="28"/>
      <c r="M116" s="140"/>
      <c r="N116" s="140"/>
      <c r="O116" s="140"/>
      <c r="P116" s="140"/>
      <c r="Q116" s="140"/>
      <c r="R116" s="28"/>
      <c r="S116" s="28"/>
      <c r="T116" s="28"/>
      <c r="U116" s="28"/>
      <c r="V116" s="28"/>
      <c r="W116" s="28"/>
      <c r="X116" s="28"/>
      <c r="Y116" s="28"/>
      <c r="Z116" s="28"/>
    </row>
    <row r="117" ht="12.75" customHeight="1">
      <c r="A117" s="28"/>
      <c r="B117" s="28"/>
      <c r="C117" s="144"/>
      <c r="D117" s="144"/>
      <c r="E117" s="144"/>
      <c r="F117" s="144"/>
      <c r="G117" s="144"/>
      <c r="H117" s="145"/>
      <c r="I117" s="144"/>
      <c r="J117" s="28"/>
      <c r="K117" s="28"/>
      <c r="L117" s="28"/>
      <c r="M117" s="140"/>
      <c r="N117" s="140"/>
      <c r="O117" s="140"/>
      <c r="P117" s="140"/>
      <c r="Q117" s="140"/>
      <c r="R117" s="28"/>
      <c r="S117" s="28"/>
      <c r="T117" s="28"/>
      <c r="U117" s="28"/>
      <c r="V117" s="28"/>
      <c r="W117" s="28"/>
      <c r="X117" s="28"/>
      <c r="Y117" s="28"/>
      <c r="Z117" s="28"/>
    </row>
    <row r="118" ht="12.75" customHeight="1">
      <c r="A118" s="28"/>
      <c r="B118" s="28"/>
      <c r="C118" s="144"/>
      <c r="D118" s="144"/>
      <c r="E118" s="144"/>
      <c r="F118" s="144"/>
      <c r="G118" s="144"/>
      <c r="H118" s="145"/>
      <c r="I118" s="144"/>
      <c r="J118" s="28"/>
      <c r="K118" s="28"/>
      <c r="L118" s="28"/>
      <c r="M118" s="140"/>
      <c r="N118" s="140"/>
      <c r="O118" s="140"/>
      <c r="P118" s="140"/>
      <c r="Q118" s="140"/>
      <c r="R118" s="28"/>
      <c r="S118" s="28"/>
      <c r="T118" s="28"/>
      <c r="U118" s="28"/>
      <c r="V118" s="28"/>
      <c r="W118" s="28"/>
      <c r="X118" s="28"/>
      <c r="Y118" s="28"/>
      <c r="Z118" s="28"/>
    </row>
    <row r="119" ht="12.75" customHeight="1">
      <c r="A119" s="28"/>
      <c r="B119" s="28"/>
      <c r="C119" s="144"/>
      <c r="D119" s="144"/>
      <c r="E119" s="144"/>
      <c r="F119" s="144"/>
      <c r="G119" s="144"/>
      <c r="H119" s="145"/>
      <c r="I119" s="144"/>
      <c r="J119" s="28"/>
      <c r="K119" s="28"/>
      <c r="L119" s="28"/>
      <c r="M119" s="140"/>
      <c r="N119" s="140"/>
      <c r="O119" s="140"/>
      <c r="P119" s="140"/>
      <c r="Q119" s="140"/>
      <c r="R119" s="28"/>
      <c r="S119" s="28"/>
      <c r="T119" s="28"/>
      <c r="U119" s="28"/>
      <c r="V119" s="28"/>
      <c r="W119" s="28"/>
      <c r="X119" s="28"/>
      <c r="Y119" s="28"/>
      <c r="Z119" s="28"/>
    </row>
    <row r="120" ht="12.75" customHeight="1">
      <c r="A120" s="28"/>
      <c r="B120" s="28"/>
      <c r="C120" s="144"/>
      <c r="D120" s="144"/>
      <c r="E120" s="144"/>
      <c r="F120" s="144"/>
      <c r="G120" s="144"/>
      <c r="H120" s="145"/>
      <c r="I120" s="144"/>
      <c r="J120" s="28"/>
      <c r="K120" s="28"/>
      <c r="L120" s="28"/>
      <c r="M120" s="140"/>
      <c r="N120" s="140"/>
      <c r="O120" s="140"/>
      <c r="P120" s="140"/>
      <c r="Q120" s="140"/>
      <c r="R120" s="28"/>
      <c r="S120" s="28"/>
      <c r="T120" s="28"/>
      <c r="U120" s="28"/>
      <c r="V120" s="28"/>
      <c r="W120" s="28"/>
      <c r="X120" s="28"/>
      <c r="Y120" s="28"/>
      <c r="Z120" s="28"/>
    </row>
    <row r="121" ht="12.75" customHeight="1">
      <c r="A121" s="28"/>
      <c r="B121" s="28"/>
      <c r="C121" s="144"/>
      <c r="D121" s="144"/>
      <c r="E121" s="144"/>
      <c r="F121" s="144"/>
      <c r="G121" s="144"/>
      <c r="H121" s="145"/>
      <c r="I121" s="144"/>
      <c r="J121" s="28"/>
      <c r="K121" s="28"/>
      <c r="L121" s="28"/>
      <c r="M121" s="140"/>
      <c r="N121" s="140"/>
      <c r="O121" s="140"/>
      <c r="P121" s="140"/>
      <c r="Q121" s="140"/>
      <c r="R121" s="28"/>
      <c r="S121" s="28"/>
      <c r="T121" s="28"/>
      <c r="U121" s="28"/>
      <c r="V121" s="28"/>
      <c r="W121" s="28"/>
      <c r="X121" s="28"/>
      <c r="Y121" s="28"/>
      <c r="Z121" s="28"/>
    </row>
    <row r="122" ht="12.75" customHeight="1">
      <c r="A122" s="28"/>
      <c r="B122" s="28"/>
      <c r="C122" s="144"/>
      <c r="D122" s="144"/>
      <c r="E122" s="144"/>
      <c r="F122" s="144"/>
      <c r="G122" s="144"/>
      <c r="H122" s="145"/>
      <c r="I122" s="144"/>
      <c r="J122" s="28"/>
      <c r="K122" s="28"/>
      <c r="L122" s="28"/>
      <c r="M122" s="140"/>
      <c r="N122" s="140"/>
      <c r="O122" s="140"/>
      <c r="P122" s="140"/>
      <c r="Q122" s="140"/>
      <c r="R122" s="28"/>
      <c r="S122" s="28"/>
      <c r="T122" s="28"/>
      <c r="U122" s="28"/>
      <c r="V122" s="28"/>
      <c r="W122" s="28"/>
      <c r="X122" s="28"/>
      <c r="Y122" s="28"/>
      <c r="Z122" s="28"/>
    </row>
    <row r="123" ht="12.75" customHeight="1">
      <c r="A123" s="28"/>
      <c r="B123" s="28"/>
      <c r="C123" s="144"/>
      <c r="D123" s="144"/>
      <c r="E123" s="144"/>
      <c r="F123" s="144"/>
      <c r="G123" s="144"/>
      <c r="H123" s="145"/>
      <c r="I123" s="144"/>
      <c r="J123" s="28"/>
      <c r="K123" s="28"/>
      <c r="L123" s="28"/>
      <c r="M123" s="140"/>
      <c r="N123" s="140"/>
      <c r="O123" s="140"/>
      <c r="P123" s="140"/>
      <c r="Q123" s="140"/>
      <c r="R123" s="28"/>
      <c r="S123" s="28"/>
      <c r="T123" s="28"/>
      <c r="U123" s="28"/>
      <c r="V123" s="28"/>
      <c r="W123" s="28"/>
      <c r="X123" s="28"/>
      <c r="Y123" s="28"/>
      <c r="Z123" s="28"/>
    </row>
    <row r="124" ht="12.75" customHeight="1">
      <c r="A124" s="28"/>
      <c r="B124" s="28"/>
      <c r="C124" s="144"/>
      <c r="D124" s="144"/>
      <c r="E124" s="144"/>
      <c r="F124" s="144"/>
      <c r="G124" s="144"/>
      <c r="H124" s="145"/>
      <c r="I124" s="144"/>
      <c r="J124" s="28"/>
      <c r="K124" s="28"/>
      <c r="L124" s="28"/>
      <c r="M124" s="140"/>
      <c r="N124" s="140"/>
      <c r="O124" s="140"/>
      <c r="P124" s="140"/>
      <c r="Q124" s="140"/>
      <c r="R124" s="28"/>
      <c r="S124" s="28"/>
      <c r="T124" s="28"/>
      <c r="U124" s="28"/>
      <c r="V124" s="28"/>
      <c r="W124" s="28"/>
      <c r="X124" s="28"/>
      <c r="Y124" s="28"/>
      <c r="Z124" s="28"/>
    </row>
    <row r="125" ht="12.75" customHeight="1">
      <c r="A125" s="28"/>
      <c r="B125" s="28"/>
      <c r="C125" s="144"/>
      <c r="D125" s="144"/>
      <c r="E125" s="144"/>
      <c r="F125" s="144"/>
      <c r="G125" s="144"/>
      <c r="H125" s="145"/>
      <c r="I125" s="144"/>
      <c r="J125" s="28"/>
      <c r="K125" s="28"/>
      <c r="L125" s="28"/>
      <c r="M125" s="140"/>
      <c r="N125" s="140"/>
      <c r="O125" s="140"/>
      <c r="P125" s="140"/>
      <c r="Q125" s="140"/>
      <c r="R125" s="28"/>
      <c r="S125" s="28"/>
      <c r="T125" s="28"/>
      <c r="U125" s="28"/>
      <c r="V125" s="28"/>
      <c r="W125" s="28"/>
      <c r="X125" s="28"/>
      <c r="Y125" s="28"/>
      <c r="Z125" s="28"/>
    </row>
    <row r="126" ht="12.75" customHeight="1">
      <c r="A126" s="28"/>
      <c r="B126" s="28"/>
      <c r="C126" s="144"/>
      <c r="D126" s="144"/>
      <c r="E126" s="144"/>
      <c r="F126" s="144"/>
      <c r="G126" s="144"/>
      <c r="H126" s="145"/>
      <c r="I126" s="144"/>
      <c r="J126" s="28"/>
      <c r="K126" s="28"/>
      <c r="L126" s="28"/>
      <c r="M126" s="140"/>
      <c r="N126" s="140"/>
      <c r="O126" s="140"/>
      <c r="P126" s="140"/>
      <c r="Q126" s="140"/>
      <c r="R126" s="28"/>
      <c r="S126" s="28"/>
      <c r="T126" s="28"/>
      <c r="U126" s="28"/>
      <c r="V126" s="28"/>
      <c r="W126" s="28"/>
      <c r="X126" s="28"/>
      <c r="Y126" s="28"/>
      <c r="Z126" s="28"/>
    </row>
    <row r="127" ht="12.75" customHeight="1">
      <c r="A127" s="28"/>
      <c r="B127" s="28"/>
      <c r="C127" s="144"/>
      <c r="D127" s="144"/>
      <c r="E127" s="144"/>
      <c r="F127" s="144"/>
      <c r="G127" s="144"/>
      <c r="H127" s="145"/>
      <c r="I127" s="144"/>
      <c r="J127" s="28"/>
      <c r="K127" s="28"/>
      <c r="L127" s="28"/>
      <c r="M127" s="140"/>
      <c r="N127" s="140"/>
      <c r="O127" s="140"/>
      <c r="P127" s="140"/>
      <c r="Q127" s="140"/>
      <c r="R127" s="28"/>
      <c r="S127" s="28"/>
      <c r="T127" s="28"/>
      <c r="U127" s="28"/>
      <c r="V127" s="28"/>
      <c r="W127" s="28"/>
      <c r="X127" s="28"/>
      <c r="Y127" s="28"/>
      <c r="Z127" s="28"/>
    </row>
    <row r="128" ht="12.75" customHeight="1">
      <c r="A128" s="28"/>
      <c r="B128" s="28"/>
      <c r="C128" s="144"/>
      <c r="D128" s="144"/>
      <c r="E128" s="144"/>
      <c r="F128" s="144"/>
      <c r="G128" s="144"/>
      <c r="H128" s="145"/>
      <c r="I128" s="144"/>
      <c r="J128" s="28"/>
      <c r="K128" s="28"/>
      <c r="L128" s="28"/>
      <c r="M128" s="140"/>
      <c r="N128" s="140"/>
      <c r="O128" s="140"/>
      <c r="P128" s="140"/>
      <c r="Q128" s="140"/>
      <c r="R128" s="28"/>
      <c r="S128" s="28"/>
      <c r="T128" s="28"/>
      <c r="U128" s="28"/>
      <c r="V128" s="28"/>
      <c r="W128" s="28"/>
      <c r="X128" s="28"/>
      <c r="Y128" s="28"/>
      <c r="Z128" s="28"/>
    </row>
    <row r="129" ht="12.75" customHeight="1">
      <c r="A129" s="28"/>
      <c r="B129" s="28"/>
      <c r="C129" s="144"/>
      <c r="D129" s="144"/>
      <c r="E129" s="144"/>
      <c r="F129" s="144"/>
      <c r="G129" s="144"/>
      <c r="H129" s="145"/>
      <c r="I129" s="144"/>
      <c r="J129" s="28"/>
      <c r="K129" s="28"/>
      <c r="L129" s="28"/>
      <c r="M129" s="140"/>
      <c r="N129" s="140"/>
      <c r="O129" s="140"/>
      <c r="P129" s="140"/>
      <c r="Q129" s="140"/>
      <c r="R129" s="28"/>
      <c r="S129" s="28"/>
      <c r="T129" s="28"/>
      <c r="U129" s="28"/>
      <c r="V129" s="28"/>
      <c r="W129" s="28"/>
      <c r="X129" s="28"/>
      <c r="Y129" s="28"/>
      <c r="Z129" s="28"/>
    </row>
    <row r="130" ht="12.75" customHeight="1">
      <c r="A130" s="28"/>
      <c r="B130" s="28"/>
      <c r="C130" s="144"/>
      <c r="D130" s="144"/>
      <c r="E130" s="144"/>
      <c r="F130" s="144"/>
      <c r="G130" s="144"/>
      <c r="H130" s="145"/>
      <c r="I130" s="144"/>
      <c r="J130" s="28"/>
      <c r="K130" s="28"/>
      <c r="L130" s="28"/>
      <c r="M130" s="140"/>
      <c r="N130" s="140"/>
      <c r="O130" s="140"/>
      <c r="P130" s="140"/>
      <c r="Q130" s="140"/>
      <c r="R130" s="28"/>
      <c r="S130" s="28"/>
      <c r="T130" s="28"/>
      <c r="U130" s="28"/>
      <c r="V130" s="28"/>
      <c r="W130" s="28"/>
      <c r="X130" s="28"/>
      <c r="Y130" s="28"/>
      <c r="Z130" s="28"/>
    </row>
    <row r="131" ht="12.75" customHeight="1">
      <c r="A131" s="28"/>
      <c r="B131" s="28"/>
      <c r="C131" s="144"/>
      <c r="D131" s="144"/>
      <c r="E131" s="144"/>
      <c r="F131" s="144"/>
      <c r="G131" s="144"/>
      <c r="H131" s="145"/>
      <c r="I131" s="144"/>
      <c r="J131" s="28"/>
      <c r="K131" s="28"/>
      <c r="L131" s="28"/>
      <c r="M131" s="140"/>
      <c r="N131" s="140"/>
      <c r="O131" s="140"/>
      <c r="P131" s="140"/>
      <c r="Q131" s="140"/>
      <c r="R131" s="28"/>
      <c r="S131" s="28"/>
      <c r="T131" s="28"/>
      <c r="U131" s="28"/>
      <c r="V131" s="28"/>
      <c r="W131" s="28"/>
      <c r="X131" s="28"/>
      <c r="Y131" s="28"/>
      <c r="Z131" s="28"/>
    </row>
    <row r="132" ht="12.75" customHeight="1">
      <c r="A132" s="28"/>
      <c r="B132" s="28"/>
      <c r="C132" s="144"/>
      <c r="D132" s="144"/>
      <c r="E132" s="144"/>
      <c r="F132" s="144"/>
      <c r="G132" s="144"/>
      <c r="H132" s="145"/>
      <c r="I132" s="144"/>
      <c r="J132" s="28"/>
      <c r="K132" s="28"/>
      <c r="L132" s="28"/>
      <c r="M132" s="140"/>
      <c r="N132" s="140"/>
      <c r="O132" s="140"/>
      <c r="P132" s="140"/>
      <c r="Q132" s="140"/>
      <c r="R132" s="28"/>
      <c r="S132" s="28"/>
      <c r="T132" s="28"/>
      <c r="U132" s="28"/>
      <c r="V132" s="28"/>
      <c r="W132" s="28"/>
      <c r="X132" s="28"/>
      <c r="Y132" s="28"/>
      <c r="Z132" s="28"/>
    </row>
    <row r="133" ht="12.75" customHeight="1">
      <c r="A133" s="28"/>
      <c r="B133" s="28"/>
      <c r="C133" s="144"/>
      <c r="D133" s="144"/>
      <c r="E133" s="144"/>
      <c r="F133" s="144"/>
      <c r="G133" s="144"/>
      <c r="H133" s="145"/>
      <c r="I133" s="144"/>
      <c r="J133" s="28"/>
      <c r="K133" s="28"/>
      <c r="L133" s="28"/>
      <c r="M133" s="140"/>
      <c r="N133" s="140"/>
      <c r="O133" s="140"/>
      <c r="P133" s="140"/>
      <c r="Q133" s="140"/>
      <c r="R133" s="28"/>
      <c r="S133" s="28"/>
      <c r="T133" s="28"/>
      <c r="U133" s="28"/>
      <c r="V133" s="28"/>
      <c r="W133" s="28"/>
      <c r="X133" s="28"/>
      <c r="Y133" s="28"/>
      <c r="Z133" s="28"/>
    </row>
    <row r="134" ht="12.75" customHeight="1">
      <c r="A134" s="28"/>
      <c r="B134" s="28"/>
      <c r="C134" s="144"/>
      <c r="D134" s="144"/>
      <c r="E134" s="144"/>
      <c r="F134" s="144"/>
      <c r="G134" s="144"/>
      <c r="H134" s="145"/>
      <c r="I134" s="144"/>
      <c r="J134" s="28"/>
      <c r="K134" s="28"/>
      <c r="L134" s="28"/>
      <c r="M134" s="140"/>
      <c r="N134" s="140"/>
      <c r="O134" s="140"/>
      <c r="P134" s="140"/>
      <c r="Q134" s="140"/>
      <c r="R134" s="28"/>
      <c r="S134" s="28"/>
      <c r="T134" s="28"/>
      <c r="U134" s="28"/>
      <c r="V134" s="28"/>
      <c r="W134" s="28"/>
      <c r="X134" s="28"/>
      <c r="Y134" s="28"/>
      <c r="Z134" s="28"/>
    </row>
    <row r="135" ht="12.75" customHeight="1">
      <c r="A135" s="28"/>
      <c r="B135" s="28"/>
      <c r="C135" s="144"/>
      <c r="D135" s="144"/>
      <c r="E135" s="144"/>
      <c r="F135" s="144"/>
      <c r="G135" s="144"/>
      <c r="H135" s="145"/>
      <c r="I135" s="144"/>
      <c r="J135" s="28"/>
      <c r="K135" s="28"/>
      <c r="L135" s="28"/>
      <c r="M135" s="140"/>
      <c r="N135" s="140"/>
      <c r="O135" s="140"/>
      <c r="P135" s="140"/>
      <c r="Q135" s="140"/>
      <c r="R135" s="28"/>
      <c r="S135" s="28"/>
      <c r="T135" s="28"/>
      <c r="U135" s="28"/>
      <c r="V135" s="28"/>
      <c r="W135" s="28"/>
      <c r="X135" s="28"/>
      <c r="Y135" s="28"/>
      <c r="Z135" s="28"/>
    </row>
    <row r="136" ht="12.75" customHeight="1">
      <c r="A136" s="28"/>
      <c r="B136" s="28"/>
      <c r="C136" s="144"/>
      <c r="D136" s="144"/>
      <c r="E136" s="144"/>
      <c r="F136" s="144"/>
      <c r="G136" s="144"/>
      <c r="H136" s="145"/>
      <c r="I136" s="144"/>
      <c r="J136" s="28"/>
      <c r="K136" s="28"/>
      <c r="L136" s="28"/>
      <c r="M136" s="140"/>
      <c r="N136" s="140"/>
      <c r="O136" s="140"/>
      <c r="P136" s="140"/>
      <c r="Q136" s="140"/>
      <c r="R136" s="28"/>
      <c r="S136" s="28"/>
      <c r="T136" s="28"/>
      <c r="U136" s="28"/>
      <c r="V136" s="28"/>
      <c r="W136" s="28"/>
      <c r="X136" s="28"/>
      <c r="Y136" s="28"/>
      <c r="Z136" s="28"/>
    </row>
    <row r="137" ht="12.75" customHeight="1">
      <c r="A137" s="28"/>
      <c r="B137" s="28"/>
      <c r="C137" s="144"/>
      <c r="D137" s="144"/>
      <c r="E137" s="144"/>
      <c r="F137" s="144"/>
      <c r="G137" s="144"/>
      <c r="H137" s="145"/>
      <c r="I137" s="144"/>
      <c r="J137" s="28"/>
      <c r="K137" s="28"/>
      <c r="L137" s="28"/>
      <c r="M137" s="140"/>
      <c r="N137" s="140"/>
      <c r="O137" s="140"/>
      <c r="P137" s="140"/>
      <c r="Q137" s="140"/>
      <c r="R137" s="28"/>
      <c r="S137" s="28"/>
      <c r="T137" s="28"/>
      <c r="U137" s="28"/>
      <c r="V137" s="28"/>
      <c r="W137" s="28"/>
      <c r="X137" s="28"/>
      <c r="Y137" s="28"/>
      <c r="Z137" s="28"/>
    </row>
    <row r="138" ht="12.75" customHeight="1">
      <c r="A138" s="28"/>
      <c r="B138" s="28"/>
      <c r="C138" s="144"/>
      <c r="D138" s="144"/>
      <c r="E138" s="144"/>
      <c r="F138" s="144"/>
      <c r="G138" s="144"/>
      <c r="H138" s="145"/>
      <c r="I138" s="144"/>
      <c r="J138" s="28"/>
      <c r="K138" s="28"/>
      <c r="L138" s="28"/>
      <c r="M138" s="140"/>
      <c r="N138" s="140"/>
      <c r="O138" s="140"/>
      <c r="P138" s="140"/>
      <c r="Q138" s="140"/>
      <c r="R138" s="28"/>
      <c r="S138" s="28"/>
      <c r="T138" s="28"/>
      <c r="U138" s="28"/>
      <c r="V138" s="28"/>
      <c r="W138" s="28"/>
      <c r="X138" s="28"/>
      <c r="Y138" s="28"/>
      <c r="Z138" s="28"/>
    </row>
    <row r="139" ht="12.75" customHeight="1">
      <c r="A139" s="28"/>
      <c r="B139" s="28"/>
      <c r="C139" s="144"/>
      <c r="D139" s="144"/>
      <c r="E139" s="144"/>
      <c r="F139" s="144"/>
      <c r="G139" s="144"/>
      <c r="H139" s="145"/>
      <c r="I139" s="144"/>
      <c r="J139" s="28"/>
      <c r="K139" s="28"/>
      <c r="L139" s="28"/>
      <c r="M139" s="140"/>
      <c r="N139" s="140"/>
      <c r="O139" s="140"/>
      <c r="P139" s="140"/>
      <c r="Q139" s="140"/>
      <c r="R139" s="28"/>
      <c r="S139" s="28"/>
      <c r="T139" s="28"/>
      <c r="U139" s="28"/>
      <c r="V139" s="28"/>
      <c r="W139" s="28"/>
      <c r="X139" s="28"/>
      <c r="Y139" s="28"/>
      <c r="Z139" s="28"/>
    </row>
    <row r="140" ht="12.75" customHeight="1">
      <c r="A140" s="28"/>
      <c r="B140" s="28"/>
      <c r="C140" s="144"/>
      <c r="D140" s="144"/>
      <c r="E140" s="144"/>
      <c r="F140" s="144"/>
      <c r="G140" s="144"/>
      <c r="H140" s="145"/>
      <c r="I140" s="144"/>
      <c r="J140" s="28"/>
      <c r="K140" s="28"/>
      <c r="L140" s="28"/>
      <c r="M140" s="140"/>
      <c r="N140" s="140"/>
      <c r="O140" s="140"/>
      <c r="P140" s="140"/>
      <c r="Q140" s="140"/>
      <c r="R140" s="28"/>
      <c r="S140" s="28"/>
      <c r="T140" s="28"/>
      <c r="U140" s="28"/>
      <c r="V140" s="28"/>
      <c r="W140" s="28"/>
      <c r="X140" s="28"/>
      <c r="Y140" s="28"/>
      <c r="Z140" s="28"/>
    </row>
    <row r="141" ht="12.75" customHeight="1">
      <c r="A141" s="28"/>
      <c r="B141" s="28"/>
      <c r="C141" s="144"/>
      <c r="D141" s="144"/>
      <c r="E141" s="144"/>
      <c r="F141" s="144"/>
      <c r="G141" s="144"/>
      <c r="H141" s="145"/>
      <c r="I141" s="144"/>
      <c r="J141" s="28"/>
      <c r="K141" s="28"/>
      <c r="L141" s="28"/>
      <c r="M141" s="140"/>
      <c r="N141" s="140"/>
      <c r="O141" s="140"/>
      <c r="P141" s="140"/>
      <c r="Q141" s="140"/>
      <c r="R141" s="28"/>
      <c r="S141" s="28"/>
      <c r="T141" s="28"/>
      <c r="U141" s="28"/>
      <c r="V141" s="28"/>
      <c r="W141" s="28"/>
      <c r="X141" s="28"/>
      <c r="Y141" s="28"/>
      <c r="Z141" s="28"/>
    </row>
    <row r="142" ht="12.75" customHeight="1">
      <c r="A142" s="28"/>
      <c r="B142" s="28"/>
      <c r="C142" s="144"/>
      <c r="D142" s="144"/>
      <c r="E142" s="144"/>
      <c r="F142" s="144"/>
      <c r="G142" s="144"/>
      <c r="H142" s="145"/>
      <c r="I142" s="144"/>
      <c r="J142" s="28"/>
      <c r="K142" s="28"/>
      <c r="L142" s="28"/>
      <c r="M142" s="140"/>
      <c r="N142" s="140"/>
      <c r="O142" s="140"/>
      <c r="P142" s="140"/>
      <c r="Q142" s="140"/>
      <c r="R142" s="28"/>
      <c r="S142" s="28"/>
      <c r="T142" s="28"/>
      <c r="U142" s="28"/>
      <c r="V142" s="28"/>
      <c r="W142" s="28"/>
      <c r="X142" s="28"/>
      <c r="Y142" s="28"/>
      <c r="Z142" s="28"/>
    </row>
    <row r="143" ht="12.75" customHeight="1">
      <c r="A143" s="28"/>
      <c r="B143" s="28"/>
      <c r="C143" s="144"/>
      <c r="D143" s="144"/>
      <c r="E143" s="144"/>
      <c r="F143" s="144"/>
      <c r="G143" s="144"/>
      <c r="H143" s="145"/>
      <c r="I143" s="144"/>
      <c r="J143" s="28"/>
      <c r="K143" s="28"/>
      <c r="L143" s="28"/>
      <c r="M143" s="140"/>
      <c r="N143" s="140"/>
      <c r="O143" s="140"/>
      <c r="P143" s="140"/>
      <c r="Q143" s="140"/>
      <c r="R143" s="28"/>
      <c r="S143" s="28"/>
      <c r="T143" s="28"/>
      <c r="U143" s="28"/>
      <c r="V143" s="28"/>
      <c r="W143" s="28"/>
      <c r="X143" s="28"/>
      <c r="Y143" s="28"/>
      <c r="Z143" s="28"/>
    </row>
    <row r="144" ht="12.75" customHeight="1">
      <c r="A144" s="28"/>
      <c r="B144" s="28"/>
      <c r="C144" s="144"/>
      <c r="D144" s="144"/>
      <c r="E144" s="144"/>
      <c r="F144" s="144"/>
      <c r="G144" s="144"/>
      <c r="H144" s="145"/>
      <c r="I144" s="144"/>
      <c r="J144" s="28"/>
      <c r="K144" s="28"/>
      <c r="L144" s="28"/>
      <c r="M144" s="140"/>
      <c r="N144" s="140"/>
      <c r="O144" s="140"/>
      <c r="P144" s="140"/>
      <c r="Q144" s="140"/>
      <c r="R144" s="28"/>
      <c r="S144" s="28"/>
      <c r="T144" s="28"/>
      <c r="U144" s="28"/>
      <c r="V144" s="28"/>
      <c r="W144" s="28"/>
      <c r="X144" s="28"/>
      <c r="Y144" s="28"/>
      <c r="Z144" s="28"/>
    </row>
    <row r="145" ht="12.75" customHeight="1">
      <c r="A145" s="28"/>
      <c r="B145" s="28"/>
      <c r="C145" s="144"/>
      <c r="D145" s="144"/>
      <c r="E145" s="144"/>
      <c r="F145" s="144"/>
      <c r="G145" s="144"/>
      <c r="H145" s="145"/>
      <c r="I145" s="144"/>
      <c r="J145" s="28"/>
      <c r="K145" s="28"/>
      <c r="L145" s="28"/>
      <c r="M145" s="140"/>
      <c r="N145" s="140"/>
      <c r="O145" s="140"/>
      <c r="P145" s="140"/>
      <c r="Q145" s="140"/>
      <c r="R145" s="28"/>
      <c r="S145" s="28"/>
      <c r="T145" s="28"/>
      <c r="U145" s="28"/>
      <c r="V145" s="28"/>
      <c r="W145" s="28"/>
      <c r="X145" s="28"/>
      <c r="Y145" s="28"/>
      <c r="Z145" s="28"/>
    </row>
    <row r="146" ht="12.75" customHeight="1">
      <c r="A146" s="28"/>
      <c r="B146" s="28"/>
      <c r="C146" s="144"/>
      <c r="D146" s="144"/>
      <c r="E146" s="144"/>
      <c r="F146" s="144"/>
      <c r="G146" s="144"/>
      <c r="H146" s="145"/>
      <c r="I146" s="144"/>
      <c r="J146" s="28"/>
      <c r="K146" s="28"/>
      <c r="L146" s="28"/>
      <c r="M146" s="140"/>
      <c r="N146" s="140"/>
      <c r="O146" s="140"/>
      <c r="P146" s="140"/>
      <c r="Q146" s="140"/>
      <c r="R146" s="28"/>
      <c r="S146" s="28"/>
      <c r="T146" s="28"/>
      <c r="U146" s="28"/>
      <c r="V146" s="28"/>
      <c r="W146" s="28"/>
      <c r="X146" s="28"/>
      <c r="Y146" s="28"/>
      <c r="Z146" s="28"/>
    </row>
    <row r="147" ht="12.75" customHeight="1">
      <c r="A147" s="28"/>
      <c r="B147" s="28"/>
      <c r="C147" s="144"/>
      <c r="D147" s="144"/>
      <c r="E147" s="144"/>
      <c r="F147" s="144"/>
      <c r="G147" s="144"/>
      <c r="H147" s="145"/>
      <c r="I147" s="144"/>
      <c r="J147" s="28"/>
      <c r="K147" s="28"/>
      <c r="L147" s="28"/>
      <c r="M147" s="140"/>
      <c r="N147" s="140"/>
      <c r="O147" s="140"/>
      <c r="P147" s="140"/>
      <c r="Q147" s="140"/>
      <c r="R147" s="28"/>
      <c r="S147" s="28"/>
      <c r="T147" s="28"/>
      <c r="U147" s="28"/>
      <c r="V147" s="28"/>
      <c r="W147" s="28"/>
      <c r="X147" s="28"/>
      <c r="Y147" s="28"/>
      <c r="Z147" s="28"/>
    </row>
    <row r="148" ht="12.75" customHeight="1">
      <c r="A148" s="28"/>
      <c r="B148" s="28"/>
      <c r="C148" s="144"/>
      <c r="D148" s="144"/>
      <c r="E148" s="144"/>
      <c r="F148" s="144"/>
      <c r="G148" s="144"/>
      <c r="H148" s="145"/>
      <c r="I148" s="144"/>
      <c r="J148" s="28"/>
      <c r="K148" s="28"/>
      <c r="L148" s="28"/>
      <c r="M148" s="140"/>
      <c r="N148" s="140"/>
      <c r="O148" s="140"/>
      <c r="P148" s="140"/>
      <c r="Q148" s="140"/>
      <c r="R148" s="28"/>
      <c r="S148" s="28"/>
      <c r="T148" s="28"/>
      <c r="U148" s="28"/>
      <c r="V148" s="28"/>
      <c r="W148" s="28"/>
      <c r="X148" s="28"/>
      <c r="Y148" s="28"/>
      <c r="Z148" s="28"/>
    </row>
    <row r="149" ht="12.75" customHeight="1">
      <c r="A149" s="28"/>
      <c r="B149" s="28"/>
      <c r="C149" s="144"/>
      <c r="D149" s="144"/>
      <c r="E149" s="144"/>
      <c r="F149" s="144"/>
      <c r="G149" s="144"/>
      <c r="H149" s="145"/>
      <c r="I149" s="144"/>
      <c r="J149" s="28"/>
      <c r="K149" s="28"/>
      <c r="L149" s="28"/>
      <c r="M149" s="140"/>
      <c r="N149" s="140"/>
      <c r="O149" s="140"/>
      <c r="P149" s="140"/>
      <c r="Q149" s="140"/>
      <c r="R149" s="28"/>
      <c r="S149" s="28"/>
      <c r="T149" s="28"/>
      <c r="U149" s="28"/>
      <c r="V149" s="28"/>
      <c r="W149" s="28"/>
      <c r="X149" s="28"/>
      <c r="Y149" s="28"/>
      <c r="Z149" s="28"/>
    </row>
    <row r="150" ht="12.75" customHeight="1">
      <c r="A150" s="28"/>
      <c r="B150" s="28"/>
      <c r="C150" s="144"/>
      <c r="D150" s="144"/>
      <c r="E150" s="144"/>
      <c r="F150" s="144"/>
      <c r="G150" s="144"/>
      <c r="H150" s="145"/>
      <c r="I150" s="144"/>
      <c r="J150" s="28"/>
      <c r="K150" s="28"/>
      <c r="L150" s="28"/>
      <c r="M150" s="140"/>
      <c r="N150" s="140"/>
      <c r="O150" s="140"/>
      <c r="P150" s="140"/>
      <c r="Q150" s="140"/>
      <c r="R150" s="28"/>
      <c r="S150" s="28"/>
      <c r="T150" s="28"/>
      <c r="U150" s="28"/>
      <c r="V150" s="28"/>
      <c r="W150" s="28"/>
      <c r="X150" s="28"/>
      <c r="Y150" s="28"/>
      <c r="Z150" s="28"/>
    </row>
    <row r="151" ht="12.75" customHeight="1">
      <c r="A151" s="28"/>
      <c r="B151" s="28"/>
      <c r="C151" s="144"/>
      <c r="D151" s="144"/>
      <c r="E151" s="144"/>
      <c r="F151" s="144"/>
      <c r="G151" s="144"/>
      <c r="H151" s="145"/>
      <c r="I151" s="144"/>
      <c r="J151" s="28"/>
      <c r="K151" s="28"/>
      <c r="L151" s="28"/>
      <c r="M151" s="140"/>
      <c r="N151" s="140"/>
      <c r="O151" s="140"/>
      <c r="P151" s="140"/>
      <c r="Q151" s="140"/>
      <c r="R151" s="28"/>
      <c r="S151" s="28"/>
      <c r="T151" s="28"/>
      <c r="U151" s="28"/>
      <c r="V151" s="28"/>
      <c r="W151" s="28"/>
      <c r="X151" s="28"/>
      <c r="Y151" s="28"/>
      <c r="Z151" s="28"/>
    </row>
    <row r="152" ht="12.75" customHeight="1">
      <c r="A152" s="28"/>
      <c r="B152" s="28"/>
      <c r="C152" s="144"/>
      <c r="D152" s="144"/>
      <c r="E152" s="144"/>
      <c r="F152" s="144"/>
      <c r="G152" s="144"/>
      <c r="H152" s="145"/>
      <c r="I152" s="144"/>
      <c r="J152" s="28"/>
      <c r="K152" s="28"/>
      <c r="L152" s="28"/>
      <c r="M152" s="140"/>
      <c r="N152" s="140"/>
      <c r="O152" s="140"/>
      <c r="P152" s="140"/>
      <c r="Q152" s="140"/>
      <c r="R152" s="28"/>
      <c r="S152" s="28"/>
      <c r="T152" s="28"/>
      <c r="U152" s="28"/>
      <c r="V152" s="28"/>
      <c r="W152" s="28"/>
      <c r="X152" s="28"/>
      <c r="Y152" s="28"/>
      <c r="Z152" s="28"/>
    </row>
    <row r="153" ht="12.75" customHeight="1">
      <c r="A153" s="28"/>
      <c r="B153" s="28"/>
      <c r="C153" s="144"/>
      <c r="D153" s="144"/>
      <c r="E153" s="144"/>
      <c r="F153" s="144"/>
      <c r="G153" s="144"/>
      <c r="H153" s="145"/>
      <c r="I153" s="144"/>
      <c r="J153" s="28"/>
      <c r="K153" s="28"/>
      <c r="L153" s="28"/>
      <c r="M153" s="140"/>
      <c r="N153" s="140"/>
      <c r="O153" s="140"/>
      <c r="P153" s="140"/>
      <c r="Q153" s="140"/>
      <c r="R153" s="28"/>
      <c r="S153" s="28"/>
      <c r="T153" s="28"/>
      <c r="U153" s="28"/>
      <c r="V153" s="28"/>
      <c r="W153" s="28"/>
      <c r="X153" s="28"/>
      <c r="Y153" s="28"/>
      <c r="Z153" s="28"/>
    </row>
    <row r="154" ht="12.75" customHeight="1">
      <c r="A154" s="28"/>
      <c r="B154" s="28"/>
      <c r="C154" s="144"/>
      <c r="D154" s="144"/>
      <c r="E154" s="144"/>
      <c r="F154" s="144"/>
      <c r="G154" s="144"/>
      <c r="H154" s="145"/>
      <c r="I154" s="144"/>
      <c r="J154" s="28"/>
      <c r="K154" s="28"/>
      <c r="L154" s="28"/>
      <c r="M154" s="140"/>
      <c r="N154" s="140"/>
      <c r="O154" s="140"/>
      <c r="P154" s="140"/>
      <c r="Q154" s="140"/>
      <c r="R154" s="28"/>
      <c r="S154" s="28"/>
      <c r="T154" s="28"/>
      <c r="U154" s="28"/>
      <c r="V154" s="28"/>
      <c r="W154" s="28"/>
      <c r="X154" s="28"/>
      <c r="Y154" s="28"/>
      <c r="Z154" s="28"/>
    </row>
    <row r="155" ht="12.75" customHeight="1">
      <c r="A155" s="28"/>
      <c r="B155" s="28"/>
      <c r="C155" s="144"/>
      <c r="D155" s="144"/>
      <c r="E155" s="144"/>
      <c r="F155" s="144"/>
      <c r="G155" s="144"/>
      <c r="H155" s="145"/>
      <c r="I155" s="144"/>
      <c r="J155" s="28"/>
      <c r="K155" s="28"/>
      <c r="L155" s="28"/>
      <c r="M155" s="140"/>
      <c r="N155" s="140"/>
      <c r="O155" s="140"/>
      <c r="P155" s="140"/>
      <c r="Q155" s="140"/>
      <c r="R155" s="28"/>
      <c r="S155" s="28"/>
      <c r="T155" s="28"/>
      <c r="U155" s="28"/>
      <c r="V155" s="28"/>
      <c r="W155" s="28"/>
      <c r="X155" s="28"/>
      <c r="Y155" s="28"/>
      <c r="Z155" s="28"/>
    </row>
    <row r="156" ht="12.75" customHeight="1">
      <c r="A156" s="28"/>
      <c r="B156" s="28"/>
      <c r="C156" s="144"/>
      <c r="D156" s="144"/>
      <c r="E156" s="144"/>
      <c r="F156" s="144"/>
      <c r="G156" s="144"/>
      <c r="H156" s="145"/>
      <c r="I156" s="144"/>
      <c r="J156" s="28"/>
      <c r="K156" s="28"/>
      <c r="L156" s="28"/>
      <c r="M156" s="140"/>
      <c r="N156" s="140"/>
      <c r="O156" s="140"/>
      <c r="P156" s="140"/>
      <c r="Q156" s="140"/>
      <c r="R156" s="28"/>
      <c r="S156" s="28"/>
      <c r="T156" s="28"/>
      <c r="U156" s="28"/>
      <c r="V156" s="28"/>
      <c r="W156" s="28"/>
      <c r="X156" s="28"/>
      <c r="Y156" s="28"/>
      <c r="Z156" s="28"/>
    </row>
    <row r="157" ht="12.75" customHeight="1">
      <c r="A157" s="28"/>
      <c r="B157" s="28"/>
      <c r="C157" s="144"/>
      <c r="D157" s="144"/>
      <c r="E157" s="144"/>
      <c r="F157" s="144"/>
      <c r="G157" s="144"/>
      <c r="H157" s="145"/>
      <c r="I157" s="144"/>
      <c r="J157" s="28"/>
      <c r="K157" s="28"/>
      <c r="L157" s="28"/>
      <c r="M157" s="140"/>
      <c r="N157" s="140"/>
      <c r="O157" s="140"/>
      <c r="P157" s="140"/>
      <c r="Q157" s="140"/>
      <c r="R157" s="28"/>
      <c r="S157" s="28"/>
      <c r="T157" s="28"/>
      <c r="U157" s="28"/>
      <c r="V157" s="28"/>
      <c r="W157" s="28"/>
      <c r="X157" s="28"/>
      <c r="Y157" s="28"/>
      <c r="Z157" s="28"/>
    </row>
    <row r="158" ht="12.75" customHeight="1">
      <c r="A158" s="28"/>
      <c r="B158" s="28"/>
      <c r="C158" s="144"/>
      <c r="D158" s="144"/>
      <c r="E158" s="144"/>
      <c r="F158" s="144"/>
      <c r="G158" s="144"/>
      <c r="H158" s="145"/>
      <c r="I158" s="144"/>
      <c r="J158" s="28"/>
      <c r="K158" s="28"/>
      <c r="L158" s="28"/>
      <c r="M158" s="140"/>
      <c r="N158" s="140"/>
      <c r="O158" s="140"/>
      <c r="P158" s="140"/>
      <c r="Q158" s="140"/>
      <c r="R158" s="28"/>
      <c r="S158" s="28"/>
      <c r="T158" s="28"/>
      <c r="U158" s="28"/>
      <c r="V158" s="28"/>
      <c r="W158" s="28"/>
      <c r="X158" s="28"/>
      <c r="Y158" s="28"/>
      <c r="Z158" s="28"/>
    </row>
    <row r="159" ht="12.75" customHeight="1">
      <c r="A159" s="28"/>
      <c r="B159" s="28"/>
      <c r="C159" s="144"/>
      <c r="D159" s="144"/>
      <c r="E159" s="144"/>
      <c r="F159" s="144"/>
      <c r="G159" s="144"/>
      <c r="H159" s="145"/>
      <c r="I159" s="144"/>
      <c r="J159" s="28"/>
      <c r="K159" s="28"/>
      <c r="L159" s="28"/>
      <c r="M159" s="140"/>
      <c r="N159" s="140"/>
      <c r="O159" s="140"/>
      <c r="P159" s="140"/>
      <c r="Q159" s="140"/>
      <c r="R159" s="28"/>
      <c r="S159" s="28"/>
      <c r="T159" s="28"/>
      <c r="U159" s="28"/>
      <c r="V159" s="28"/>
      <c r="W159" s="28"/>
      <c r="X159" s="28"/>
      <c r="Y159" s="28"/>
      <c r="Z159" s="28"/>
    </row>
    <row r="160" ht="12.75" customHeight="1">
      <c r="A160" s="28"/>
      <c r="B160" s="28"/>
      <c r="C160" s="144"/>
      <c r="D160" s="144"/>
      <c r="E160" s="144"/>
      <c r="F160" s="144"/>
      <c r="G160" s="144"/>
      <c r="H160" s="145"/>
      <c r="I160" s="144"/>
      <c r="J160" s="28"/>
      <c r="K160" s="28"/>
      <c r="L160" s="28"/>
      <c r="M160" s="140"/>
      <c r="N160" s="140"/>
      <c r="O160" s="140"/>
      <c r="P160" s="140"/>
      <c r="Q160" s="140"/>
      <c r="R160" s="28"/>
      <c r="S160" s="28"/>
      <c r="T160" s="28"/>
      <c r="U160" s="28"/>
      <c r="V160" s="28"/>
      <c r="W160" s="28"/>
      <c r="X160" s="28"/>
      <c r="Y160" s="28"/>
      <c r="Z160" s="28"/>
    </row>
    <row r="161" ht="12.75" customHeight="1">
      <c r="A161" s="28"/>
      <c r="B161" s="28"/>
      <c r="C161" s="144"/>
      <c r="D161" s="144"/>
      <c r="E161" s="144"/>
      <c r="F161" s="144"/>
      <c r="G161" s="144"/>
      <c r="H161" s="145"/>
      <c r="I161" s="144"/>
      <c r="J161" s="28"/>
      <c r="K161" s="28"/>
      <c r="L161" s="28"/>
      <c r="M161" s="140"/>
      <c r="N161" s="140"/>
      <c r="O161" s="140"/>
      <c r="P161" s="140"/>
      <c r="Q161" s="140"/>
      <c r="R161" s="28"/>
      <c r="S161" s="28"/>
      <c r="T161" s="28"/>
      <c r="U161" s="28"/>
      <c r="V161" s="28"/>
      <c r="W161" s="28"/>
      <c r="X161" s="28"/>
      <c r="Y161" s="28"/>
      <c r="Z161" s="28"/>
    </row>
    <row r="162" ht="12.75" customHeight="1">
      <c r="A162" s="28"/>
      <c r="B162" s="28"/>
      <c r="C162" s="144"/>
      <c r="D162" s="144"/>
      <c r="E162" s="144"/>
      <c r="F162" s="144"/>
      <c r="G162" s="144"/>
      <c r="H162" s="145"/>
      <c r="I162" s="144"/>
      <c r="J162" s="28"/>
      <c r="K162" s="28"/>
      <c r="L162" s="28"/>
      <c r="M162" s="140"/>
      <c r="N162" s="140"/>
      <c r="O162" s="140"/>
      <c r="P162" s="140"/>
      <c r="Q162" s="140"/>
      <c r="R162" s="28"/>
      <c r="S162" s="28"/>
      <c r="T162" s="28"/>
      <c r="U162" s="28"/>
      <c r="V162" s="28"/>
      <c r="W162" s="28"/>
      <c r="X162" s="28"/>
      <c r="Y162" s="28"/>
      <c r="Z162" s="28"/>
    </row>
    <row r="163" ht="12.75" customHeight="1">
      <c r="A163" s="28"/>
      <c r="B163" s="28"/>
      <c r="C163" s="144"/>
      <c r="D163" s="144"/>
      <c r="E163" s="144"/>
      <c r="F163" s="144"/>
      <c r="G163" s="144"/>
      <c r="H163" s="145"/>
      <c r="I163" s="144"/>
      <c r="J163" s="28"/>
      <c r="K163" s="28"/>
      <c r="L163" s="28"/>
      <c r="M163" s="140"/>
      <c r="N163" s="140"/>
      <c r="O163" s="140"/>
      <c r="P163" s="140"/>
      <c r="Q163" s="140"/>
      <c r="R163" s="28"/>
      <c r="S163" s="28"/>
      <c r="T163" s="28"/>
      <c r="U163" s="28"/>
      <c r="V163" s="28"/>
      <c r="W163" s="28"/>
      <c r="X163" s="28"/>
      <c r="Y163" s="28"/>
      <c r="Z163" s="28"/>
    </row>
    <row r="164" ht="12.75" customHeight="1">
      <c r="A164" s="28"/>
      <c r="B164" s="28"/>
      <c r="C164" s="144"/>
      <c r="D164" s="144"/>
      <c r="E164" s="144"/>
      <c r="F164" s="144"/>
      <c r="G164" s="144"/>
      <c r="H164" s="145"/>
      <c r="I164" s="144"/>
      <c r="J164" s="28"/>
      <c r="K164" s="28"/>
      <c r="L164" s="28"/>
      <c r="M164" s="140"/>
      <c r="N164" s="140"/>
      <c r="O164" s="140"/>
      <c r="P164" s="140"/>
      <c r="Q164" s="140"/>
      <c r="R164" s="28"/>
      <c r="S164" s="28"/>
      <c r="T164" s="28"/>
      <c r="U164" s="28"/>
      <c r="V164" s="28"/>
      <c r="W164" s="28"/>
      <c r="X164" s="28"/>
      <c r="Y164" s="28"/>
      <c r="Z164" s="28"/>
    </row>
    <row r="165" ht="12.75" customHeight="1">
      <c r="A165" s="28"/>
      <c r="B165" s="28"/>
      <c r="C165" s="144"/>
      <c r="D165" s="144"/>
      <c r="E165" s="144"/>
      <c r="F165" s="144"/>
      <c r="G165" s="144"/>
      <c r="H165" s="145"/>
      <c r="I165" s="144"/>
      <c r="J165" s="28"/>
      <c r="K165" s="28"/>
      <c r="L165" s="28"/>
      <c r="M165" s="140"/>
      <c r="N165" s="140"/>
      <c r="O165" s="140"/>
      <c r="P165" s="140"/>
      <c r="Q165" s="140"/>
      <c r="R165" s="28"/>
      <c r="S165" s="28"/>
      <c r="T165" s="28"/>
      <c r="U165" s="28"/>
      <c r="V165" s="28"/>
      <c r="W165" s="28"/>
      <c r="X165" s="28"/>
      <c r="Y165" s="28"/>
      <c r="Z165" s="28"/>
    </row>
    <row r="166" ht="12.75" customHeight="1">
      <c r="A166" s="28"/>
      <c r="B166" s="28"/>
      <c r="C166" s="144"/>
      <c r="D166" s="144"/>
      <c r="E166" s="144"/>
      <c r="F166" s="144"/>
      <c r="G166" s="144"/>
      <c r="H166" s="145"/>
      <c r="I166" s="144"/>
      <c r="J166" s="28"/>
      <c r="K166" s="28"/>
      <c r="L166" s="28"/>
      <c r="M166" s="140"/>
      <c r="N166" s="140"/>
      <c r="O166" s="140"/>
      <c r="P166" s="140"/>
      <c r="Q166" s="140"/>
      <c r="R166" s="28"/>
      <c r="S166" s="28"/>
      <c r="T166" s="28"/>
      <c r="U166" s="28"/>
      <c r="V166" s="28"/>
      <c r="W166" s="28"/>
      <c r="X166" s="28"/>
      <c r="Y166" s="28"/>
      <c r="Z166" s="28"/>
    </row>
    <row r="167" ht="12.75" customHeight="1">
      <c r="A167" s="28"/>
      <c r="B167" s="28"/>
      <c r="C167" s="144"/>
      <c r="D167" s="144"/>
      <c r="E167" s="144"/>
      <c r="F167" s="144"/>
      <c r="G167" s="144"/>
      <c r="H167" s="145"/>
      <c r="I167" s="144"/>
      <c r="J167" s="28"/>
      <c r="K167" s="28"/>
      <c r="L167" s="28"/>
      <c r="M167" s="140"/>
      <c r="N167" s="140"/>
      <c r="O167" s="140"/>
      <c r="P167" s="140"/>
      <c r="Q167" s="140"/>
      <c r="R167" s="28"/>
      <c r="S167" s="28"/>
      <c r="T167" s="28"/>
      <c r="U167" s="28"/>
      <c r="V167" s="28"/>
      <c r="W167" s="28"/>
      <c r="X167" s="28"/>
      <c r="Y167" s="28"/>
      <c r="Z167" s="28"/>
    </row>
    <row r="168" ht="12.75" customHeight="1">
      <c r="A168" s="28"/>
      <c r="B168" s="28"/>
      <c r="C168" s="144"/>
      <c r="D168" s="144"/>
      <c r="E168" s="144"/>
      <c r="F168" s="144"/>
      <c r="G168" s="144"/>
      <c r="H168" s="145"/>
      <c r="I168" s="144"/>
      <c r="J168" s="28"/>
      <c r="K168" s="28"/>
      <c r="L168" s="28"/>
      <c r="M168" s="140"/>
      <c r="N168" s="140"/>
      <c r="O168" s="140"/>
      <c r="P168" s="140"/>
      <c r="Q168" s="140"/>
      <c r="R168" s="28"/>
      <c r="S168" s="28"/>
      <c r="T168" s="28"/>
      <c r="U168" s="28"/>
      <c r="V168" s="28"/>
      <c r="W168" s="28"/>
      <c r="X168" s="28"/>
      <c r="Y168" s="28"/>
      <c r="Z168" s="28"/>
    </row>
    <row r="169" ht="12.75" customHeight="1">
      <c r="A169" s="28"/>
      <c r="B169" s="28"/>
      <c r="C169" s="144"/>
      <c r="D169" s="144"/>
      <c r="E169" s="144"/>
      <c r="F169" s="144"/>
      <c r="G169" s="144"/>
      <c r="H169" s="145"/>
      <c r="I169" s="144"/>
      <c r="J169" s="28"/>
      <c r="K169" s="28"/>
      <c r="L169" s="28"/>
      <c r="M169" s="140"/>
      <c r="N169" s="140"/>
      <c r="O169" s="140"/>
      <c r="P169" s="140"/>
      <c r="Q169" s="140"/>
      <c r="R169" s="28"/>
      <c r="S169" s="28"/>
      <c r="T169" s="28"/>
      <c r="U169" s="28"/>
      <c r="V169" s="28"/>
      <c r="W169" s="28"/>
      <c r="X169" s="28"/>
      <c r="Y169" s="28"/>
      <c r="Z169" s="28"/>
    </row>
    <row r="170" ht="12.75" customHeight="1">
      <c r="A170" s="28"/>
      <c r="B170" s="28"/>
      <c r="C170" s="144"/>
      <c r="D170" s="144"/>
      <c r="E170" s="144"/>
      <c r="F170" s="144"/>
      <c r="G170" s="144"/>
      <c r="H170" s="145"/>
      <c r="I170" s="144"/>
      <c r="J170" s="28"/>
      <c r="K170" s="28"/>
      <c r="L170" s="28"/>
      <c r="M170" s="140"/>
      <c r="N170" s="140"/>
      <c r="O170" s="140"/>
      <c r="P170" s="140"/>
      <c r="Q170" s="140"/>
      <c r="R170" s="28"/>
      <c r="S170" s="28"/>
      <c r="T170" s="28"/>
      <c r="U170" s="28"/>
      <c r="V170" s="28"/>
      <c r="W170" s="28"/>
      <c r="X170" s="28"/>
      <c r="Y170" s="28"/>
      <c r="Z170" s="28"/>
    </row>
    <row r="171" ht="12.75" customHeight="1">
      <c r="A171" s="28"/>
      <c r="B171" s="28"/>
      <c r="C171" s="144"/>
      <c r="D171" s="144"/>
      <c r="E171" s="144"/>
      <c r="F171" s="144"/>
      <c r="G171" s="144"/>
      <c r="H171" s="145"/>
      <c r="I171" s="144"/>
      <c r="J171" s="28"/>
      <c r="K171" s="28"/>
      <c r="L171" s="28"/>
      <c r="M171" s="140"/>
      <c r="N171" s="140"/>
      <c r="O171" s="140"/>
      <c r="P171" s="140"/>
      <c r="Q171" s="140"/>
      <c r="R171" s="28"/>
      <c r="S171" s="28"/>
      <c r="T171" s="28"/>
      <c r="U171" s="28"/>
      <c r="V171" s="28"/>
      <c r="W171" s="28"/>
      <c r="X171" s="28"/>
      <c r="Y171" s="28"/>
      <c r="Z171" s="28"/>
    </row>
    <row r="172" ht="12.75" customHeight="1">
      <c r="A172" s="28"/>
      <c r="B172" s="28"/>
      <c r="C172" s="144"/>
      <c r="D172" s="144"/>
      <c r="E172" s="144"/>
      <c r="F172" s="144"/>
      <c r="G172" s="144"/>
      <c r="H172" s="145"/>
      <c r="I172" s="144"/>
      <c r="J172" s="28"/>
      <c r="K172" s="28"/>
      <c r="L172" s="28"/>
      <c r="M172" s="140"/>
      <c r="N172" s="140"/>
      <c r="O172" s="140"/>
      <c r="P172" s="140"/>
      <c r="Q172" s="140"/>
      <c r="R172" s="28"/>
      <c r="S172" s="28"/>
      <c r="T172" s="28"/>
      <c r="U172" s="28"/>
      <c r="V172" s="28"/>
      <c r="W172" s="28"/>
      <c r="X172" s="28"/>
      <c r="Y172" s="28"/>
      <c r="Z172" s="28"/>
    </row>
    <row r="173" ht="12.75" customHeight="1">
      <c r="A173" s="28"/>
      <c r="B173" s="28"/>
      <c r="C173" s="144"/>
      <c r="D173" s="144"/>
      <c r="E173" s="144"/>
      <c r="F173" s="144"/>
      <c r="G173" s="144"/>
      <c r="H173" s="145"/>
      <c r="I173" s="144"/>
      <c r="J173" s="28"/>
      <c r="K173" s="28"/>
      <c r="L173" s="28"/>
      <c r="M173" s="140"/>
      <c r="N173" s="140"/>
      <c r="O173" s="140"/>
      <c r="P173" s="140"/>
      <c r="Q173" s="140"/>
      <c r="R173" s="28"/>
      <c r="S173" s="28"/>
      <c r="T173" s="28"/>
      <c r="U173" s="28"/>
      <c r="V173" s="28"/>
      <c r="W173" s="28"/>
      <c r="X173" s="28"/>
      <c r="Y173" s="28"/>
      <c r="Z173" s="28"/>
    </row>
    <row r="174" ht="12.75" customHeight="1">
      <c r="A174" s="28"/>
      <c r="B174" s="28"/>
      <c r="C174" s="144"/>
      <c r="D174" s="144"/>
      <c r="E174" s="144"/>
      <c r="F174" s="144"/>
      <c r="G174" s="144"/>
      <c r="H174" s="145"/>
      <c r="I174" s="144"/>
      <c r="J174" s="28"/>
      <c r="K174" s="28"/>
      <c r="L174" s="28"/>
      <c r="M174" s="140"/>
      <c r="N174" s="140"/>
      <c r="O174" s="140"/>
      <c r="P174" s="140"/>
      <c r="Q174" s="140"/>
      <c r="R174" s="28"/>
      <c r="S174" s="28"/>
      <c r="T174" s="28"/>
      <c r="U174" s="28"/>
      <c r="V174" s="28"/>
      <c r="W174" s="28"/>
      <c r="X174" s="28"/>
      <c r="Y174" s="28"/>
      <c r="Z174" s="28"/>
    </row>
    <row r="175" ht="12.75" customHeight="1">
      <c r="A175" s="28"/>
      <c r="B175" s="28"/>
      <c r="C175" s="144"/>
      <c r="D175" s="144"/>
      <c r="E175" s="144"/>
      <c r="F175" s="144"/>
      <c r="G175" s="144"/>
      <c r="H175" s="145"/>
      <c r="I175" s="144"/>
      <c r="J175" s="28"/>
      <c r="K175" s="28"/>
      <c r="L175" s="28"/>
      <c r="M175" s="140"/>
      <c r="N175" s="140"/>
      <c r="O175" s="140"/>
      <c r="P175" s="140"/>
      <c r="Q175" s="140"/>
      <c r="R175" s="28"/>
      <c r="S175" s="28"/>
      <c r="T175" s="28"/>
      <c r="U175" s="28"/>
      <c r="V175" s="28"/>
      <c r="W175" s="28"/>
      <c r="X175" s="28"/>
      <c r="Y175" s="28"/>
      <c r="Z175" s="28"/>
    </row>
    <row r="176" ht="12.75" customHeight="1">
      <c r="A176" s="28"/>
      <c r="B176" s="28"/>
      <c r="C176" s="144"/>
      <c r="D176" s="144"/>
      <c r="E176" s="144"/>
      <c r="F176" s="144"/>
      <c r="G176" s="144"/>
      <c r="H176" s="145"/>
      <c r="I176" s="144"/>
      <c r="J176" s="28"/>
      <c r="K176" s="28"/>
      <c r="L176" s="28"/>
      <c r="M176" s="140"/>
      <c r="N176" s="140"/>
      <c r="O176" s="140"/>
      <c r="P176" s="140"/>
      <c r="Q176" s="140"/>
      <c r="R176" s="28"/>
      <c r="S176" s="28"/>
      <c r="T176" s="28"/>
      <c r="U176" s="28"/>
      <c r="V176" s="28"/>
      <c r="W176" s="28"/>
      <c r="X176" s="28"/>
      <c r="Y176" s="28"/>
      <c r="Z176" s="28"/>
    </row>
    <row r="177" ht="12.75" customHeight="1">
      <c r="A177" s="28"/>
      <c r="B177" s="28"/>
      <c r="C177" s="144"/>
      <c r="D177" s="144"/>
      <c r="E177" s="144"/>
      <c r="F177" s="144"/>
      <c r="G177" s="144"/>
      <c r="H177" s="145"/>
      <c r="I177" s="144"/>
      <c r="J177" s="28"/>
      <c r="K177" s="28"/>
      <c r="L177" s="28"/>
      <c r="M177" s="140"/>
      <c r="N177" s="140"/>
      <c r="O177" s="140"/>
      <c r="P177" s="140"/>
      <c r="Q177" s="140"/>
      <c r="R177" s="28"/>
      <c r="S177" s="28"/>
      <c r="T177" s="28"/>
      <c r="U177" s="28"/>
      <c r="V177" s="28"/>
      <c r="W177" s="28"/>
      <c r="X177" s="28"/>
      <c r="Y177" s="28"/>
      <c r="Z177" s="28"/>
    </row>
    <row r="178" ht="12.75" customHeight="1">
      <c r="A178" s="28"/>
      <c r="B178" s="28"/>
      <c r="C178" s="144"/>
      <c r="D178" s="144"/>
      <c r="E178" s="144"/>
      <c r="F178" s="144"/>
      <c r="G178" s="144"/>
      <c r="H178" s="145"/>
      <c r="I178" s="144"/>
      <c r="J178" s="28"/>
      <c r="K178" s="28"/>
      <c r="L178" s="28"/>
      <c r="M178" s="140"/>
      <c r="N178" s="140"/>
      <c r="O178" s="140"/>
      <c r="P178" s="140"/>
      <c r="Q178" s="140"/>
      <c r="R178" s="28"/>
      <c r="S178" s="28"/>
      <c r="T178" s="28"/>
      <c r="U178" s="28"/>
      <c r="V178" s="28"/>
      <c r="W178" s="28"/>
      <c r="X178" s="28"/>
      <c r="Y178" s="28"/>
      <c r="Z178" s="28"/>
    </row>
    <row r="179" ht="12.75" customHeight="1">
      <c r="A179" s="28"/>
      <c r="B179" s="28"/>
      <c r="C179" s="144"/>
      <c r="D179" s="144"/>
      <c r="E179" s="144"/>
      <c r="F179" s="144"/>
      <c r="G179" s="144"/>
      <c r="H179" s="145"/>
      <c r="I179" s="144"/>
      <c r="J179" s="28"/>
      <c r="K179" s="28"/>
      <c r="L179" s="28"/>
      <c r="M179" s="140"/>
      <c r="N179" s="140"/>
      <c r="O179" s="140"/>
      <c r="P179" s="140"/>
      <c r="Q179" s="140"/>
      <c r="R179" s="28"/>
      <c r="S179" s="28"/>
      <c r="T179" s="28"/>
      <c r="U179" s="28"/>
      <c r="V179" s="28"/>
      <c r="W179" s="28"/>
      <c r="X179" s="28"/>
      <c r="Y179" s="28"/>
      <c r="Z179" s="28"/>
    </row>
    <row r="180" ht="12.75" customHeight="1">
      <c r="A180" s="28"/>
      <c r="B180" s="28"/>
      <c r="C180" s="144"/>
      <c r="D180" s="144"/>
      <c r="E180" s="144"/>
      <c r="F180" s="144"/>
      <c r="G180" s="144"/>
      <c r="H180" s="145"/>
      <c r="I180" s="144"/>
      <c r="J180" s="28"/>
      <c r="K180" s="28"/>
      <c r="L180" s="28"/>
      <c r="M180" s="140"/>
      <c r="N180" s="140"/>
      <c r="O180" s="140"/>
      <c r="P180" s="140"/>
      <c r="Q180" s="140"/>
      <c r="R180" s="28"/>
      <c r="S180" s="28"/>
      <c r="T180" s="28"/>
      <c r="U180" s="28"/>
      <c r="V180" s="28"/>
      <c r="W180" s="28"/>
      <c r="X180" s="28"/>
      <c r="Y180" s="28"/>
      <c r="Z180" s="28"/>
    </row>
    <row r="181" ht="12.75" customHeight="1">
      <c r="A181" s="28"/>
      <c r="B181" s="28"/>
      <c r="C181" s="144"/>
      <c r="D181" s="144"/>
      <c r="E181" s="144"/>
      <c r="F181" s="144"/>
      <c r="G181" s="144"/>
      <c r="H181" s="145"/>
      <c r="I181" s="144"/>
      <c r="J181" s="28"/>
      <c r="K181" s="28"/>
      <c r="L181" s="28"/>
      <c r="M181" s="140"/>
      <c r="N181" s="140"/>
      <c r="O181" s="140"/>
      <c r="P181" s="140"/>
      <c r="Q181" s="140"/>
      <c r="R181" s="28"/>
      <c r="S181" s="28"/>
      <c r="T181" s="28"/>
      <c r="U181" s="28"/>
      <c r="V181" s="28"/>
      <c r="W181" s="28"/>
      <c r="X181" s="28"/>
      <c r="Y181" s="28"/>
      <c r="Z181" s="28"/>
    </row>
    <row r="182" ht="12.75" customHeight="1">
      <c r="A182" s="28"/>
      <c r="B182" s="28"/>
      <c r="C182" s="144"/>
      <c r="D182" s="144"/>
      <c r="E182" s="144"/>
      <c r="F182" s="144"/>
      <c r="G182" s="144"/>
      <c r="H182" s="145"/>
      <c r="I182" s="144"/>
      <c r="J182" s="28"/>
      <c r="K182" s="28"/>
      <c r="L182" s="28"/>
      <c r="M182" s="140"/>
      <c r="N182" s="140"/>
      <c r="O182" s="140"/>
      <c r="P182" s="140"/>
      <c r="Q182" s="140"/>
      <c r="R182" s="28"/>
      <c r="S182" s="28"/>
      <c r="T182" s="28"/>
      <c r="U182" s="28"/>
      <c r="V182" s="28"/>
      <c r="W182" s="28"/>
      <c r="X182" s="28"/>
      <c r="Y182" s="28"/>
      <c r="Z182" s="28"/>
    </row>
    <row r="183" ht="12.75" customHeight="1">
      <c r="A183" s="28"/>
      <c r="B183" s="28"/>
      <c r="C183" s="144"/>
      <c r="D183" s="144"/>
      <c r="E183" s="144"/>
      <c r="F183" s="144"/>
      <c r="G183" s="144"/>
      <c r="H183" s="145"/>
      <c r="I183" s="144"/>
      <c r="J183" s="28"/>
      <c r="K183" s="28"/>
      <c r="L183" s="28"/>
      <c r="M183" s="140"/>
      <c r="N183" s="140"/>
      <c r="O183" s="140"/>
      <c r="P183" s="140"/>
      <c r="Q183" s="140"/>
      <c r="R183" s="28"/>
      <c r="S183" s="28"/>
      <c r="T183" s="28"/>
      <c r="U183" s="28"/>
      <c r="V183" s="28"/>
      <c r="W183" s="28"/>
      <c r="X183" s="28"/>
      <c r="Y183" s="28"/>
      <c r="Z183" s="28"/>
    </row>
    <row r="184" ht="12.75" customHeight="1">
      <c r="A184" s="28"/>
      <c r="B184" s="28"/>
      <c r="C184" s="144"/>
      <c r="D184" s="144"/>
      <c r="E184" s="144"/>
      <c r="F184" s="144"/>
      <c r="G184" s="144"/>
      <c r="H184" s="145"/>
      <c r="I184" s="144"/>
      <c r="J184" s="28"/>
      <c r="K184" s="28"/>
      <c r="L184" s="28"/>
      <c r="M184" s="140"/>
      <c r="N184" s="140"/>
      <c r="O184" s="140"/>
      <c r="P184" s="140"/>
      <c r="Q184" s="140"/>
      <c r="R184" s="28"/>
      <c r="S184" s="28"/>
      <c r="T184" s="28"/>
      <c r="U184" s="28"/>
      <c r="V184" s="28"/>
      <c r="W184" s="28"/>
      <c r="X184" s="28"/>
      <c r="Y184" s="28"/>
      <c r="Z184" s="28"/>
    </row>
    <row r="185" ht="12.75" customHeight="1">
      <c r="A185" s="28"/>
      <c r="B185" s="28"/>
      <c r="C185" s="144"/>
      <c r="D185" s="144"/>
      <c r="E185" s="144"/>
      <c r="F185" s="144"/>
      <c r="G185" s="144"/>
      <c r="H185" s="145"/>
      <c r="I185" s="144"/>
      <c r="J185" s="28"/>
      <c r="K185" s="28"/>
      <c r="L185" s="28"/>
      <c r="M185" s="140"/>
      <c r="N185" s="140"/>
      <c r="O185" s="140"/>
      <c r="P185" s="140"/>
      <c r="Q185" s="140"/>
      <c r="R185" s="28"/>
      <c r="S185" s="28"/>
      <c r="T185" s="28"/>
      <c r="U185" s="28"/>
      <c r="V185" s="28"/>
      <c r="W185" s="28"/>
      <c r="X185" s="28"/>
      <c r="Y185" s="28"/>
      <c r="Z185" s="28"/>
    </row>
    <row r="186" ht="12.75" customHeight="1">
      <c r="A186" s="28"/>
      <c r="B186" s="28"/>
      <c r="C186" s="144"/>
      <c r="D186" s="144"/>
      <c r="E186" s="144"/>
      <c r="F186" s="144"/>
      <c r="G186" s="144"/>
      <c r="H186" s="145"/>
      <c r="I186" s="144"/>
      <c r="J186" s="28"/>
      <c r="K186" s="28"/>
      <c r="L186" s="28"/>
      <c r="M186" s="140"/>
      <c r="N186" s="140"/>
      <c r="O186" s="140"/>
      <c r="P186" s="140"/>
      <c r="Q186" s="140"/>
      <c r="R186" s="28"/>
      <c r="S186" s="28"/>
      <c r="T186" s="28"/>
      <c r="U186" s="28"/>
      <c r="V186" s="28"/>
      <c r="W186" s="28"/>
      <c r="X186" s="28"/>
      <c r="Y186" s="28"/>
      <c r="Z186" s="28"/>
    </row>
    <row r="187" ht="12.75" customHeight="1">
      <c r="A187" s="28"/>
      <c r="B187" s="28"/>
      <c r="C187" s="144"/>
      <c r="D187" s="144"/>
      <c r="E187" s="144"/>
      <c r="F187" s="144"/>
      <c r="G187" s="144"/>
      <c r="H187" s="145"/>
      <c r="I187" s="144"/>
      <c r="J187" s="28"/>
      <c r="K187" s="28"/>
      <c r="L187" s="28"/>
      <c r="M187" s="140"/>
      <c r="N187" s="140"/>
      <c r="O187" s="140"/>
      <c r="P187" s="140"/>
      <c r="Q187" s="140"/>
      <c r="R187" s="28"/>
      <c r="S187" s="28"/>
      <c r="T187" s="28"/>
      <c r="U187" s="28"/>
      <c r="V187" s="28"/>
      <c r="W187" s="28"/>
      <c r="X187" s="28"/>
      <c r="Y187" s="28"/>
      <c r="Z187" s="28"/>
    </row>
    <row r="188" ht="12.75" customHeight="1">
      <c r="A188" s="28"/>
      <c r="B188" s="28"/>
      <c r="C188" s="144"/>
      <c r="D188" s="144"/>
      <c r="E188" s="144"/>
      <c r="F188" s="144"/>
      <c r="G188" s="144"/>
      <c r="H188" s="145"/>
      <c r="I188" s="144"/>
      <c r="J188" s="28"/>
      <c r="K188" s="28"/>
      <c r="L188" s="28"/>
      <c r="M188" s="140"/>
      <c r="N188" s="140"/>
      <c r="O188" s="140"/>
      <c r="P188" s="140"/>
      <c r="Q188" s="140"/>
      <c r="R188" s="28"/>
      <c r="S188" s="28"/>
      <c r="T188" s="28"/>
      <c r="U188" s="28"/>
      <c r="V188" s="28"/>
      <c r="W188" s="28"/>
      <c r="X188" s="28"/>
      <c r="Y188" s="28"/>
      <c r="Z188" s="28"/>
    </row>
    <row r="189" ht="12.75" customHeight="1">
      <c r="A189" s="28"/>
      <c r="B189" s="28"/>
      <c r="C189" s="144"/>
      <c r="D189" s="144"/>
      <c r="E189" s="144"/>
      <c r="F189" s="144"/>
      <c r="G189" s="144"/>
      <c r="H189" s="145"/>
      <c r="I189" s="144"/>
      <c r="J189" s="28"/>
      <c r="K189" s="28"/>
      <c r="L189" s="28"/>
      <c r="M189" s="140"/>
      <c r="N189" s="140"/>
      <c r="O189" s="140"/>
      <c r="P189" s="140"/>
      <c r="Q189" s="140"/>
      <c r="R189" s="28"/>
      <c r="S189" s="28"/>
      <c r="T189" s="28"/>
      <c r="U189" s="28"/>
      <c r="V189" s="28"/>
      <c r="W189" s="28"/>
      <c r="X189" s="28"/>
      <c r="Y189" s="28"/>
      <c r="Z189" s="28"/>
    </row>
    <row r="190" ht="12.75" customHeight="1">
      <c r="A190" s="28"/>
      <c r="B190" s="28"/>
      <c r="C190" s="144"/>
      <c r="D190" s="144"/>
      <c r="E190" s="144"/>
      <c r="F190" s="144"/>
      <c r="G190" s="144"/>
      <c r="H190" s="145"/>
      <c r="I190" s="144"/>
      <c r="J190" s="28"/>
      <c r="K190" s="28"/>
      <c r="L190" s="28"/>
      <c r="M190" s="140"/>
      <c r="N190" s="140"/>
      <c r="O190" s="140"/>
      <c r="P190" s="140"/>
      <c r="Q190" s="140"/>
      <c r="R190" s="28"/>
      <c r="S190" s="28"/>
      <c r="T190" s="28"/>
      <c r="U190" s="28"/>
      <c r="V190" s="28"/>
      <c r="W190" s="28"/>
      <c r="X190" s="28"/>
      <c r="Y190" s="28"/>
      <c r="Z190" s="28"/>
    </row>
    <row r="191" ht="12.75" customHeight="1">
      <c r="A191" s="28"/>
      <c r="B191" s="28"/>
      <c r="C191" s="144"/>
      <c r="D191" s="144"/>
      <c r="E191" s="144"/>
      <c r="F191" s="144"/>
      <c r="G191" s="144"/>
      <c r="H191" s="145"/>
      <c r="I191" s="144"/>
      <c r="J191" s="28"/>
      <c r="K191" s="28"/>
      <c r="L191" s="28"/>
      <c r="M191" s="140"/>
      <c r="N191" s="140"/>
      <c r="O191" s="140"/>
      <c r="P191" s="140"/>
      <c r="Q191" s="140"/>
      <c r="R191" s="28"/>
      <c r="S191" s="28"/>
      <c r="T191" s="28"/>
      <c r="U191" s="28"/>
      <c r="V191" s="28"/>
      <c r="W191" s="28"/>
      <c r="X191" s="28"/>
      <c r="Y191" s="28"/>
      <c r="Z191" s="28"/>
    </row>
    <row r="192" ht="12.75" customHeight="1">
      <c r="A192" s="28"/>
      <c r="B192" s="28"/>
      <c r="C192" s="144"/>
      <c r="D192" s="144"/>
      <c r="E192" s="144"/>
      <c r="F192" s="144"/>
      <c r="G192" s="144"/>
      <c r="H192" s="145"/>
      <c r="I192" s="144"/>
      <c r="J192" s="28"/>
      <c r="K192" s="28"/>
      <c r="L192" s="28"/>
      <c r="M192" s="140"/>
      <c r="N192" s="140"/>
      <c r="O192" s="140"/>
      <c r="P192" s="140"/>
      <c r="Q192" s="140"/>
      <c r="R192" s="28"/>
      <c r="S192" s="28"/>
      <c r="T192" s="28"/>
      <c r="U192" s="28"/>
      <c r="V192" s="28"/>
      <c r="W192" s="28"/>
      <c r="X192" s="28"/>
      <c r="Y192" s="28"/>
      <c r="Z192" s="28"/>
    </row>
    <row r="193" ht="12.75" customHeight="1">
      <c r="A193" s="28"/>
      <c r="B193" s="28"/>
      <c r="C193" s="144"/>
      <c r="D193" s="144"/>
      <c r="E193" s="144"/>
      <c r="F193" s="144"/>
      <c r="G193" s="144"/>
      <c r="H193" s="145"/>
      <c r="I193" s="144"/>
      <c r="J193" s="28"/>
      <c r="K193" s="28"/>
      <c r="L193" s="28"/>
      <c r="M193" s="140"/>
      <c r="N193" s="140"/>
      <c r="O193" s="140"/>
      <c r="P193" s="140"/>
      <c r="Q193" s="140"/>
      <c r="R193" s="28"/>
      <c r="S193" s="28"/>
      <c r="T193" s="28"/>
      <c r="U193" s="28"/>
      <c r="V193" s="28"/>
      <c r="W193" s="28"/>
      <c r="X193" s="28"/>
      <c r="Y193" s="28"/>
      <c r="Z193" s="28"/>
    </row>
    <row r="194" ht="12.75" customHeight="1">
      <c r="A194" s="28"/>
      <c r="B194" s="28"/>
      <c r="C194" s="144"/>
      <c r="D194" s="144"/>
      <c r="E194" s="144"/>
      <c r="F194" s="144"/>
      <c r="G194" s="144"/>
      <c r="H194" s="145"/>
      <c r="I194" s="144"/>
      <c r="J194" s="28"/>
      <c r="K194" s="28"/>
      <c r="L194" s="28"/>
      <c r="M194" s="140"/>
      <c r="N194" s="140"/>
      <c r="O194" s="140"/>
      <c r="P194" s="140"/>
      <c r="Q194" s="140"/>
      <c r="R194" s="28"/>
      <c r="S194" s="28"/>
      <c r="T194" s="28"/>
      <c r="U194" s="28"/>
      <c r="V194" s="28"/>
      <c r="W194" s="28"/>
      <c r="X194" s="28"/>
      <c r="Y194" s="28"/>
      <c r="Z194" s="28"/>
    </row>
    <row r="195" ht="12.75" customHeight="1">
      <c r="A195" s="28"/>
      <c r="B195" s="28"/>
      <c r="C195" s="144"/>
      <c r="D195" s="144"/>
      <c r="E195" s="144"/>
      <c r="F195" s="144"/>
      <c r="G195" s="144"/>
      <c r="H195" s="145"/>
      <c r="I195" s="144"/>
      <c r="J195" s="28"/>
      <c r="K195" s="28"/>
      <c r="L195" s="28"/>
      <c r="M195" s="140"/>
      <c r="N195" s="140"/>
      <c r="O195" s="140"/>
      <c r="P195" s="140"/>
      <c r="Q195" s="140"/>
      <c r="R195" s="28"/>
      <c r="S195" s="28"/>
      <c r="T195" s="28"/>
      <c r="U195" s="28"/>
      <c r="V195" s="28"/>
      <c r="W195" s="28"/>
      <c r="X195" s="28"/>
      <c r="Y195" s="28"/>
      <c r="Z195" s="28"/>
    </row>
    <row r="196" ht="12.75" customHeight="1">
      <c r="A196" s="28"/>
      <c r="B196" s="28"/>
      <c r="C196" s="144"/>
      <c r="D196" s="144"/>
      <c r="E196" s="144"/>
      <c r="F196" s="144"/>
      <c r="G196" s="144"/>
      <c r="H196" s="145"/>
      <c r="I196" s="144"/>
      <c r="J196" s="28"/>
      <c r="K196" s="28"/>
      <c r="L196" s="28"/>
      <c r="M196" s="140"/>
      <c r="N196" s="140"/>
      <c r="O196" s="140"/>
      <c r="P196" s="140"/>
      <c r="Q196" s="140"/>
      <c r="R196" s="28"/>
      <c r="S196" s="28"/>
      <c r="T196" s="28"/>
      <c r="U196" s="28"/>
      <c r="V196" s="28"/>
      <c r="W196" s="28"/>
      <c r="X196" s="28"/>
      <c r="Y196" s="28"/>
      <c r="Z196" s="28"/>
    </row>
    <row r="197" ht="12.75" customHeight="1">
      <c r="A197" s="28"/>
      <c r="B197" s="28"/>
      <c r="C197" s="144"/>
      <c r="D197" s="144"/>
      <c r="E197" s="144"/>
      <c r="F197" s="144"/>
      <c r="G197" s="144"/>
      <c r="H197" s="145"/>
      <c r="I197" s="144"/>
      <c r="J197" s="28"/>
      <c r="K197" s="28"/>
      <c r="L197" s="28"/>
      <c r="M197" s="140"/>
      <c r="N197" s="140"/>
      <c r="O197" s="140"/>
      <c r="P197" s="140"/>
      <c r="Q197" s="140"/>
      <c r="R197" s="28"/>
      <c r="S197" s="28"/>
      <c r="T197" s="28"/>
      <c r="U197" s="28"/>
      <c r="V197" s="28"/>
      <c r="W197" s="28"/>
      <c r="X197" s="28"/>
      <c r="Y197" s="28"/>
      <c r="Z197" s="28"/>
    </row>
    <row r="198" ht="12.75" customHeight="1">
      <c r="A198" s="28"/>
      <c r="B198" s="28"/>
      <c r="C198" s="144"/>
      <c r="D198" s="144"/>
      <c r="E198" s="144"/>
      <c r="F198" s="144"/>
      <c r="G198" s="144"/>
      <c r="H198" s="145"/>
      <c r="I198" s="144"/>
      <c r="J198" s="28"/>
      <c r="K198" s="28"/>
      <c r="L198" s="28"/>
      <c r="M198" s="140"/>
      <c r="N198" s="140"/>
      <c r="O198" s="140"/>
      <c r="P198" s="140"/>
      <c r="Q198" s="140"/>
      <c r="R198" s="28"/>
      <c r="S198" s="28"/>
      <c r="T198" s="28"/>
      <c r="U198" s="28"/>
      <c r="V198" s="28"/>
      <c r="W198" s="28"/>
      <c r="X198" s="28"/>
      <c r="Y198" s="28"/>
      <c r="Z198" s="28"/>
    </row>
    <row r="199" ht="12.75" customHeight="1">
      <c r="A199" s="28"/>
      <c r="B199" s="28"/>
      <c r="C199" s="144"/>
      <c r="D199" s="144"/>
      <c r="E199" s="144"/>
      <c r="F199" s="144"/>
      <c r="G199" s="144"/>
      <c r="H199" s="145"/>
      <c r="I199" s="144"/>
      <c r="J199" s="28"/>
      <c r="K199" s="28"/>
      <c r="L199" s="28"/>
      <c r="M199" s="140"/>
      <c r="N199" s="140"/>
      <c r="O199" s="140"/>
      <c r="P199" s="140"/>
      <c r="Q199" s="140"/>
      <c r="R199" s="28"/>
      <c r="S199" s="28"/>
      <c r="T199" s="28"/>
      <c r="U199" s="28"/>
      <c r="V199" s="28"/>
      <c r="W199" s="28"/>
      <c r="X199" s="28"/>
      <c r="Y199" s="28"/>
      <c r="Z199" s="28"/>
    </row>
    <row r="200" ht="12.75" customHeight="1">
      <c r="A200" s="28"/>
      <c r="B200" s="28"/>
      <c r="C200" s="144"/>
      <c r="D200" s="144"/>
      <c r="E200" s="144"/>
      <c r="F200" s="144"/>
      <c r="G200" s="144"/>
      <c r="H200" s="145"/>
      <c r="I200" s="144"/>
      <c r="J200" s="28"/>
      <c r="K200" s="28"/>
      <c r="L200" s="28"/>
      <c r="M200" s="140"/>
      <c r="N200" s="140"/>
      <c r="O200" s="140"/>
      <c r="P200" s="140"/>
      <c r="Q200" s="140"/>
      <c r="R200" s="28"/>
      <c r="S200" s="28"/>
      <c r="T200" s="28"/>
      <c r="U200" s="28"/>
      <c r="V200" s="28"/>
      <c r="W200" s="28"/>
      <c r="X200" s="28"/>
      <c r="Y200" s="28"/>
      <c r="Z200" s="28"/>
    </row>
    <row r="201" ht="12.75" customHeight="1">
      <c r="A201" s="28"/>
      <c r="B201" s="28"/>
      <c r="C201" s="144"/>
      <c r="D201" s="144"/>
      <c r="E201" s="144"/>
      <c r="F201" s="144"/>
      <c r="G201" s="144"/>
      <c r="H201" s="145"/>
      <c r="I201" s="144"/>
      <c r="J201" s="28"/>
      <c r="K201" s="28"/>
      <c r="L201" s="28"/>
      <c r="M201" s="140"/>
      <c r="N201" s="140"/>
      <c r="O201" s="140"/>
      <c r="P201" s="140"/>
      <c r="Q201" s="140"/>
      <c r="R201" s="28"/>
      <c r="S201" s="28"/>
      <c r="T201" s="28"/>
      <c r="U201" s="28"/>
      <c r="V201" s="28"/>
      <c r="W201" s="28"/>
      <c r="X201" s="28"/>
      <c r="Y201" s="28"/>
      <c r="Z201" s="28"/>
    </row>
    <row r="202" ht="12.75" customHeight="1">
      <c r="A202" s="28"/>
      <c r="B202" s="28"/>
      <c r="C202" s="144"/>
      <c r="D202" s="144"/>
      <c r="E202" s="144"/>
      <c r="F202" s="144"/>
      <c r="G202" s="144"/>
      <c r="H202" s="145"/>
      <c r="I202" s="144"/>
      <c r="J202" s="28"/>
      <c r="K202" s="28"/>
      <c r="L202" s="28"/>
      <c r="M202" s="140"/>
      <c r="N202" s="140"/>
      <c r="O202" s="140"/>
      <c r="P202" s="140"/>
      <c r="Q202" s="140"/>
      <c r="R202" s="28"/>
      <c r="S202" s="28"/>
      <c r="T202" s="28"/>
      <c r="U202" s="28"/>
      <c r="V202" s="28"/>
      <c r="W202" s="28"/>
      <c r="X202" s="28"/>
      <c r="Y202" s="28"/>
      <c r="Z202" s="28"/>
    </row>
    <row r="203" ht="12.75" customHeight="1">
      <c r="A203" s="28"/>
      <c r="B203" s="28"/>
      <c r="C203" s="144"/>
      <c r="D203" s="144"/>
      <c r="E203" s="144"/>
      <c r="F203" s="144"/>
      <c r="G203" s="144"/>
      <c r="H203" s="145"/>
      <c r="I203" s="144"/>
      <c r="J203" s="28"/>
      <c r="K203" s="28"/>
      <c r="L203" s="28"/>
      <c r="M203" s="140"/>
      <c r="N203" s="140"/>
      <c r="O203" s="140"/>
      <c r="P203" s="140"/>
      <c r="Q203" s="140"/>
      <c r="R203" s="28"/>
      <c r="S203" s="28"/>
      <c r="T203" s="28"/>
      <c r="U203" s="28"/>
      <c r="V203" s="28"/>
      <c r="W203" s="28"/>
      <c r="X203" s="28"/>
      <c r="Y203" s="28"/>
      <c r="Z203" s="28"/>
    </row>
    <row r="204" ht="12.75" customHeight="1">
      <c r="A204" s="28"/>
      <c r="B204" s="28"/>
      <c r="C204" s="144"/>
      <c r="D204" s="144"/>
      <c r="E204" s="144"/>
      <c r="F204" s="144"/>
      <c r="G204" s="144"/>
      <c r="H204" s="145"/>
      <c r="I204" s="144"/>
      <c r="J204" s="28"/>
      <c r="K204" s="28"/>
      <c r="L204" s="28"/>
      <c r="M204" s="140"/>
      <c r="N204" s="140"/>
      <c r="O204" s="140"/>
      <c r="P204" s="140"/>
      <c r="Q204" s="140"/>
      <c r="R204" s="28"/>
      <c r="S204" s="28"/>
      <c r="T204" s="28"/>
      <c r="U204" s="28"/>
      <c r="V204" s="28"/>
      <c r="W204" s="28"/>
      <c r="X204" s="28"/>
      <c r="Y204" s="28"/>
      <c r="Z204" s="28"/>
    </row>
    <row r="205" ht="12.75" customHeight="1">
      <c r="A205" s="28"/>
      <c r="B205" s="28"/>
      <c r="C205" s="144"/>
      <c r="D205" s="144"/>
      <c r="E205" s="144"/>
      <c r="F205" s="144"/>
      <c r="G205" s="144"/>
      <c r="H205" s="145"/>
      <c r="I205" s="144"/>
      <c r="J205" s="28"/>
      <c r="K205" s="28"/>
      <c r="L205" s="28"/>
      <c r="M205" s="140"/>
      <c r="N205" s="140"/>
      <c r="O205" s="140"/>
      <c r="P205" s="140"/>
      <c r="Q205" s="140"/>
      <c r="R205" s="28"/>
      <c r="S205" s="28"/>
      <c r="T205" s="28"/>
      <c r="U205" s="28"/>
      <c r="V205" s="28"/>
      <c r="W205" s="28"/>
      <c r="X205" s="28"/>
      <c r="Y205" s="28"/>
      <c r="Z205" s="28"/>
    </row>
    <row r="206" ht="12.75" customHeight="1">
      <c r="A206" s="28"/>
      <c r="B206" s="28"/>
      <c r="C206" s="144"/>
      <c r="D206" s="144"/>
      <c r="E206" s="144"/>
      <c r="F206" s="144"/>
      <c r="G206" s="144"/>
      <c r="H206" s="145"/>
      <c r="I206" s="144"/>
      <c r="J206" s="28"/>
      <c r="K206" s="28"/>
      <c r="L206" s="28"/>
      <c r="M206" s="140"/>
      <c r="N206" s="140"/>
      <c r="O206" s="140"/>
      <c r="P206" s="140"/>
      <c r="Q206" s="140"/>
      <c r="R206" s="28"/>
      <c r="S206" s="28"/>
      <c r="T206" s="28"/>
      <c r="U206" s="28"/>
      <c r="V206" s="28"/>
      <c r="W206" s="28"/>
      <c r="X206" s="28"/>
      <c r="Y206" s="28"/>
      <c r="Z206" s="28"/>
    </row>
    <row r="207" ht="12.75" customHeight="1">
      <c r="A207" s="28"/>
      <c r="B207" s="28"/>
      <c r="C207" s="144"/>
      <c r="D207" s="144"/>
      <c r="E207" s="144"/>
      <c r="F207" s="144"/>
      <c r="G207" s="144"/>
      <c r="H207" s="145"/>
      <c r="I207" s="144"/>
      <c r="J207" s="28"/>
      <c r="K207" s="28"/>
      <c r="L207" s="28"/>
      <c r="M207" s="140"/>
      <c r="N207" s="140"/>
      <c r="O207" s="140"/>
      <c r="P207" s="140"/>
      <c r="Q207" s="140"/>
      <c r="R207" s="28"/>
      <c r="S207" s="28"/>
      <c r="T207" s="28"/>
      <c r="U207" s="28"/>
      <c r="V207" s="28"/>
      <c r="W207" s="28"/>
      <c r="X207" s="28"/>
      <c r="Y207" s="28"/>
      <c r="Z207" s="28"/>
    </row>
    <row r="208" ht="12.75" customHeight="1">
      <c r="A208" s="28"/>
      <c r="B208" s="28"/>
      <c r="C208" s="144"/>
      <c r="D208" s="144"/>
      <c r="E208" s="144"/>
      <c r="F208" s="144"/>
      <c r="G208" s="144"/>
      <c r="H208" s="145"/>
      <c r="I208" s="144"/>
      <c r="J208" s="28"/>
      <c r="K208" s="28"/>
      <c r="L208" s="28"/>
      <c r="M208" s="140"/>
      <c r="N208" s="140"/>
      <c r="O208" s="140"/>
      <c r="P208" s="140"/>
      <c r="Q208" s="140"/>
      <c r="R208" s="28"/>
      <c r="S208" s="28"/>
      <c r="T208" s="28"/>
      <c r="U208" s="28"/>
      <c r="V208" s="28"/>
      <c r="W208" s="28"/>
      <c r="X208" s="28"/>
      <c r="Y208" s="28"/>
      <c r="Z208" s="28"/>
    </row>
    <row r="209" ht="12.75" customHeight="1">
      <c r="A209" s="28"/>
      <c r="B209" s="28"/>
      <c r="C209" s="144"/>
      <c r="D209" s="144"/>
      <c r="E209" s="144"/>
      <c r="F209" s="144"/>
      <c r="G209" s="144"/>
      <c r="H209" s="145"/>
      <c r="I209" s="144"/>
      <c r="J209" s="28"/>
      <c r="K209" s="28"/>
      <c r="L209" s="28"/>
      <c r="M209" s="140"/>
      <c r="N209" s="140"/>
      <c r="O209" s="140"/>
      <c r="P209" s="140"/>
      <c r="Q209" s="140"/>
      <c r="R209" s="28"/>
      <c r="S209" s="28"/>
      <c r="T209" s="28"/>
      <c r="U209" s="28"/>
      <c r="V209" s="28"/>
      <c r="W209" s="28"/>
      <c r="X209" s="28"/>
      <c r="Y209" s="28"/>
      <c r="Z209" s="28"/>
    </row>
    <row r="210" ht="12.75" customHeight="1">
      <c r="A210" s="28"/>
      <c r="B210" s="28"/>
      <c r="C210" s="144"/>
      <c r="D210" s="144"/>
      <c r="E210" s="144"/>
      <c r="F210" s="144"/>
      <c r="G210" s="144"/>
      <c r="H210" s="145"/>
      <c r="I210" s="144"/>
      <c r="J210" s="28"/>
      <c r="K210" s="28"/>
      <c r="L210" s="28"/>
      <c r="M210" s="140"/>
      <c r="N210" s="140"/>
      <c r="O210" s="140"/>
      <c r="P210" s="140"/>
      <c r="Q210" s="140"/>
      <c r="R210" s="28"/>
      <c r="S210" s="28"/>
      <c r="T210" s="28"/>
      <c r="U210" s="28"/>
      <c r="V210" s="28"/>
      <c r="W210" s="28"/>
      <c r="X210" s="28"/>
      <c r="Y210" s="28"/>
      <c r="Z210" s="28"/>
    </row>
    <row r="211" ht="12.75" customHeight="1">
      <c r="A211" s="28"/>
      <c r="B211" s="28"/>
      <c r="C211" s="144"/>
      <c r="D211" s="144"/>
      <c r="E211" s="144"/>
      <c r="F211" s="144"/>
      <c r="G211" s="144"/>
      <c r="H211" s="145"/>
      <c r="I211" s="144"/>
      <c r="J211" s="28"/>
      <c r="K211" s="28"/>
      <c r="L211" s="28"/>
      <c r="M211" s="140"/>
      <c r="N211" s="140"/>
      <c r="O211" s="140"/>
      <c r="P211" s="140"/>
      <c r="Q211" s="140"/>
      <c r="R211" s="28"/>
      <c r="S211" s="28"/>
      <c r="T211" s="28"/>
      <c r="U211" s="28"/>
      <c r="V211" s="28"/>
      <c r="W211" s="28"/>
      <c r="X211" s="28"/>
      <c r="Y211" s="28"/>
      <c r="Z211" s="28"/>
    </row>
    <row r="212" ht="12.75" customHeight="1">
      <c r="A212" s="28"/>
      <c r="B212" s="28"/>
      <c r="C212" s="144"/>
      <c r="D212" s="144"/>
      <c r="E212" s="144"/>
      <c r="F212" s="144"/>
      <c r="G212" s="144"/>
      <c r="H212" s="145"/>
      <c r="I212" s="144"/>
      <c r="J212" s="28"/>
      <c r="K212" s="28"/>
      <c r="L212" s="28"/>
      <c r="M212" s="140"/>
      <c r="N212" s="140"/>
      <c r="O212" s="140"/>
      <c r="P212" s="140"/>
      <c r="Q212" s="140"/>
      <c r="R212" s="28"/>
      <c r="S212" s="28"/>
      <c r="T212" s="28"/>
      <c r="U212" s="28"/>
      <c r="V212" s="28"/>
      <c r="W212" s="28"/>
      <c r="X212" s="28"/>
      <c r="Y212" s="28"/>
      <c r="Z212" s="28"/>
    </row>
    <row r="213" ht="12.75" customHeight="1">
      <c r="A213" s="28"/>
      <c r="B213" s="28"/>
      <c r="C213" s="144"/>
      <c r="D213" s="144"/>
      <c r="E213" s="144"/>
      <c r="F213" s="144"/>
      <c r="G213" s="144"/>
      <c r="H213" s="145"/>
      <c r="I213" s="144"/>
      <c r="J213" s="28"/>
      <c r="K213" s="28"/>
      <c r="L213" s="28"/>
      <c r="M213" s="140"/>
      <c r="N213" s="140"/>
      <c r="O213" s="140"/>
      <c r="P213" s="140"/>
      <c r="Q213" s="140"/>
      <c r="R213" s="28"/>
      <c r="S213" s="28"/>
      <c r="T213" s="28"/>
      <c r="U213" s="28"/>
      <c r="V213" s="28"/>
      <c r="W213" s="28"/>
      <c r="X213" s="28"/>
      <c r="Y213" s="28"/>
      <c r="Z213" s="28"/>
    </row>
    <row r="214" ht="12.75" customHeight="1">
      <c r="A214" s="28"/>
      <c r="B214" s="28"/>
      <c r="C214" s="144"/>
      <c r="D214" s="144"/>
      <c r="E214" s="144"/>
      <c r="F214" s="144"/>
      <c r="G214" s="144"/>
      <c r="H214" s="145"/>
      <c r="I214" s="144"/>
      <c r="J214" s="28"/>
      <c r="K214" s="28"/>
      <c r="L214" s="28"/>
      <c r="M214" s="140"/>
      <c r="N214" s="140"/>
      <c r="O214" s="140"/>
      <c r="P214" s="140"/>
      <c r="Q214" s="140"/>
      <c r="R214" s="28"/>
      <c r="S214" s="28"/>
      <c r="T214" s="28"/>
      <c r="U214" s="28"/>
      <c r="V214" s="28"/>
      <c r="W214" s="28"/>
      <c r="X214" s="28"/>
      <c r="Y214" s="28"/>
      <c r="Z214" s="28"/>
    </row>
    <row r="215" ht="12.75" customHeight="1">
      <c r="A215" s="28"/>
      <c r="B215" s="28"/>
      <c r="C215" s="144"/>
      <c r="D215" s="144"/>
      <c r="E215" s="144"/>
      <c r="F215" s="144"/>
      <c r="G215" s="144"/>
      <c r="H215" s="145"/>
      <c r="I215" s="144"/>
      <c r="J215" s="28"/>
      <c r="K215" s="28"/>
      <c r="L215" s="28"/>
      <c r="M215" s="140"/>
      <c r="N215" s="140"/>
      <c r="O215" s="140"/>
      <c r="P215" s="140"/>
      <c r="Q215" s="140"/>
      <c r="R215" s="28"/>
      <c r="S215" s="28"/>
      <c r="T215" s="28"/>
      <c r="U215" s="28"/>
      <c r="V215" s="28"/>
      <c r="W215" s="28"/>
      <c r="X215" s="28"/>
      <c r="Y215" s="28"/>
      <c r="Z215" s="28"/>
    </row>
    <row r="216" ht="12.75" customHeight="1">
      <c r="A216" s="28"/>
      <c r="B216" s="28"/>
      <c r="C216" s="144"/>
      <c r="D216" s="144"/>
      <c r="E216" s="144"/>
      <c r="F216" s="144"/>
      <c r="G216" s="144"/>
      <c r="H216" s="145"/>
      <c r="I216" s="144"/>
      <c r="J216" s="28"/>
      <c r="K216" s="28"/>
      <c r="L216" s="28"/>
      <c r="M216" s="140"/>
      <c r="N216" s="140"/>
      <c r="O216" s="140"/>
      <c r="P216" s="140"/>
      <c r="Q216" s="140"/>
      <c r="R216" s="28"/>
      <c r="S216" s="28"/>
      <c r="T216" s="28"/>
      <c r="U216" s="28"/>
      <c r="V216" s="28"/>
      <c r="W216" s="28"/>
      <c r="X216" s="28"/>
      <c r="Y216" s="28"/>
      <c r="Z216" s="28"/>
    </row>
    <row r="217" ht="12.75" customHeight="1">
      <c r="A217" s="28"/>
      <c r="B217" s="28"/>
      <c r="C217" s="144"/>
      <c r="D217" s="144"/>
      <c r="E217" s="144"/>
      <c r="F217" s="144"/>
      <c r="G217" s="144"/>
      <c r="H217" s="145"/>
      <c r="I217" s="144"/>
      <c r="J217" s="28"/>
      <c r="K217" s="28"/>
      <c r="L217" s="28"/>
      <c r="M217" s="140"/>
      <c r="N217" s="140"/>
      <c r="O217" s="140"/>
      <c r="P217" s="140"/>
      <c r="Q217" s="140"/>
      <c r="R217" s="28"/>
      <c r="S217" s="28"/>
      <c r="T217" s="28"/>
      <c r="U217" s="28"/>
      <c r="V217" s="28"/>
      <c r="W217" s="28"/>
      <c r="X217" s="28"/>
      <c r="Y217" s="28"/>
      <c r="Z217" s="28"/>
    </row>
    <row r="218" ht="12.75" customHeight="1">
      <c r="A218" s="28"/>
      <c r="B218" s="28"/>
      <c r="C218" s="144"/>
      <c r="D218" s="144"/>
      <c r="E218" s="144"/>
      <c r="F218" s="144"/>
      <c r="G218" s="144"/>
      <c r="H218" s="145"/>
      <c r="I218" s="144"/>
      <c r="J218" s="28"/>
      <c r="K218" s="28"/>
      <c r="L218" s="28"/>
      <c r="M218" s="140"/>
      <c r="N218" s="140"/>
      <c r="O218" s="140"/>
      <c r="P218" s="140"/>
      <c r="Q218" s="140"/>
      <c r="R218" s="28"/>
      <c r="S218" s="28"/>
      <c r="T218" s="28"/>
      <c r="U218" s="28"/>
      <c r="V218" s="28"/>
      <c r="W218" s="28"/>
      <c r="X218" s="28"/>
      <c r="Y218" s="28"/>
      <c r="Z218" s="28"/>
    </row>
    <row r="219" ht="12.75" customHeight="1">
      <c r="A219" s="28"/>
      <c r="B219" s="28"/>
      <c r="C219" s="144"/>
      <c r="D219" s="144"/>
      <c r="E219" s="144"/>
      <c r="F219" s="144"/>
      <c r="G219" s="144"/>
      <c r="H219" s="145"/>
      <c r="I219" s="144"/>
      <c r="J219" s="28"/>
      <c r="K219" s="28"/>
      <c r="L219" s="28"/>
      <c r="M219" s="140"/>
      <c r="N219" s="140"/>
      <c r="O219" s="140"/>
      <c r="P219" s="140"/>
      <c r="Q219" s="140"/>
      <c r="R219" s="28"/>
      <c r="S219" s="28"/>
      <c r="T219" s="28"/>
      <c r="U219" s="28"/>
      <c r="V219" s="28"/>
      <c r="W219" s="28"/>
      <c r="X219" s="28"/>
      <c r="Y219" s="28"/>
      <c r="Z219" s="28"/>
    </row>
    <row r="220" ht="12.75" customHeight="1">
      <c r="A220" s="28"/>
      <c r="B220" s="28"/>
      <c r="C220" s="144"/>
      <c r="D220" s="144"/>
      <c r="E220" s="144"/>
      <c r="F220" s="144"/>
      <c r="G220" s="144"/>
      <c r="H220" s="145"/>
      <c r="I220" s="144"/>
      <c r="J220" s="28"/>
      <c r="K220" s="28"/>
      <c r="L220" s="28"/>
      <c r="M220" s="140"/>
      <c r="N220" s="140"/>
      <c r="O220" s="140"/>
      <c r="P220" s="140"/>
      <c r="Q220" s="140"/>
      <c r="R220" s="28"/>
      <c r="S220" s="28"/>
      <c r="T220" s="28"/>
      <c r="U220" s="28"/>
      <c r="V220" s="28"/>
      <c r="W220" s="28"/>
      <c r="X220" s="28"/>
      <c r="Y220" s="28"/>
      <c r="Z220" s="2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3" top="1.0"/>
  <pageSetup scale="85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6923C"/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11.25"/>
    <col customWidth="1" min="3" max="5" width="9.38"/>
    <col customWidth="1" min="6" max="7" width="10.63"/>
    <col customWidth="1" min="8" max="8" width="8.25"/>
    <col customWidth="1" min="9" max="9" width="10.75"/>
    <col customWidth="1" min="10" max="11" width="10.13"/>
    <col customWidth="1" min="12" max="12" width="10.0"/>
    <col customWidth="1" min="13" max="13" width="7.38"/>
    <col customWidth="1" min="14" max="14" width="11.0"/>
    <col customWidth="1" min="15" max="17" width="10.88"/>
    <col customWidth="1" min="18" max="26" width="9.13"/>
  </cols>
  <sheetData>
    <row r="1" ht="11.25" customHeight="1">
      <c r="A1" s="146" t="s">
        <v>498</v>
      </c>
      <c r="B1" s="147" t="s">
        <v>499</v>
      </c>
      <c r="C1" s="147" t="s">
        <v>500</v>
      </c>
      <c r="D1" s="148" t="s">
        <v>501</v>
      </c>
      <c r="E1" s="147" t="s">
        <v>502</v>
      </c>
      <c r="F1" s="147" t="s">
        <v>503</v>
      </c>
      <c r="G1" s="148" t="s">
        <v>504</v>
      </c>
      <c r="H1" s="147" t="s">
        <v>505</v>
      </c>
      <c r="I1" s="147" t="s">
        <v>506</v>
      </c>
      <c r="J1" s="148" t="s">
        <v>507</v>
      </c>
      <c r="K1" s="147" t="s">
        <v>508</v>
      </c>
      <c r="L1" s="147" t="s">
        <v>43</v>
      </c>
      <c r="M1" s="148" t="s">
        <v>509</v>
      </c>
      <c r="N1" s="147" t="s">
        <v>38</v>
      </c>
      <c r="O1" s="147" t="s">
        <v>45</v>
      </c>
      <c r="P1" s="147" t="s">
        <v>510</v>
      </c>
      <c r="Q1" s="147" t="s">
        <v>511</v>
      </c>
      <c r="R1" s="149"/>
      <c r="S1" s="149"/>
      <c r="T1" s="149"/>
      <c r="U1" s="149"/>
      <c r="V1" s="149"/>
      <c r="W1" s="149"/>
      <c r="X1" s="149"/>
      <c r="Y1" s="149"/>
      <c r="Z1" s="149"/>
    </row>
    <row r="2" ht="11.25" customHeight="1">
      <c r="A2" s="150"/>
      <c r="B2" s="151"/>
      <c r="C2" s="151"/>
      <c r="D2" s="152"/>
      <c r="E2" s="151"/>
      <c r="F2" s="151"/>
      <c r="G2" s="152"/>
      <c r="H2" s="152"/>
      <c r="I2" s="152"/>
      <c r="J2" s="152"/>
      <c r="K2" s="151"/>
      <c r="L2" s="151"/>
      <c r="M2" s="152"/>
      <c r="N2" s="151"/>
      <c r="O2" s="151"/>
      <c r="P2" s="151"/>
      <c r="Q2" s="151"/>
      <c r="R2" s="153"/>
      <c r="S2" s="153"/>
      <c r="T2" s="153"/>
      <c r="U2" s="153"/>
      <c r="V2" s="153"/>
      <c r="W2" s="153"/>
      <c r="X2" s="153"/>
      <c r="Y2" s="153"/>
      <c r="Z2" s="153"/>
    </row>
    <row r="3" ht="11.25" customHeight="1">
      <c r="A3" s="154">
        <v>1991.0</v>
      </c>
      <c r="B3" s="155"/>
      <c r="C3" s="155"/>
      <c r="D3" s="156"/>
      <c r="E3" s="155"/>
      <c r="F3" s="155"/>
      <c r="G3" s="156"/>
      <c r="H3" s="155"/>
      <c r="I3" s="155"/>
      <c r="J3" s="156"/>
      <c r="K3" s="155"/>
      <c r="L3" s="155"/>
      <c r="M3" s="156"/>
      <c r="N3" s="155"/>
      <c r="O3" s="155"/>
      <c r="P3" s="155"/>
      <c r="Q3" s="155"/>
      <c r="R3" s="153"/>
      <c r="S3" s="153"/>
      <c r="T3" s="153"/>
      <c r="U3" s="153"/>
      <c r="V3" s="153"/>
      <c r="W3" s="153"/>
      <c r="X3" s="153"/>
      <c r="Y3" s="153"/>
      <c r="Z3" s="153"/>
    </row>
    <row r="4" ht="11.25" customHeight="1">
      <c r="A4" s="157">
        <v>1992.0</v>
      </c>
      <c r="B4" s="158"/>
      <c r="C4" s="158"/>
      <c r="D4" s="159"/>
      <c r="E4" s="158"/>
      <c r="F4" s="158"/>
      <c r="G4" s="159"/>
      <c r="H4" s="158"/>
      <c r="I4" s="158"/>
      <c r="J4" s="159"/>
      <c r="K4" s="158"/>
      <c r="L4" s="158"/>
      <c r="M4" s="159"/>
      <c r="N4" s="158"/>
      <c r="O4" s="158"/>
      <c r="P4" s="158"/>
      <c r="Q4" s="158"/>
      <c r="R4" s="153"/>
      <c r="S4" s="153"/>
      <c r="T4" s="153"/>
      <c r="U4" s="153"/>
      <c r="V4" s="153"/>
      <c r="W4" s="153"/>
      <c r="X4" s="153"/>
      <c r="Y4" s="153"/>
      <c r="Z4" s="153"/>
    </row>
    <row r="5" ht="11.25" customHeight="1">
      <c r="A5" s="154">
        <v>1993.0</v>
      </c>
      <c r="B5" s="155"/>
      <c r="C5" s="155"/>
      <c r="D5" s="156"/>
      <c r="E5" s="155"/>
      <c r="F5" s="155"/>
      <c r="G5" s="156"/>
      <c r="H5" s="155"/>
      <c r="I5" s="155"/>
      <c r="J5" s="156"/>
      <c r="K5" s="155"/>
      <c r="L5" s="155"/>
      <c r="M5" s="156"/>
      <c r="N5" s="155"/>
      <c r="O5" s="155"/>
      <c r="P5" s="155"/>
      <c r="Q5" s="155"/>
      <c r="R5" s="153"/>
      <c r="S5" s="153"/>
      <c r="T5" s="153"/>
      <c r="U5" s="153"/>
      <c r="V5" s="153"/>
      <c r="W5" s="153"/>
      <c r="X5" s="153"/>
      <c r="Y5" s="153"/>
      <c r="Z5" s="153"/>
    </row>
    <row r="6" ht="11.25" customHeight="1">
      <c r="A6" s="157">
        <v>1994.0</v>
      </c>
      <c r="B6" s="158"/>
      <c r="C6" s="158"/>
      <c r="D6" s="159"/>
      <c r="E6" s="158"/>
      <c r="F6" s="158"/>
      <c r="G6" s="159"/>
      <c r="H6" s="158"/>
      <c r="I6" s="158"/>
      <c r="J6" s="159"/>
      <c r="K6" s="158"/>
      <c r="L6" s="158"/>
      <c r="M6" s="159"/>
      <c r="N6" s="158"/>
      <c r="O6" s="158"/>
      <c r="P6" s="158"/>
      <c r="Q6" s="158"/>
      <c r="R6" s="153"/>
      <c r="S6" s="153"/>
      <c r="T6" s="153"/>
      <c r="U6" s="153"/>
      <c r="V6" s="153"/>
      <c r="W6" s="153"/>
      <c r="X6" s="153"/>
      <c r="Y6" s="153"/>
      <c r="Z6" s="153"/>
    </row>
    <row r="7" ht="11.25" customHeight="1">
      <c r="A7" s="154">
        <v>1995.0</v>
      </c>
      <c r="B7" s="155"/>
      <c r="C7" s="155"/>
      <c r="D7" s="156"/>
      <c r="E7" s="155"/>
      <c r="F7" s="155"/>
      <c r="G7" s="156"/>
      <c r="H7" s="155"/>
      <c r="I7" s="155"/>
      <c r="J7" s="156"/>
      <c r="K7" s="155"/>
      <c r="L7" s="155"/>
      <c r="M7" s="156"/>
      <c r="N7" s="155"/>
      <c r="O7" s="155"/>
      <c r="P7" s="155"/>
      <c r="Q7" s="155"/>
      <c r="R7" s="153"/>
      <c r="S7" s="153"/>
      <c r="T7" s="153"/>
      <c r="U7" s="153"/>
      <c r="V7" s="153"/>
      <c r="W7" s="153"/>
      <c r="X7" s="153"/>
      <c r="Y7" s="153"/>
      <c r="Z7" s="153"/>
    </row>
    <row r="8" ht="11.25" customHeight="1">
      <c r="A8" s="157">
        <v>1996.0</v>
      </c>
      <c r="B8" s="158"/>
      <c r="C8" s="158"/>
      <c r="D8" s="159"/>
      <c r="E8" s="158"/>
      <c r="F8" s="158"/>
      <c r="G8" s="159"/>
      <c r="H8" s="158"/>
      <c r="I8" s="158"/>
      <c r="J8" s="159"/>
      <c r="K8" s="158"/>
      <c r="L8" s="158"/>
      <c r="M8" s="159"/>
      <c r="N8" s="158"/>
      <c r="O8" s="158"/>
      <c r="P8" s="158"/>
      <c r="Q8" s="158"/>
      <c r="R8" s="153"/>
      <c r="S8" s="153"/>
      <c r="T8" s="153"/>
      <c r="U8" s="153"/>
      <c r="V8" s="153"/>
      <c r="W8" s="153"/>
      <c r="X8" s="153"/>
      <c r="Y8" s="153"/>
      <c r="Z8" s="153"/>
    </row>
    <row r="9" ht="11.25" customHeight="1">
      <c r="A9" s="154">
        <v>1997.0</v>
      </c>
      <c r="B9" s="155"/>
      <c r="C9" s="155"/>
      <c r="D9" s="156"/>
      <c r="E9" s="155"/>
      <c r="F9" s="155"/>
      <c r="G9" s="156"/>
      <c r="H9" s="155"/>
      <c r="I9" s="155"/>
      <c r="J9" s="156"/>
      <c r="K9" s="155"/>
      <c r="L9" s="155"/>
      <c r="M9" s="156"/>
      <c r="N9" s="155"/>
      <c r="O9" s="155"/>
      <c r="P9" s="155"/>
      <c r="Q9" s="155"/>
      <c r="R9" s="153"/>
      <c r="S9" s="153"/>
      <c r="T9" s="153"/>
      <c r="U9" s="153"/>
      <c r="V9" s="153"/>
      <c r="W9" s="153"/>
      <c r="X9" s="153"/>
      <c r="Y9" s="153"/>
      <c r="Z9" s="153"/>
    </row>
    <row r="10" ht="11.25" customHeight="1">
      <c r="A10" s="157">
        <v>1998.0</v>
      </c>
      <c r="B10" s="158"/>
      <c r="C10" s="158"/>
      <c r="D10" s="159"/>
      <c r="E10" s="158"/>
      <c r="F10" s="158"/>
      <c r="G10" s="159"/>
      <c r="H10" s="158"/>
      <c r="I10" s="158"/>
      <c r="J10" s="159"/>
      <c r="K10" s="158"/>
      <c r="L10" s="158"/>
      <c r="M10" s="159"/>
      <c r="N10" s="158"/>
      <c r="O10" s="158"/>
      <c r="P10" s="158"/>
      <c r="Q10" s="158"/>
      <c r="R10" s="153"/>
      <c r="S10" s="153"/>
      <c r="T10" s="153"/>
      <c r="U10" s="153"/>
      <c r="V10" s="153"/>
      <c r="W10" s="153"/>
      <c r="X10" s="153"/>
      <c r="Y10" s="153"/>
      <c r="Z10" s="153"/>
    </row>
    <row r="11" ht="11.25" customHeight="1">
      <c r="A11" s="154">
        <v>1999.0</v>
      </c>
      <c r="B11" s="155"/>
      <c r="C11" s="155"/>
      <c r="D11" s="156"/>
      <c r="E11" s="155"/>
      <c r="F11" s="155"/>
      <c r="G11" s="156"/>
      <c r="H11" s="155"/>
      <c r="I11" s="155"/>
      <c r="J11" s="156"/>
      <c r="K11" s="155"/>
      <c r="L11" s="155"/>
      <c r="M11" s="156"/>
      <c r="N11" s="155"/>
      <c r="O11" s="155"/>
      <c r="P11" s="155"/>
      <c r="Q11" s="155"/>
      <c r="R11" s="153"/>
      <c r="S11" s="153"/>
      <c r="T11" s="153"/>
      <c r="U11" s="153"/>
      <c r="V11" s="153"/>
      <c r="W11" s="153"/>
      <c r="X11" s="153"/>
      <c r="Y11" s="153"/>
      <c r="Z11" s="153"/>
    </row>
    <row r="12" ht="11.25" customHeight="1">
      <c r="A12" s="157">
        <v>2000.0</v>
      </c>
      <c r="B12" s="158"/>
      <c r="C12" s="158"/>
      <c r="D12" s="159"/>
      <c r="E12" s="158"/>
      <c r="F12" s="158"/>
      <c r="G12" s="159"/>
      <c r="H12" s="158"/>
      <c r="I12" s="158"/>
      <c r="J12" s="159"/>
      <c r="K12" s="158"/>
      <c r="L12" s="158"/>
      <c r="M12" s="159"/>
      <c r="N12" s="158"/>
      <c r="O12" s="158"/>
      <c r="P12" s="158"/>
      <c r="Q12" s="158"/>
      <c r="R12" s="153"/>
      <c r="S12" s="153"/>
      <c r="T12" s="153"/>
      <c r="U12" s="153"/>
      <c r="V12" s="153"/>
      <c r="W12" s="153"/>
      <c r="X12" s="153"/>
      <c r="Y12" s="153"/>
      <c r="Z12" s="153"/>
    </row>
    <row r="13" ht="11.25" customHeight="1">
      <c r="A13" s="154">
        <v>2001.0</v>
      </c>
      <c r="B13" s="155"/>
      <c r="C13" s="155"/>
      <c r="D13" s="156"/>
      <c r="E13" s="155"/>
      <c r="F13" s="155"/>
      <c r="G13" s="156"/>
      <c r="H13" s="155"/>
      <c r="I13" s="155"/>
      <c r="J13" s="156"/>
      <c r="K13" s="155"/>
      <c r="L13" s="155"/>
      <c r="M13" s="156"/>
      <c r="N13" s="155"/>
      <c r="O13" s="155"/>
      <c r="P13" s="155"/>
      <c r="Q13" s="155"/>
      <c r="R13" s="153"/>
      <c r="S13" s="153"/>
      <c r="T13" s="153"/>
      <c r="U13" s="153"/>
      <c r="V13" s="153"/>
      <c r="W13" s="153"/>
      <c r="X13" s="153"/>
      <c r="Y13" s="153"/>
      <c r="Z13" s="153"/>
    </row>
    <row r="14" ht="11.25" customHeight="1">
      <c r="A14" s="157">
        <v>2002.0</v>
      </c>
      <c r="B14" s="158"/>
      <c r="C14" s="158"/>
      <c r="D14" s="159"/>
      <c r="E14" s="158"/>
      <c r="F14" s="158"/>
      <c r="G14" s="159"/>
      <c r="H14" s="158"/>
      <c r="I14" s="158"/>
      <c r="J14" s="159"/>
      <c r="K14" s="158"/>
      <c r="L14" s="158"/>
      <c r="M14" s="159"/>
      <c r="N14" s="158"/>
      <c r="O14" s="158"/>
      <c r="P14" s="158"/>
      <c r="Q14" s="158"/>
      <c r="R14" s="153"/>
      <c r="S14" s="153"/>
      <c r="T14" s="153"/>
      <c r="U14" s="153"/>
      <c r="V14" s="153"/>
      <c r="W14" s="153"/>
      <c r="X14" s="153"/>
      <c r="Y14" s="153"/>
      <c r="Z14" s="153"/>
    </row>
    <row r="15" ht="11.25" customHeight="1">
      <c r="A15" s="154">
        <v>2003.0</v>
      </c>
      <c r="B15" s="155"/>
      <c r="C15" s="155"/>
      <c r="D15" s="156"/>
      <c r="E15" s="155"/>
      <c r="F15" s="155"/>
      <c r="G15" s="156"/>
      <c r="H15" s="155"/>
      <c r="I15" s="155"/>
      <c r="J15" s="156"/>
      <c r="K15" s="155"/>
      <c r="L15" s="155"/>
      <c r="M15" s="156"/>
      <c r="N15" s="155"/>
      <c r="O15" s="155"/>
      <c r="P15" s="155"/>
      <c r="Q15" s="155"/>
      <c r="R15" s="153"/>
      <c r="S15" s="153"/>
      <c r="T15" s="153"/>
      <c r="U15" s="153"/>
      <c r="V15" s="153"/>
      <c r="W15" s="153"/>
      <c r="X15" s="153"/>
      <c r="Y15" s="153"/>
      <c r="Z15" s="153"/>
    </row>
    <row r="16" ht="11.25" customHeight="1">
      <c r="A16" s="157">
        <v>2004.0</v>
      </c>
      <c r="B16" s="158"/>
      <c r="C16" s="158"/>
      <c r="D16" s="159"/>
      <c r="E16" s="158"/>
      <c r="F16" s="158"/>
      <c r="G16" s="159"/>
      <c r="H16" s="158"/>
      <c r="I16" s="158"/>
      <c r="J16" s="159"/>
      <c r="K16" s="158"/>
      <c r="L16" s="158"/>
      <c r="M16" s="159"/>
      <c r="N16" s="158"/>
      <c r="O16" s="158"/>
      <c r="P16" s="158"/>
      <c r="Q16" s="158"/>
      <c r="R16" s="153"/>
      <c r="S16" s="153"/>
      <c r="T16" s="153"/>
      <c r="U16" s="153"/>
      <c r="V16" s="153"/>
      <c r="W16" s="153"/>
      <c r="X16" s="153"/>
      <c r="Y16" s="153"/>
      <c r="Z16" s="153"/>
    </row>
    <row r="17" ht="11.25" customHeight="1">
      <c r="A17" s="154">
        <v>2005.0</v>
      </c>
      <c r="B17" s="155"/>
      <c r="C17" s="155"/>
      <c r="D17" s="156"/>
      <c r="E17" s="155"/>
      <c r="F17" s="155"/>
      <c r="G17" s="156"/>
      <c r="H17" s="155"/>
      <c r="I17" s="155"/>
      <c r="J17" s="156"/>
      <c r="K17" s="155"/>
      <c r="L17" s="155"/>
      <c r="M17" s="156"/>
      <c r="N17" s="155"/>
      <c r="O17" s="155"/>
      <c r="P17" s="155"/>
      <c r="Q17" s="155"/>
      <c r="R17" s="153"/>
      <c r="S17" s="153"/>
      <c r="T17" s="153"/>
      <c r="U17" s="153"/>
      <c r="V17" s="153"/>
      <c r="W17" s="153"/>
      <c r="X17" s="153"/>
      <c r="Y17" s="153"/>
      <c r="Z17" s="153"/>
    </row>
    <row r="18" ht="11.25" customHeight="1">
      <c r="A18" s="157">
        <v>2006.0</v>
      </c>
      <c r="B18" s="158"/>
      <c r="C18" s="158"/>
      <c r="D18" s="159"/>
      <c r="E18" s="158"/>
      <c r="F18" s="158"/>
      <c r="G18" s="159"/>
      <c r="H18" s="158"/>
      <c r="I18" s="158"/>
      <c r="J18" s="159"/>
      <c r="K18" s="158"/>
      <c r="L18" s="158"/>
      <c r="M18" s="159"/>
      <c r="N18" s="158"/>
      <c r="O18" s="158"/>
      <c r="P18" s="158"/>
      <c r="Q18" s="158"/>
      <c r="R18" s="153"/>
      <c r="S18" s="153"/>
      <c r="T18" s="153"/>
      <c r="U18" s="153"/>
      <c r="V18" s="153"/>
      <c r="W18" s="153"/>
      <c r="X18" s="153"/>
      <c r="Y18" s="153"/>
      <c r="Z18" s="153"/>
    </row>
    <row r="19" ht="11.25" customHeight="1">
      <c r="A19" s="154">
        <v>2007.0</v>
      </c>
      <c r="B19" s="155"/>
      <c r="C19" s="155"/>
      <c r="D19" s="156"/>
      <c r="E19" s="155"/>
      <c r="F19" s="155"/>
      <c r="G19" s="156"/>
      <c r="H19" s="155"/>
      <c r="I19" s="155"/>
      <c r="J19" s="156"/>
      <c r="K19" s="155"/>
      <c r="L19" s="155"/>
      <c r="M19" s="156"/>
      <c r="N19" s="155"/>
      <c r="O19" s="155"/>
      <c r="P19" s="155"/>
      <c r="Q19" s="155"/>
      <c r="R19" s="153"/>
      <c r="S19" s="153"/>
      <c r="T19" s="153"/>
      <c r="U19" s="153"/>
      <c r="V19" s="153"/>
      <c r="W19" s="153"/>
      <c r="X19" s="153"/>
      <c r="Y19" s="153"/>
      <c r="Z19" s="153"/>
    </row>
    <row r="20" ht="11.25" customHeight="1">
      <c r="A20" s="157">
        <v>2008.0</v>
      </c>
      <c r="B20" s="158"/>
      <c r="C20" s="158"/>
      <c r="D20" s="159"/>
      <c r="E20" s="158"/>
      <c r="F20" s="158"/>
      <c r="G20" s="159"/>
      <c r="H20" s="158"/>
      <c r="I20" s="158"/>
      <c r="J20" s="159"/>
      <c r="K20" s="158"/>
      <c r="L20" s="158"/>
      <c r="M20" s="159"/>
      <c r="N20" s="158"/>
      <c r="O20" s="158"/>
      <c r="P20" s="158"/>
      <c r="Q20" s="158"/>
      <c r="R20" s="153"/>
      <c r="S20" s="153"/>
      <c r="T20" s="153"/>
      <c r="U20" s="153"/>
      <c r="V20" s="153"/>
      <c r="W20" s="153"/>
      <c r="X20" s="153"/>
      <c r="Y20" s="153"/>
      <c r="Z20" s="153"/>
    </row>
    <row r="21" ht="11.25" customHeight="1">
      <c r="A21" s="154">
        <v>2009.0</v>
      </c>
      <c r="B21" s="155"/>
      <c r="C21" s="155"/>
      <c r="D21" s="156"/>
      <c r="E21" s="155"/>
      <c r="F21" s="155"/>
      <c r="G21" s="156"/>
      <c r="H21" s="155"/>
      <c r="I21" s="155"/>
      <c r="J21" s="156"/>
      <c r="K21" s="155"/>
      <c r="L21" s="155"/>
      <c r="M21" s="156"/>
      <c r="N21" s="155"/>
      <c r="O21" s="155"/>
      <c r="P21" s="155"/>
      <c r="Q21" s="155"/>
      <c r="R21" s="153"/>
      <c r="S21" s="153"/>
      <c r="T21" s="153"/>
      <c r="U21" s="153"/>
      <c r="V21" s="153"/>
      <c r="W21" s="153"/>
      <c r="X21" s="153"/>
      <c r="Y21" s="153"/>
      <c r="Z21" s="153"/>
    </row>
    <row r="22" ht="11.25" customHeight="1">
      <c r="A22" s="157">
        <v>2010.0</v>
      </c>
      <c r="B22" s="158"/>
      <c r="C22" s="158"/>
      <c r="D22" s="159"/>
      <c r="E22" s="158"/>
      <c r="F22" s="158"/>
      <c r="G22" s="159"/>
      <c r="H22" s="158"/>
      <c r="I22" s="158"/>
      <c r="J22" s="159"/>
      <c r="K22" s="158"/>
      <c r="L22" s="158"/>
      <c r="M22" s="159"/>
      <c r="N22" s="158"/>
      <c r="O22" s="158"/>
      <c r="P22" s="158"/>
      <c r="Q22" s="158"/>
      <c r="R22" s="153"/>
      <c r="S22" s="153"/>
      <c r="T22" s="153"/>
      <c r="U22" s="153"/>
      <c r="V22" s="153"/>
      <c r="W22" s="153"/>
      <c r="X22" s="153"/>
      <c r="Y22" s="153"/>
      <c r="Z22" s="153"/>
    </row>
    <row r="23" ht="11.25" customHeight="1">
      <c r="A23" s="154">
        <v>2011.0</v>
      </c>
      <c r="B23" s="155"/>
      <c r="C23" s="155"/>
      <c r="D23" s="156"/>
      <c r="E23" s="155"/>
      <c r="F23" s="155"/>
      <c r="G23" s="156"/>
      <c r="H23" s="155"/>
      <c r="I23" s="155"/>
      <c r="J23" s="156"/>
      <c r="K23" s="155"/>
      <c r="L23" s="155"/>
      <c r="M23" s="156"/>
      <c r="N23" s="155"/>
      <c r="O23" s="155"/>
      <c r="P23" s="155"/>
      <c r="Q23" s="155"/>
      <c r="R23" s="153"/>
      <c r="S23" s="153"/>
      <c r="T23" s="153"/>
      <c r="U23" s="153"/>
      <c r="V23" s="153"/>
      <c r="W23" s="153"/>
      <c r="X23" s="153"/>
      <c r="Y23" s="153"/>
      <c r="Z23" s="153"/>
    </row>
    <row r="24" ht="11.25" customHeight="1">
      <c r="A24" s="157">
        <v>2012.0</v>
      </c>
      <c r="B24" s="158"/>
      <c r="C24" s="158"/>
      <c r="D24" s="159"/>
      <c r="E24" s="158"/>
      <c r="F24" s="158"/>
      <c r="G24" s="159"/>
      <c r="H24" s="158"/>
      <c r="I24" s="158"/>
      <c r="J24" s="159"/>
      <c r="K24" s="158"/>
      <c r="L24" s="158"/>
      <c r="M24" s="159"/>
      <c r="N24" s="158"/>
      <c r="O24" s="158"/>
      <c r="P24" s="158"/>
      <c r="Q24" s="158"/>
      <c r="R24" s="153"/>
      <c r="S24" s="153"/>
      <c r="T24" s="153"/>
      <c r="U24" s="153"/>
      <c r="V24" s="153"/>
      <c r="W24" s="153"/>
      <c r="X24" s="153"/>
      <c r="Y24" s="153"/>
      <c r="Z24" s="153"/>
    </row>
    <row r="25" ht="11.25" customHeight="1">
      <c r="A25" s="154">
        <v>2013.0</v>
      </c>
      <c r="B25" s="155"/>
      <c r="C25" s="155"/>
      <c r="D25" s="156"/>
      <c r="E25" s="155"/>
      <c r="F25" s="155"/>
      <c r="G25" s="156"/>
      <c r="H25" s="155"/>
      <c r="I25" s="155"/>
      <c r="J25" s="156"/>
      <c r="K25" s="155"/>
      <c r="L25" s="155"/>
      <c r="M25" s="156"/>
      <c r="N25" s="155"/>
      <c r="O25" s="155"/>
      <c r="P25" s="155"/>
      <c r="Q25" s="155"/>
      <c r="R25" s="153"/>
      <c r="S25" s="153"/>
      <c r="T25" s="153"/>
      <c r="U25" s="153"/>
      <c r="V25" s="153"/>
      <c r="W25" s="153"/>
      <c r="X25" s="153"/>
      <c r="Y25" s="153"/>
      <c r="Z25" s="153"/>
    </row>
    <row r="26" ht="11.25" customHeight="1">
      <c r="A26" s="157">
        <v>2014.0</v>
      </c>
      <c r="B26" s="158"/>
      <c r="C26" s="158"/>
      <c r="D26" s="159"/>
      <c r="E26" s="158"/>
      <c r="F26" s="158"/>
      <c r="G26" s="159"/>
      <c r="H26" s="158"/>
      <c r="I26" s="158"/>
      <c r="J26" s="159"/>
      <c r="K26" s="158"/>
      <c r="L26" s="158"/>
      <c r="M26" s="159"/>
      <c r="N26" s="158"/>
      <c r="O26" s="158"/>
      <c r="P26" s="158"/>
      <c r="Q26" s="158"/>
      <c r="R26" s="153"/>
      <c r="S26" s="153"/>
      <c r="T26" s="153"/>
      <c r="U26" s="153"/>
      <c r="V26" s="153"/>
      <c r="W26" s="153"/>
      <c r="X26" s="153"/>
      <c r="Y26" s="153"/>
      <c r="Z26" s="153"/>
    </row>
    <row r="27" ht="11.25" customHeight="1">
      <c r="A27" s="154">
        <v>2015.0</v>
      </c>
      <c r="B27" s="155"/>
      <c r="C27" s="155"/>
      <c r="D27" s="156"/>
      <c r="E27" s="155"/>
      <c r="F27" s="155"/>
      <c r="G27" s="156"/>
      <c r="H27" s="155"/>
      <c r="I27" s="155"/>
      <c r="J27" s="156"/>
      <c r="K27" s="155"/>
      <c r="L27" s="155"/>
      <c r="M27" s="156"/>
      <c r="N27" s="155"/>
      <c r="O27" s="155"/>
      <c r="P27" s="155"/>
      <c r="Q27" s="155"/>
      <c r="R27" s="153"/>
      <c r="S27" s="153"/>
      <c r="T27" s="153"/>
      <c r="U27" s="153"/>
      <c r="V27" s="153"/>
      <c r="W27" s="153"/>
      <c r="X27" s="153"/>
      <c r="Y27" s="153"/>
      <c r="Z27" s="153"/>
    </row>
    <row r="28" ht="11.25" customHeight="1">
      <c r="A28" s="157">
        <v>2016.0</v>
      </c>
      <c r="B28" s="158"/>
      <c r="C28" s="158"/>
      <c r="D28" s="159"/>
      <c r="E28" s="158"/>
      <c r="F28" s="158"/>
      <c r="G28" s="159"/>
      <c r="H28" s="158"/>
      <c r="I28" s="158"/>
      <c r="J28" s="159"/>
      <c r="K28" s="158"/>
      <c r="L28" s="158"/>
      <c r="M28" s="159"/>
      <c r="N28" s="158"/>
      <c r="O28" s="158"/>
      <c r="P28" s="158"/>
      <c r="Q28" s="158"/>
      <c r="R28" s="153"/>
      <c r="S28" s="153"/>
      <c r="T28" s="153"/>
      <c r="U28" s="153"/>
      <c r="V28" s="153"/>
      <c r="W28" s="153"/>
      <c r="X28" s="153"/>
      <c r="Y28" s="153"/>
      <c r="Z28" s="153"/>
    </row>
    <row r="29" ht="11.25" customHeight="1">
      <c r="A29" s="154">
        <v>2017.0</v>
      </c>
      <c r="B29" s="155"/>
      <c r="C29" s="155"/>
      <c r="D29" s="156"/>
      <c r="E29" s="155"/>
      <c r="F29" s="155"/>
      <c r="G29" s="156"/>
      <c r="H29" s="155"/>
      <c r="I29" s="155"/>
      <c r="J29" s="156"/>
      <c r="K29" s="155"/>
      <c r="L29" s="155"/>
      <c r="M29" s="156"/>
      <c r="N29" s="155"/>
      <c r="O29" s="155"/>
      <c r="P29" s="155"/>
      <c r="Q29" s="155"/>
      <c r="R29" s="153"/>
      <c r="S29" s="153"/>
      <c r="T29" s="153"/>
      <c r="U29" s="153"/>
      <c r="V29" s="153"/>
      <c r="W29" s="153"/>
      <c r="X29" s="153"/>
      <c r="Y29" s="153"/>
      <c r="Z29" s="153"/>
    </row>
    <row r="30" ht="11.25" customHeight="1">
      <c r="A30" s="157">
        <v>2018.0</v>
      </c>
      <c r="B30" s="158"/>
      <c r="C30" s="158"/>
      <c r="D30" s="159"/>
      <c r="E30" s="158"/>
      <c r="F30" s="158"/>
      <c r="G30" s="159"/>
      <c r="H30" s="158"/>
      <c r="I30" s="158"/>
      <c r="J30" s="159"/>
      <c r="K30" s="158"/>
      <c r="L30" s="158"/>
      <c r="M30" s="159"/>
      <c r="N30" s="158"/>
      <c r="O30" s="158"/>
      <c r="P30" s="158"/>
      <c r="Q30" s="158"/>
      <c r="R30" s="153"/>
      <c r="S30" s="153"/>
      <c r="T30" s="153"/>
      <c r="U30" s="153"/>
      <c r="V30" s="153"/>
      <c r="W30" s="153"/>
      <c r="X30" s="153"/>
      <c r="Y30" s="153"/>
      <c r="Z30" s="153"/>
    </row>
    <row r="31" ht="11.25" customHeight="1">
      <c r="A31" s="154">
        <v>2019.0</v>
      </c>
      <c r="B31" s="155"/>
      <c r="C31" s="155"/>
      <c r="D31" s="156"/>
      <c r="E31" s="155"/>
      <c r="F31" s="155"/>
      <c r="G31" s="156"/>
      <c r="H31" s="155"/>
      <c r="I31" s="155"/>
      <c r="J31" s="156"/>
      <c r="K31" s="155"/>
      <c r="L31" s="155"/>
      <c r="M31" s="156"/>
      <c r="N31" s="155"/>
      <c r="O31" s="155"/>
      <c r="P31" s="155"/>
      <c r="Q31" s="155"/>
      <c r="R31" s="153"/>
      <c r="S31" s="153"/>
      <c r="T31" s="153"/>
      <c r="U31" s="153"/>
      <c r="V31" s="153"/>
      <c r="W31" s="153"/>
      <c r="X31" s="153"/>
      <c r="Y31" s="153"/>
      <c r="Z31" s="153"/>
    </row>
    <row r="32" ht="11.25" customHeight="1">
      <c r="A32" s="157">
        <v>2020.0</v>
      </c>
      <c r="B32" s="158"/>
      <c r="C32" s="158"/>
      <c r="D32" s="159"/>
      <c r="E32" s="158"/>
      <c r="F32" s="158"/>
      <c r="G32" s="159"/>
      <c r="H32" s="158"/>
      <c r="I32" s="158"/>
      <c r="J32" s="159"/>
      <c r="K32" s="158"/>
      <c r="L32" s="158"/>
      <c r="M32" s="159"/>
      <c r="N32" s="158"/>
      <c r="O32" s="158"/>
      <c r="P32" s="158"/>
      <c r="Q32" s="158"/>
      <c r="R32" s="153"/>
      <c r="S32" s="153"/>
      <c r="T32" s="153"/>
      <c r="U32" s="153"/>
      <c r="V32" s="153"/>
      <c r="W32" s="153"/>
      <c r="X32" s="153"/>
      <c r="Y32" s="153"/>
      <c r="Z32" s="153"/>
    </row>
    <row r="33" ht="11.25" customHeight="1">
      <c r="A33" s="154">
        <v>2021.0</v>
      </c>
      <c r="B33" s="155"/>
      <c r="C33" s="155"/>
      <c r="D33" s="156"/>
      <c r="E33" s="155"/>
      <c r="F33" s="155"/>
      <c r="G33" s="156"/>
      <c r="H33" s="155"/>
      <c r="I33" s="155"/>
      <c r="J33" s="156"/>
      <c r="K33" s="155"/>
      <c r="L33" s="155"/>
      <c r="M33" s="156"/>
      <c r="N33" s="155"/>
      <c r="O33" s="155"/>
      <c r="P33" s="155"/>
      <c r="Q33" s="155"/>
      <c r="R33" s="153"/>
      <c r="S33" s="153"/>
      <c r="T33" s="153"/>
      <c r="U33" s="153"/>
      <c r="V33" s="153"/>
      <c r="W33" s="153"/>
      <c r="X33" s="153"/>
      <c r="Y33" s="153"/>
      <c r="Z33" s="153"/>
    </row>
    <row r="34" ht="11.25" customHeight="1">
      <c r="A34" s="157">
        <v>2022.0</v>
      </c>
      <c r="B34" s="158"/>
      <c r="C34" s="158"/>
      <c r="D34" s="159"/>
      <c r="E34" s="158"/>
      <c r="F34" s="158"/>
      <c r="G34" s="159"/>
      <c r="H34" s="158"/>
      <c r="I34" s="158"/>
      <c r="J34" s="159"/>
      <c r="K34" s="158"/>
      <c r="L34" s="158"/>
      <c r="M34" s="159"/>
      <c r="N34" s="158"/>
      <c r="O34" s="158"/>
      <c r="P34" s="158"/>
      <c r="Q34" s="158"/>
      <c r="R34" s="153"/>
      <c r="S34" s="153"/>
      <c r="T34" s="153"/>
      <c r="U34" s="153"/>
      <c r="V34" s="153"/>
      <c r="W34" s="153"/>
      <c r="X34" s="153"/>
      <c r="Y34" s="153"/>
      <c r="Z34" s="153"/>
    </row>
    <row r="35" ht="11.25" customHeight="1">
      <c r="A35" s="154">
        <v>2023.0</v>
      </c>
      <c r="B35" s="155"/>
      <c r="C35" s="155"/>
      <c r="D35" s="156"/>
      <c r="E35" s="155"/>
      <c r="F35" s="155"/>
      <c r="G35" s="156"/>
      <c r="H35" s="155"/>
      <c r="I35" s="155"/>
      <c r="J35" s="156"/>
      <c r="K35" s="155"/>
      <c r="L35" s="155"/>
      <c r="M35" s="156"/>
      <c r="N35" s="155"/>
      <c r="O35" s="155"/>
      <c r="P35" s="155"/>
      <c r="Q35" s="155"/>
      <c r="R35" s="153"/>
      <c r="S35" s="153"/>
      <c r="T35" s="153"/>
      <c r="U35" s="153"/>
      <c r="V35" s="153"/>
      <c r="W35" s="153"/>
      <c r="X35" s="153"/>
      <c r="Y35" s="153"/>
      <c r="Z35" s="153"/>
    </row>
    <row r="36" ht="11.25" customHeight="1">
      <c r="A36" s="160" t="s">
        <v>496</v>
      </c>
      <c r="B36" s="161"/>
      <c r="C36" s="161"/>
      <c r="D36" s="162"/>
      <c r="E36" s="161"/>
      <c r="F36" s="161"/>
      <c r="G36" s="162"/>
      <c r="H36" s="161"/>
      <c r="I36" s="161"/>
      <c r="J36" s="162"/>
      <c r="K36" s="161"/>
      <c r="L36" s="161"/>
      <c r="M36" s="162"/>
      <c r="N36" s="161"/>
      <c r="O36" s="161"/>
      <c r="P36" s="161"/>
      <c r="Q36" s="161"/>
      <c r="R36" s="153"/>
      <c r="S36" s="153"/>
      <c r="T36" s="153"/>
      <c r="U36" s="153"/>
      <c r="V36" s="153"/>
      <c r="W36" s="153"/>
      <c r="X36" s="153"/>
      <c r="Y36" s="153"/>
      <c r="Z36" s="153"/>
    </row>
    <row r="37" ht="11.25" customHeight="1">
      <c r="A37" s="163"/>
      <c r="B37" s="151"/>
      <c r="C37" s="151"/>
      <c r="D37" s="152"/>
      <c r="E37" s="151"/>
      <c r="F37" s="151"/>
      <c r="G37" s="152"/>
      <c r="H37" s="152"/>
      <c r="I37" s="152"/>
      <c r="J37" s="152"/>
      <c r="K37" s="151"/>
      <c r="L37" s="151"/>
      <c r="M37" s="152"/>
      <c r="N37" s="151"/>
      <c r="O37" s="164"/>
      <c r="P37" s="164"/>
      <c r="Q37" s="164"/>
      <c r="R37" s="153"/>
      <c r="S37" s="153"/>
      <c r="T37" s="153"/>
      <c r="U37" s="153"/>
      <c r="V37" s="153"/>
      <c r="W37" s="153"/>
      <c r="X37" s="153"/>
      <c r="Y37" s="153"/>
      <c r="Z37" s="153"/>
    </row>
    <row r="38" ht="11.25" customHeight="1">
      <c r="A38" s="163" t="s">
        <v>512</v>
      </c>
      <c r="B38" s="151"/>
      <c r="C38" s="151"/>
      <c r="D38" s="152"/>
      <c r="E38" s="151"/>
      <c r="F38" s="151"/>
      <c r="G38" s="152"/>
      <c r="H38" s="152"/>
      <c r="I38" s="152"/>
      <c r="J38" s="152"/>
      <c r="K38" s="151"/>
      <c r="L38" s="151"/>
      <c r="M38" s="152"/>
      <c r="N38" s="151"/>
      <c r="O38" s="164"/>
      <c r="P38" s="164"/>
      <c r="Q38" s="164"/>
      <c r="R38" s="153"/>
      <c r="S38" s="153"/>
      <c r="T38" s="153"/>
      <c r="U38" s="153"/>
      <c r="V38" s="153"/>
      <c r="W38" s="153"/>
      <c r="X38" s="153"/>
      <c r="Y38" s="153"/>
      <c r="Z38" s="153"/>
    </row>
    <row r="39" ht="11.25" customHeight="1">
      <c r="A39" s="165" t="s">
        <v>513</v>
      </c>
      <c r="B39" s="166"/>
      <c r="C39" s="166"/>
      <c r="D39" s="167"/>
      <c r="E39" s="166"/>
      <c r="F39" s="166"/>
      <c r="G39" s="167"/>
      <c r="H39" s="167"/>
      <c r="I39" s="167"/>
      <c r="J39" s="167"/>
      <c r="K39" s="166"/>
      <c r="L39" s="166"/>
      <c r="M39" s="167"/>
      <c r="N39" s="166"/>
      <c r="O39" s="168"/>
      <c r="P39" s="168"/>
      <c r="Q39" s="168"/>
      <c r="R39" s="153"/>
      <c r="S39" s="153"/>
      <c r="T39" s="153"/>
      <c r="U39" s="153"/>
      <c r="V39" s="153"/>
      <c r="W39" s="153"/>
      <c r="X39" s="153"/>
      <c r="Y39" s="153"/>
      <c r="Z39" s="153"/>
    </row>
    <row r="40" ht="11.25" customHeight="1">
      <c r="A40" s="149"/>
      <c r="B40" s="169"/>
      <c r="C40" s="169"/>
      <c r="D40" s="170"/>
      <c r="E40" s="169"/>
      <c r="F40" s="169"/>
      <c r="G40" s="170"/>
      <c r="H40" s="170"/>
      <c r="I40" s="170"/>
      <c r="J40" s="170"/>
      <c r="K40" s="169"/>
      <c r="L40" s="169"/>
      <c r="M40" s="170"/>
      <c r="N40" s="169"/>
      <c r="O40" s="169"/>
      <c r="P40" s="169"/>
      <c r="Q40" s="169"/>
      <c r="R40" s="149"/>
      <c r="S40" s="149"/>
      <c r="T40" s="149"/>
      <c r="U40" s="149"/>
      <c r="V40" s="149"/>
      <c r="W40" s="149"/>
      <c r="X40" s="149"/>
      <c r="Y40" s="149"/>
      <c r="Z40" s="149"/>
    </row>
    <row r="41" ht="11.25" customHeight="1">
      <c r="A41" s="149"/>
      <c r="B41" s="171" t="s">
        <v>514</v>
      </c>
      <c r="C41" s="169"/>
      <c r="D41" s="170"/>
      <c r="E41" s="169"/>
      <c r="F41" s="169"/>
      <c r="G41" s="170"/>
      <c r="H41" s="170"/>
      <c r="I41" s="172"/>
      <c r="J41" s="172"/>
      <c r="K41" s="172"/>
      <c r="L41" s="169"/>
      <c r="M41" s="16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</row>
    <row r="42" ht="11.25" customHeight="1">
      <c r="A42" s="149"/>
      <c r="B42" s="169"/>
      <c r="C42" s="169"/>
      <c r="D42" s="170"/>
      <c r="E42" s="169"/>
      <c r="F42" s="169"/>
      <c r="G42" s="170"/>
      <c r="H42" s="170"/>
      <c r="I42" s="172"/>
      <c r="J42" s="172"/>
      <c r="K42" s="172"/>
      <c r="L42" s="169"/>
      <c r="M42" s="16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49"/>
      <c r="Y42" s="149"/>
      <c r="Z42" s="149"/>
    </row>
    <row r="43" ht="11.25" customHeight="1">
      <c r="A43" s="149"/>
      <c r="B43" s="169"/>
      <c r="C43" s="169"/>
      <c r="D43" s="170"/>
      <c r="E43" s="169"/>
      <c r="F43" s="169"/>
      <c r="G43" s="170"/>
      <c r="H43" s="170"/>
      <c r="I43" s="172"/>
      <c r="J43" s="172"/>
      <c r="K43" s="172"/>
      <c r="L43" s="169"/>
      <c r="M43" s="169"/>
      <c r="N43" s="149"/>
      <c r="O43" s="149"/>
      <c r="P43" s="149"/>
      <c r="Q43" s="149"/>
      <c r="R43" s="149"/>
      <c r="S43" s="149"/>
      <c r="T43" s="149"/>
      <c r="U43" s="149"/>
      <c r="V43" s="149"/>
      <c r="W43" s="149"/>
      <c r="X43" s="149"/>
      <c r="Y43" s="149"/>
      <c r="Z43" s="149"/>
    </row>
    <row r="44" ht="11.25" customHeight="1">
      <c r="A44" s="149"/>
      <c r="B44" s="169"/>
      <c r="C44" s="169"/>
      <c r="D44" s="170"/>
      <c r="E44" s="169"/>
      <c r="F44" s="169"/>
      <c r="G44" s="170"/>
      <c r="H44" s="170"/>
      <c r="I44" s="172"/>
      <c r="J44" s="172"/>
      <c r="K44" s="172"/>
      <c r="L44" s="169"/>
      <c r="M44" s="169"/>
      <c r="N44" s="149"/>
      <c r="O44" s="149"/>
      <c r="P44" s="149"/>
      <c r="Q44" s="149"/>
      <c r="R44" s="149"/>
      <c r="S44" s="149"/>
      <c r="T44" s="149"/>
      <c r="U44" s="149"/>
      <c r="V44" s="149"/>
      <c r="W44" s="149"/>
      <c r="X44" s="149"/>
      <c r="Y44" s="149"/>
      <c r="Z44" s="149"/>
    </row>
    <row r="45" ht="11.25" customHeight="1">
      <c r="A45" s="149"/>
      <c r="B45" s="169"/>
      <c r="C45" s="169"/>
      <c r="D45" s="170"/>
      <c r="E45" s="169"/>
      <c r="F45" s="169"/>
      <c r="G45" s="170"/>
      <c r="H45" s="170"/>
      <c r="I45" s="172"/>
      <c r="J45" s="172"/>
      <c r="K45" s="172"/>
      <c r="L45" s="169"/>
      <c r="M45" s="169"/>
      <c r="N45" s="149"/>
      <c r="O45" s="149"/>
      <c r="P45" s="149"/>
      <c r="Q45" s="149"/>
      <c r="R45" s="149"/>
      <c r="S45" s="149"/>
      <c r="T45" s="149"/>
      <c r="U45" s="149"/>
      <c r="V45" s="149"/>
      <c r="W45" s="149"/>
      <c r="X45" s="149"/>
      <c r="Y45" s="149"/>
      <c r="Z45" s="149"/>
    </row>
    <row r="46" ht="11.25" customHeight="1">
      <c r="A46" s="149"/>
      <c r="B46" s="169"/>
      <c r="C46" s="169"/>
      <c r="D46" s="170"/>
      <c r="E46" s="169"/>
      <c r="F46" s="169"/>
      <c r="G46" s="170"/>
      <c r="H46" s="170"/>
      <c r="I46" s="172"/>
      <c r="J46" s="172"/>
      <c r="K46" s="172"/>
      <c r="L46" s="169"/>
      <c r="M46" s="169"/>
      <c r="N46" s="149"/>
      <c r="O46" s="149"/>
      <c r="P46" s="149"/>
      <c r="Q46" s="149"/>
      <c r="R46" s="149"/>
      <c r="S46" s="149"/>
      <c r="T46" s="149"/>
      <c r="U46" s="149"/>
      <c r="V46" s="149"/>
      <c r="W46" s="149"/>
      <c r="X46" s="149"/>
      <c r="Y46" s="149"/>
      <c r="Z46" s="149"/>
    </row>
    <row r="47" ht="11.25" customHeight="1">
      <c r="A47" s="149"/>
      <c r="B47" s="169"/>
      <c r="C47" s="169"/>
      <c r="D47" s="170"/>
      <c r="E47" s="169"/>
      <c r="F47" s="169"/>
      <c r="G47" s="170"/>
      <c r="H47" s="170"/>
      <c r="I47" s="172"/>
      <c r="J47" s="172"/>
      <c r="K47" s="172"/>
      <c r="L47" s="169"/>
      <c r="M47" s="16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</row>
    <row r="48" ht="11.25" customHeight="1">
      <c r="A48" s="149"/>
      <c r="B48" s="169"/>
      <c r="C48" s="169"/>
      <c r="D48" s="170"/>
      <c r="E48" s="169"/>
      <c r="F48" s="169"/>
      <c r="G48" s="170"/>
      <c r="H48" s="170"/>
      <c r="I48" s="172"/>
      <c r="J48" s="172"/>
      <c r="K48" s="172"/>
      <c r="L48" s="169"/>
      <c r="M48" s="16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</row>
    <row r="49" ht="11.25" customHeight="1">
      <c r="A49" s="149"/>
      <c r="B49" s="169"/>
      <c r="C49" s="169"/>
      <c r="D49" s="170"/>
      <c r="E49" s="169"/>
      <c r="F49" s="169"/>
      <c r="G49" s="170"/>
      <c r="H49" s="170"/>
      <c r="I49" s="172"/>
      <c r="J49" s="172"/>
      <c r="K49" s="172"/>
      <c r="L49" s="169"/>
      <c r="M49" s="169"/>
      <c r="N49" s="149"/>
      <c r="O49" s="149"/>
      <c r="P49" s="149"/>
      <c r="Q49" s="149"/>
      <c r="R49" s="149"/>
      <c r="S49" s="149"/>
      <c r="T49" s="149"/>
      <c r="U49" s="149"/>
      <c r="V49" s="149"/>
      <c r="W49" s="149"/>
      <c r="X49" s="149"/>
      <c r="Y49" s="149"/>
      <c r="Z49" s="149"/>
    </row>
    <row r="50" ht="11.25" customHeight="1">
      <c r="A50" s="149"/>
      <c r="B50" s="169"/>
      <c r="C50" s="169"/>
      <c r="D50" s="170"/>
      <c r="E50" s="169"/>
      <c r="F50" s="169"/>
      <c r="G50" s="170"/>
      <c r="H50" s="170"/>
      <c r="I50" s="172"/>
      <c r="J50" s="172"/>
      <c r="K50" s="172"/>
      <c r="L50" s="169"/>
      <c r="M50" s="169"/>
      <c r="N50" s="149"/>
      <c r="O50" s="149"/>
      <c r="P50" s="149"/>
      <c r="Q50" s="149"/>
      <c r="R50" s="149"/>
      <c r="S50" s="149"/>
      <c r="T50" s="149"/>
      <c r="U50" s="149"/>
      <c r="V50" s="149"/>
      <c r="W50" s="149"/>
      <c r="X50" s="149"/>
      <c r="Y50" s="149"/>
      <c r="Z50" s="149"/>
    </row>
    <row r="51" ht="11.25" customHeight="1">
      <c r="A51" s="149"/>
      <c r="B51" s="169"/>
      <c r="C51" s="169"/>
      <c r="D51" s="170"/>
      <c r="E51" s="169"/>
      <c r="F51" s="169"/>
      <c r="G51" s="170"/>
      <c r="H51" s="170"/>
      <c r="I51" s="172"/>
      <c r="J51" s="172"/>
      <c r="K51" s="172"/>
      <c r="L51" s="169"/>
      <c r="M51" s="16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</row>
    <row r="52" ht="11.25" customHeight="1">
      <c r="A52" s="149"/>
      <c r="B52" s="169"/>
      <c r="C52" s="169"/>
      <c r="D52" s="170"/>
      <c r="E52" s="169"/>
      <c r="F52" s="169"/>
      <c r="G52" s="170"/>
      <c r="H52" s="170"/>
      <c r="I52" s="172"/>
      <c r="J52" s="172"/>
      <c r="K52" s="172"/>
      <c r="L52" s="169"/>
      <c r="M52" s="169"/>
      <c r="N52" s="149"/>
      <c r="O52" s="149"/>
      <c r="P52" s="149"/>
      <c r="Q52" s="149"/>
      <c r="R52" s="149"/>
      <c r="S52" s="149"/>
      <c r="T52" s="149"/>
      <c r="U52" s="149"/>
      <c r="V52" s="149"/>
      <c r="W52" s="149"/>
      <c r="X52" s="149"/>
      <c r="Y52" s="149"/>
      <c r="Z52" s="149"/>
    </row>
    <row r="53" ht="11.25" customHeight="1">
      <c r="A53" s="149"/>
      <c r="B53" s="169"/>
      <c r="C53" s="169"/>
      <c r="D53" s="170"/>
      <c r="E53" s="169"/>
      <c r="F53" s="169"/>
      <c r="G53" s="170"/>
      <c r="H53" s="170"/>
      <c r="I53" s="172"/>
      <c r="J53" s="172"/>
      <c r="K53" s="172"/>
      <c r="L53" s="169"/>
      <c r="M53" s="169"/>
      <c r="N53" s="149"/>
      <c r="O53" s="149"/>
      <c r="P53" s="149"/>
      <c r="Q53" s="149"/>
      <c r="R53" s="149"/>
      <c r="S53" s="149"/>
      <c r="T53" s="149"/>
      <c r="U53" s="149"/>
      <c r="V53" s="149"/>
      <c r="W53" s="149"/>
      <c r="X53" s="149"/>
      <c r="Y53" s="149"/>
      <c r="Z53" s="149"/>
    </row>
    <row r="54" ht="11.25" customHeight="1">
      <c r="A54" s="149"/>
      <c r="B54" s="169"/>
      <c r="C54" s="169"/>
      <c r="D54" s="170"/>
      <c r="E54" s="169"/>
      <c r="F54" s="169"/>
      <c r="G54" s="170"/>
      <c r="H54" s="170"/>
      <c r="I54" s="172"/>
      <c r="J54" s="172"/>
      <c r="K54" s="172"/>
      <c r="L54" s="169"/>
      <c r="M54" s="169"/>
      <c r="N54" s="149"/>
      <c r="O54" s="149"/>
      <c r="P54" s="149"/>
      <c r="Q54" s="149"/>
      <c r="R54" s="149"/>
      <c r="S54" s="149"/>
      <c r="T54" s="149"/>
      <c r="U54" s="149"/>
      <c r="V54" s="149"/>
      <c r="W54" s="149"/>
      <c r="X54" s="149"/>
      <c r="Y54" s="149"/>
      <c r="Z54" s="149"/>
    </row>
    <row r="55" ht="11.25" customHeight="1">
      <c r="A55" s="149"/>
      <c r="B55" s="169"/>
      <c r="C55" s="169"/>
      <c r="D55" s="170"/>
      <c r="E55" s="169"/>
      <c r="F55" s="169"/>
      <c r="G55" s="170"/>
      <c r="H55" s="170"/>
      <c r="I55" s="170"/>
      <c r="J55" s="170"/>
      <c r="K55" s="169"/>
      <c r="L55" s="169"/>
      <c r="M55" s="170"/>
      <c r="N55" s="169"/>
      <c r="O55" s="169"/>
      <c r="P55" s="169"/>
      <c r="Q55" s="169"/>
      <c r="R55" s="149"/>
      <c r="S55" s="149"/>
      <c r="T55" s="149"/>
      <c r="U55" s="149"/>
      <c r="V55" s="149"/>
      <c r="W55" s="149"/>
      <c r="X55" s="149"/>
      <c r="Y55" s="149"/>
      <c r="Z55" s="149"/>
    </row>
    <row r="56" ht="11.25" customHeight="1">
      <c r="A56" s="149"/>
      <c r="B56" s="169"/>
      <c r="C56" s="169"/>
      <c r="D56" s="170"/>
      <c r="E56" s="169"/>
      <c r="F56" s="169"/>
      <c r="G56" s="170"/>
      <c r="H56" s="170"/>
      <c r="I56" s="170"/>
      <c r="J56" s="170"/>
      <c r="K56" s="169"/>
      <c r="L56" s="169"/>
      <c r="M56" s="170"/>
      <c r="N56" s="169"/>
      <c r="O56" s="169"/>
      <c r="P56" s="169"/>
      <c r="Q56" s="169"/>
      <c r="R56" s="149"/>
      <c r="S56" s="149"/>
      <c r="T56" s="149"/>
      <c r="U56" s="149"/>
      <c r="V56" s="149"/>
      <c r="W56" s="149"/>
      <c r="X56" s="149"/>
      <c r="Y56" s="149"/>
      <c r="Z56" s="149"/>
    </row>
    <row r="57" ht="11.25" customHeight="1">
      <c r="A57" s="149"/>
      <c r="B57" s="169"/>
      <c r="C57" s="169"/>
      <c r="D57" s="170"/>
      <c r="E57" s="169"/>
      <c r="F57" s="169"/>
      <c r="G57" s="170"/>
      <c r="H57" s="170"/>
      <c r="I57" s="170"/>
      <c r="J57" s="170"/>
      <c r="K57" s="169"/>
      <c r="L57" s="169"/>
      <c r="M57" s="170"/>
      <c r="N57" s="169"/>
      <c r="O57" s="169"/>
      <c r="P57" s="169"/>
      <c r="Q57" s="169"/>
      <c r="R57" s="149"/>
      <c r="S57" s="149"/>
      <c r="T57" s="149"/>
      <c r="U57" s="149"/>
      <c r="V57" s="149"/>
      <c r="W57" s="149"/>
      <c r="X57" s="149"/>
      <c r="Y57" s="149"/>
      <c r="Z57" s="149"/>
    </row>
    <row r="58" ht="11.25" customHeight="1">
      <c r="A58" s="149"/>
      <c r="B58" s="169"/>
      <c r="C58" s="169"/>
      <c r="D58" s="170"/>
      <c r="E58" s="169"/>
      <c r="F58" s="169"/>
      <c r="G58" s="170"/>
      <c r="H58" s="170"/>
      <c r="I58" s="170"/>
      <c r="J58" s="170"/>
      <c r="K58" s="169"/>
      <c r="L58" s="169"/>
      <c r="M58" s="170"/>
      <c r="N58" s="169"/>
      <c r="O58" s="169"/>
      <c r="P58" s="169"/>
      <c r="Q58" s="169"/>
      <c r="R58" s="149"/>
      <c r="S58" s="149"/>
      <c r="T58" s="149"/>
      <c r="U58" s="149"/>
      <c r="V58" s="149"/>
      <c r="W58" s="149"/>
      <c r="X58" s="149"/>
      <c r="Y58" s="149"/>
      <c r="Z58" s="149"/>
    </row>
    <row r="59" ht="11.25" customHeight="1">
      <c r="A59" s="149"/>
      <c r="B59" s="169"/>
      <c r="C59" s="169"/>
      <c r="D59" s="170"/>
      <c r="E59" s="169"/>
      <c r="F59" s="169"/>
      <c r="G59" s="170"/>
      <c r="H59" s="170"/>
      <c r="I59" s="170"/>
      <c r="J59" s="170"/>
      <c r="K59" s="169"/>
      <c r="L59" s="169"/>
      <c r="M59" s="170"/>
      <c r="N59" s="169"/>
      <c r="O59" s="169"/>
      <c r="P59" s="169"/>
      <c r="Q59" s="169"/>
      <c r="R59" s="149"/>
      <c r="S59" s="149"/>
      <c r="T59" s="149"/>
      <c r="U59" s="149"/>
      <c r="V59" s="149"/>
      <c r="W59" s="149"/>
      <c r="X59" s="149"/>
      <c r="Y59" s="149"/>
      <c r="Z59" s="149"/>
    </row>
    <row r="60" ht="11.25" customHeight="1">
      <c r="A60" s="149"/>
      <c r="B60" s="169"/>
      <c r="C60" s="169"/>
      <c r="D60" s="170"/>
      <c r="E60" s="169"/>
      <c r="F60" s="169"/>
      <c r="G60" s="170"/>
      <c r="H60" s="170"/>
      <c r="I60" s="170"/>
      <c r="J60" s="170"/>
      <c r="K60" s="169"/>
      <c r="L60" s="169"/>
      <c r="M60" s="170"/>
      <c r="N60" s="169"/>
      <c r="O60" s="169"/>
      <c r="P60" s="169"/>
      <c r="Q60" s="169"/>
      <c r="R60" s="149"/>
      <c r="S60" s="149"/>
      <c r="T60" s="149"/>
      <c r="U60" s="149"/>
      <c r="V60" s="149"/>
      <c r="W60" s="149"/>
      <c r="X60" s="149"/>
      <c r="Y60" s="149"/>
      <c r="Z60" s="149"/>
    </row>
    <row r="61" ht="11.25" customHeight="1">
      <c r="A61" s="149"/>
      <c r="B61" s="169"/>
      <c r="C61" s="169"/>
      <c r="D61" s="170"/>
      <c r="E61" s="169"/>
      <c r="F61" s="169"/>
      <c r="G61" s="170"/>
      <c r="H61" s="170"/>
      <c r="I61" s="170"/>
      <c r="J61" s="170"/>
      <c r="K61" s="169"/>
      <c r="L61" s="169"/>
      <c r="M61" s="170"/>
      <c r="N61" s="169"/>
      <c r="O61" s="169"/>
      <c r="P61" s="169"/>
      <c r="Q61" s="169"/>
      <c r="R61" s="149"/>
      <c r="S61" s="149"/>
      <c r="T61" s="149"/>
      <c r="U61" s="149"/>
      <c r="V61" s="149"/>
      <c r="W61" s="149"/>
      <c r="X61" s="149"/>
      <c r="Y61" s="149"/>
      <c r="Z61" s="149"/>
    </row>
    <row r="62" ht="11.25" customHeight="1">
      <c r="A62" s="149"/>
      <c r="B62" s="169"/>
      <c r="C62" s="169"/>
      <c r="D62" s="170"/>
      <c r="E62" s="169"/>
      <c r="F62" s="169"/>
      <c r="G62" s="170"/>
      <c r="H62" s="170"/>
      <c r="I62" s="170"/>
      <c r="J62" s="170"/>
      <c r="K62" s="169"/>
      <c r="L62" s="169"/>
      <c r="M62" s="170"/>
      <c r="N62" s="169"/>
      <c r="O62" s="169"/>
      <c r="P62" s="169"/>
      <c r="Q62" s="169"/>
      <c r="R62" s="149"/>
      <c r="S62" s="149"/>
      <c r="T62" s="149"/>
      <c r="U62" s="149"/>
      <c r="V62" s="149"/>
      <c r="W62" s="149"/>
      <c r="X62" s="149"/>
      <c r="Y62" s="149"/>
      <c r="Z62" s="149"/>
    </row>
    <row r="63" ht="11.25" customHeight="1">
      <c r="A63" s="149"/>
      <c r="B63" s="169"/>
      <c r="C63" s="169"/>
      <c r="D63" s="170"/>
      <c r="E63" s="169"/>
      <c r="F63" s="169"/>
      <c r="G63" s="170"/>
      <c r="H63" s="170"/>
      <c r="I63" s="170"/>
      <c r="J63" s="170"/>
      <c r="K63" s="169"/>
      <c r="L63" s="169"/>
      <c r="M63" s="170"/>
      <c r="N63" s="169"/>
      <c r="O63" s="169"/>
      <c r="P63" s="169"/>
      <c r="Q63" s="169"/>
      <c r="R63" s="149"/>
      <c r="S63" s="149"/>
      <c r="T63" s="149"/>
      <c r="U63" s="149"/>
      <c r="V63" s="149"/>
      <c r="W63" s="149"/>
      <c r="X63" s="149"/>
      <c r="Y63" s="149"/>
      <c r="Z63" s="149"/>
    </row>
    <row r="64" ht="11.25" customHeight="1">
      <c r="A64" s="149"/>
      <c r="B64" s="169"/>
      <c r="C64" s="169"/>
      <c r="D64" s="170"/>
      <c r="E64" s="169"/>
      <c r="F64" s="169"/>
      <c r="G64" s="170"/>
      <c r="H64" s="170"/>
      <c r="I64" s="170"/>
      <c r="J64" s="170"/>
      <c r="K64" s="169"/>
      <c r="L64" s="169"/>
      <c r="M64" s="170"/>
      <c r="N64" s="169"/>
      <c r="O64" s="169"/>
      <c r="P64" s="169"/>
      <c r="Q64" s="169"/>
      <c r="R64" s="149"/>
      <c r="S64" s="149"/>
      <c r="T64" s="149"/>
      <c r="U64" s="149"/>
      <c r="V64" s="149"/>
      <c r="W64" s="149"/>
      <c r="X64" s="149"/>
      <c r="Y64" s="149"/>
      <c r="Z64" s="149"/>
    </row>
    <row r="65" ht="11.25" customHeight="1">
      <c r="A65" s="149"/>
      <c r="B65" s="169"/>
      <c r="C65" s="169"/>
      <c r="D65" s="170"/>
      <c r="E65" s="169"/>
      <c r="F65" s="169"/>
      <c r="G65" s="170"/>
      <c r="H65" s="170"/>
      <c r="I65" s="170"/>
      <c r="J65" s="170"/>
      <c r="K65" s="169"/>
      <c r="L65" s="169"/>
      <c r="M65" s="170"/>
      <c r="N65" s="169"/>
      <c r="O65" s="169"/>
      <c r="P65" s="169"/>
      <c r="Q65" s="169"/>
      <c r="R65" s="149"/>
      <c r="S65" s="149"/>
      <c r="T65" s="149"/>
      <c r="U65" s="149"/>
      <c r="V65" s="149"/>
      <c r="W65" s="149"/>
      <c r="X65" s="149"/>
      <c r="Y65" s="149"/>
      <c r="Z65" s="149"/>
    </row>
    <row r="66" ht="11.25" customHeight="1">
      <c r="A66" s="149"/>
      <c r="B66" s="169"/>
      <c r="C66" s="169"/>
      <c r="D66" s="170"/>
      <c r="E66" s="169"/>
      <c r="F66" s="169"/>
      <c r="G66" s="170"/>
      <c r="H66" s="170"/>
      <c r="I66" s="170"/>
      <c r="J66" s="170"/>
      <c r="K66" s="169"/>
      <c r="L66" s="169"/>
      <c r="M66" s="170"/>
      <c r="N66" s="169"/>
      <c r="O66" s="169"/>
      <c r="P66" s="169"/>
      <c r="Q66" s="169"/>
      <c r="R66" s="149"/>
      <c r="S66" s="149"/>
      <c r="T66" s="149"/>
      <c r="U66" s="149"/>
      <c r="V66" s="149"/>
      <c r="W66" s="149"/>
      <c r="X66" s="149"/>
      <c r="Y66" s="149"/>
      <c r="Z66" s="149"/>
    </row>
    <row r="67" ht="11.25" customHeight="1">
      <c r="A67" s="149"/>
      <c r="B67" s="169"/>
      <c r="C67" s="169"/>
      <c r="D67" s="170"/>
      <c r="E67" s="169"/>
      <c r="F67" s="169"/>
      <c r="G67" s="170"/>
      <c r="H67" s="170"/>
      <c r="I67" s="170"/>
      <c r="J67" s="170"/>
      <c r="K67" s="169"/>
      <c r="L67" s="169"/>
      <c r="M67" s="170"/>
      <c r="N67" s="169"/>
      <c r="O67" s="169"/>
      <c r="P67" s="169"/>
      <c r="Q67" s="169"/>
      <c r="R67" s="149"/>
      <c r="S67" s="149"/>
      <c r="T67" s="149"/>
      <c r="U67" s="149"/>
      <c r="V67" s="149"/>
      <c r="W67" s="149"/>
      <c r="X67" s="149"/>
      <c r="Y67" s="149"/>
      <c r="Z67" s="149"/>
    </row>
    <row r="68" ht="11.25" customHeight="1">
      <c r="A68" s="149"/>
      <c r="B68" s="169"/>
      <c r="C68" s="169"/>
      <c r="D68" s="170"/>
      <c r="E68" s="169"/>
      <c r="F68" s="169"/>
      <c r="G68" s="170"/>
      <c r="H68" s="170"/>
      <c r="I68" s="170"/>
      <c r="J68" s="170"/>
      <c r="K68" s="169"/>
      <c r="L68" s="169"/>
      <c r="M68" s="170"/>
      <c r="N68" s="169"/>
      <c r="O68" s="169"/>
      <c r="P68" s="169"/>
      <c r="Q68" s="169"/>
      <c r="R68" s="149"/>
      <c r="S68" s="149"/>
      <c r="T68" s="149"/>
      <c r="U68" s="149"/>
      <c r="V68" s="149"/>
      <c r="W68" s="149"/>
      <c r="X68" s="149"/>
      <c r="Y68" s="149"/>
      <c r="Z68" s="149"/>
    </row>
    <row r="69" ht="11.25" customHeight="1">
      <c r="A69" s="149"/>
      <c r="B69" s="169"/>
      <c r="C69" s="169"/>
      <c r="D69" s="170"/>
      <c r="E69" s="169"/>
      <c r="F69" s="169"/>
      <c r="G69" s="170"/>
      <c r="H69" s="170"/>
      <c r="I69" s="170"/>
      <c r="J69" s="170"/>
      <c r="K69" s="169"/>
      <c r="L69" s="169"/>
      <c r="M69" s="170"/>
      <c r="N69" s="169"/>
      <c r="O69" s="169"/>
      <c r="P69" s="169"/>
      <c r="Q69" s="169"/>
      <c r="R69" s="149"/>
      <c r="S69" s="149"/>
      <c r="T69" s="149"/>
      <c r="U69" s="149"/>
      <c r="V69" s="149"/>
      <c r="W69" s="149"/>
      <c r="X69" s="149"/>
      <c r="Y69" s="149"/>
      <c r="Z69" s="149"/>
    </row>
    <row r="70" ht="11.25" customHeight="1">
      <c r="A70" s="149"/>
      <c r="B70" s="169"/>
      <c r="C70" s="169"/>
      <c r="D70" s="170"/>
      <c r="E70" s="169"/>
      <c r="F70" s="169"/>
      <c r="G70" s="170"/>
      <c r="H70" s="170"/>
      <c r="I70" s="170"/>
      <c r="J70" s="170"/>
      <c r="K70" s="169"/>
      <c r="L70" s="169"/>
      <c r="M70" s="170"/>
      <c r="N70" s="169"/>
      <c r="O70" s="169"/>
      <c r="P70" s="169"/>
      <c r="Q70" s="169"/>
      <c r="R70" s="149"/>
      <c r="S70" s="149"/>
      <c r="T70" s="149"/>
      <c r="U70" s="149"/>
      <c r="V70" s="149"/>
      <c r="W70" s="149"/>
      <c r="X70" s="149"/>
      <c r="Y70" s="149"/>
      <c r="Z70" s="149"/>
    </row>
    <row r="71" ht="11.25" customHeight="1">
      <c r="A71" s="149"/>
      <c r="B71" s="169"/>
      <c r="C71" s="169"/>
      <c r="D71" s="170"/>
      <c r="E71" s="169"/>
      <c r="F71" s="169"/>
      <c r="G71" s="170"/>
      <c r="H71" s="170"/>
      <c r="I71" s="170"/>
      <c r="J71" s="170"/>
      <c r="K71" s="169"/>
      <c r="L71" s="169"/>
      <c r="M71" s="170"/>
      <c r="N71" s="169"/>
      <c r="O71" s="169"/>
      <c r="P71" s="169"/>
      <c r="Q71" s="169"/>
      <c r="R71" s="149"/>
      <c r="S71" s="149"/>
      <c r="T71" s="149"/>
      <c r="U71" s="149"/>
      <c r="V71" s="149"/>
      <c r="W71" s="149"/>
      <c r="X71" s="149"/>
      <c r="Y71" s="149"/>
      <c r="Z71" s="149"/>
    </row>
    <row r="72" ht="11.25" customHeight="1">
      <c r="A72" s="149"/>
      <c r="B72" s="169"/>
      <c r="C72" s="169"/>
      <c r="D72" s="170"/>
      <c r="E72" s="169"/>
      <c r="F72" s="169"/>
      <c r="G72" s="170"/>
      <c r="H72" s="170"/>
      <c r="I72" s="170"/>
      <c r="J72" s="170"/>
      <c r="K72" s="169"/>
      <c r="L72" s="169"/>
      <c r="M72" s="170"/>
      <c r="N72" s="169"/>
      <c r="O72" s="169"/>
      <c r="P72" s="169"/>
      <c r="Q72" s="169"/>
      <c r="R72" s="149"/>
      <c r="S72" s="149"/>
      <c r="T72" s="149"/>
      <c r="U72" s="149"/>
      <c r="V72" s="149"/>
      <c r="W72" s="149"/>
      <c r="X72" s="149"/>
      <c r="Y72" s="149"/>
      <c r="Z72" s="149"/>
    </row>
    <row r="73" ht="11.25" customHeight="1">
      <c r="A73" s="149"/>
      <c r="B73" s="169"/>
      <c r="C73" s="169"/>
      <c r="D73" s="170"/>
      <c r="E73" s="169"/>
      <c r="F73" s="169"/>
      <c r="G73" s="170"/>
      <c r="H73" s="170"/>
      <c r="I73" s="170"/>
      <c r="J73" s="170"/>
      <c r="K73" s="169"/>
      <c r="L73" s="169"/>
      <c r="M73" s="170"/>
      <c r="N73" s="169"/>
      <c r="O73" s="169"/>
      <c r="P73" s="169"/>
      <c r="Q73" s="169"/>
      <c r="R73" s="149"/>
      <c r="S73" s="149"/>
      <c r="T73" s="149"/>
      <c r="U73" s="149"/>
      <c r="V73" s="149"/>
      <c r="W73" s="149"/>
      <c r="X73" s="149"/>
      <c r="Y73" s="149"/>
      <c r="Z73" s="149"/>
    </row>
    <row r="74" ht="11.25" customHeight="1">
      <c r="A74" s="149"/>
      <c r="B74" s="169"/>
      <c r="C74" s="169"/>
      <c r="D74" s="170"/>
      <c r="E74" s="169"/>
      <c r="F74" s="169"/>
      <c r="G74" s="170"/>
      <c r="H74" s="170"/>
      <c r="I74" s="170"/>
      <c r="J74" s="170"/>
      <c r="K74" s="169"/>
      <c r="L74" s="169"/>
      <c r="M74" s="170"/>
      <c r="N74" s="169"/>
      <c r="O74" s="169"/>
      <c r="P74" s="169"/>
      <c r="Q74" s="169"/>
      <c r="R74" s="149"/>
      <c r="S74" s="149"/>
      <c r="T74" s="149"/>
      <c r="U74" s="149"/>
      <c r="V74" s="149"/>
      <c r="W74" s="149"/>
      <c r="X74" s="149"/>
      <c r="Y74" s="149"/>
      <c r="Z74" s="149"/>
    </row>
    <row r="75" ht="11.25" customHeight="1">
      <c r="A75" s="149"/>
      <c r="B75" s="169"/>
      <c r="C75" s="169"/>
      <c r="D75" s="170"/>
      <c r="E75" s="169"/>
      <c r="F75" s="169"/>
      <c r="G75" s="170"/>
      <c r="H75" s="170"/>
      <c r="I75" s="170"/>
      <c r="J75" s="170"/>
      <c r="K75" s="169"/>
      <c r="L75" s="169"/>
      <c r="M75" s="170"/>
      <c r="N75" s="169"/>
      <c r="O75" s="169"/>
      <c r="P75" s="169"/>
      <c r="Q75" s="169"/>
      <c r="R75" s="149"/>
      <c r="S75" s="149"/>
      <c r="T75" s="149"/>
      <c r="U75" s="149"/>
      <c r="V75" s="149"/>
      <c r="W75" s="149"/>
      <c r="X75" s="149"/>
      <c r="Y75" s="149"/>
      <c r="Z75" s="149"/>
    </row>
    <row r="76" ht="11.25" customHeight="1">
      <c r="A76" s="149"/>
      <c r="B76" s="169"/>
      <c r="C76" s="169"/>
      <c r="D76" s="170"/>
      <c r="E76" s="169"/>
      <c r="F76" s="169"/>
      <c r="G76" s="170"/>
      <c r="H76" s="170"/>
      <c r="I76" s="170"/>
      <c r="J76" s="170"/>
      <c r="K76" s="169"/>
      <c r="L76" s="169"/>
      <c r="M76" s="170"/>
      <c r="N76" s="169"/>
      <c r="O76" s="169"/>
      <c r="P76" s="169"/>
      <c r="Q76" s="169"/>
      <c r="R76" s="149"/>
      <c r="S76" s="149"/>
      <c r="T76" s="149"/>
      <c r="U76" s="149"/>
      <c r="V76" s="149"/>
      <c r="W76" s="149"/>
      <c r="X76" s="149"/>
      <c r="Y76" s="149"/>
      <c r="Z76" s="149"/>
    </row>
    <row r="77" ht="11.25" customHeight="1">
      <c r="A77" s="149"/>
      <c r="B77" s="169"/>
      <c r="C77" s="169"/>
      <c r="D77" s="170"/>
      <c r="E77" s="169"/>
      <c r="F77" s="169"/>
      <c r="G77" s="170"/>
      <c r="H77" s="170"/>
      <c r="I77" s="170"/>
      <c r="J77" s="170"/>
      <c r="K77" s="169"/>
      <c r="L77" s="169"/>
      <c r="M77" s="170"/>
      <c r="N77" s="169"/>
      <c r="O77" s="169"/>
      <c r="P77" s="169"/>
      <c r="Q77" s="169"/>
      <c r="R77" s="149"/>
      <c r="S77" s="149"/>
      <c r="T77" s="149"/>
      <c r="U77" s="149"/>
      <c r="V77" s="149"/>
      <c r="W77" s="149"/>
      <c r="X77" s="149"/>
      <c r="Y77" s="149"/>
      <c r="Z77" s="149"/>
    </row>
    <row r="78" ht="11.25" customHeight="1">
      <c r="A78" s="149"/>
      <c r="B78" s="169"/>
      <c r="C78" s="169"/>
      <c r="D78" s="170"/>
      <c r="E78" s="169"/>
      <c r="F78" s="169"/>
      <c r="G78" s="170"/>
      <c r="H78" s="170"/>
      <c r="I78" s="170"/>
      <c r="J78" s="170"/>
      <c r="K78" s="169"/>
      <c r="L78" s="169"/>
      <c r="M78" s="170"/>
      <c r="N78" s="169"/>
      <c r="O78" s="169"/>
      <c r="P78" s="169"/>
      <c r="Q78" s="169"/>
      <c r="R78" s="149"/>
      <c r="S78" s="149"/>
      <c r="T78" s="149"/>
      <c r="U78" s="149"/>
      <c r="V78" s="149"/>
      <c r="W78" s="149"/>
      <c r="X78" s="149"/>
      <c r="Y78" s="149"/>
      <c r="Z78" s="149"/>
    </row>
    <row r="79" ht="11.25" customHeight="1">
      <c r="A79" s="149"/>
      <c r="B79" s="169"/>
      <c r="C79" s="169"/>
      <c r="D79" s="170"/>
      <c r="E79" s="169"/>
      <c r="F79" s="169"/>
      <c r="G79" s="170"/>
      <c r="H79" s="170"/>
      <c r="I79" s="170"/>
      <c r="J79" s="170"/>
      <c r="K79" s="169"/>
      <c r="L79" s="169"/>
      <c r="M79" s="170"/>
      <c r="N79" s="169"/>
      <c r="O79" s="169"/>
      <c r="P79" s="169"/>
      <c r="Q79" s="169"/>
      <c r="R79" s="149"/>
      <c r="S79" s="149"/>
      <c r="T79" s="149"/>
      <c r="U79" s="149"/>
      <c r="V79" s="149"/>
      <c r="W79" s="149"/>
      <c r="X79" s="149"/>
      <c r="Y79" s="149"/>
      <c r="Z79" s="149"/>
    </row>
    <row r="80" ht="11.25" customHeight="1">
      <c r="A80" s="149"/>
      <c r="B80" s="169"/>
      <c r="C80" s="169"/>
      <c r="D80" s="170"/>
      <c r="E80" s="169"/>
      <c r="F80" s="169"/>
      <c r="G80" s="170"/>
      <c r="H80" s="170"/>
      <c r="I80" s="170"/>
      <c r="J80" s="170"/>
      <c r="K80" s="169"/>
      <c r="L80" s="169"/>
      <c r="M80" s="170"/>
      <c r="N80" s="169"/>
      <c r="O80" s="169"/>
      <c r="P80" s="169"/>
      <c r="Q80" s="169"/>
      <c r="R80" s="149"/>
      <c r="S80" s="149"/>
      <c r="T80" s="149"/>
      <c r="U80" s="149"/>
      <c r="V80" s="149"/>
      <c r="W80" s="149"/>
      <c r="X80" s="149"/>
      <c r="Y80" s="149"/>
      <c r="Z80" s="149"/>
    </row>
    <row r="81" ht="11.25" customHeight="1">
      <c r="A81" s="149"/>
      <c r="B81" s="169"/>
      <c r="C81" s="169"/>
      <c r="D81" s="170"/>
      <c r="E81" s="169"/>
      <c r="F81" s="169"/>
      <c r="G81" s="170"/>
      <c r="H81" s="170"/>
      <c r="I81" s="170"/>
      <c r="J81" s="170"/>
      <c r="K81" s="169"/>
      <c r="L81" s="169"/>
      <c r="M81" s="170"/>
      <c r="N81" s="169"/>
      <c r="O81" s="169"/>
      <c r="P81" s="169"/>
      <c r="Q81" s="169"/>
      <c r="R81" s="149"/>
      <c r="S81" s="149"/>
      <c r="T81" s="149"/>
      <c r="U81" s="149"/>
      <c r="V81" s="149"/>
      <c r="W81" s="149"/>
      <c r="X81" s="149"/>
      <c r="Y81" s="149"/>
      <c r="Z81" s="149"/>
    </row>
    <row r="82" ht="11.25" customHeight="1">
      <c r="A82" s="149"/>
      <c r="B82" s="169"/>
      <c r="C82" s="169"/>
      <c r="D82" s="170"/>
      <c r="E82" s="169"/>
      <c r="F82" s="169"/>
      <c r="G82" s="170"/>
      <c r="H82" s="170"/>
      <c r="I82" s="170"/>
      <c r="J82" s="170"/>
      <c r="K82" s="169"/>
      <c r="L82" s="169"/>
      <c r="M82" s="170"/>
      <c r="N82" s="169"/>
      <c r="O82" s="169"/>
      <c r="P82" s="169"/>
      <c r="Q82" s="169"/>
      <c r="R82" s="149"/>
      <c r="S82" s="149"/>
      <c r="T82" s="149"/>
      <c r="U82" s="149"/>
      <c r="V82" s="149"/>
      <c r="W82" s="149"/>
      <c r="X82" s="149"/>
      <c r="Y82" s="149"/>
      <c r="Z82" s="149"/>
    </row>
    <row r="83" ht="11.25" customHeight="1">
      <c r="A83" s="149"/>
      <c r="B83" s="169"/>
      <c r="C83" s="169"/>
      <c r="D83" s="170"/>
      <c r="E83" s="169"/>
      <c r="F83" s="169"/>
      <c r="G83" s="170"/>
      <c r="H83" s="170"/>
      <c r="I83" s="170"/>
      <c r="J83" s="170"/>
      <c r="K83" s="169"/>
      <c r="L83" s="169"/>
      <c r="M83" s="170"/>
      <c r="N83" s="169"/>
      <c r="O83" s="169"/>
      <c r="P83" s="169"/>
      <c r="Q83" s="169"/>
      <c r="R83" s="149"/>
      <c r="S83" s="149"/>
      <c r="T83" s="149"/>
      <c r="U83" s="149"/>
      <c r="V83" s="149"/>
      <c r="W83" s="149"/>
      <c r="X83" s="149"/>
      <c r="Y83" s="149"/>
      <c r="Z83" s="149"/>
    </row>
    <row r="84" ht="11.25" customHeight="1">
      <c r="A84" s="149"/>
      <c r="B84" s="169"/>
      <c r="C84" s="169"/>
      <c r="D84" s="170"/>
      <c r="E84" s="169"/>
      <c r="F84" s="169"/>
      <c r="G84" s="170"/>
      <c r="H84" s="170"/>
      <c r="I84" s="170"/>
      <c r="J84" s="170"/>
      <c r="K84" s="169"/>
      <c r="L84" s="169"/>
      <c r="M84" s="170"/>
      <c r="N84" s="169"/>
      <c r="O84" s="169"/>
      <c r="P84" s="169"/>
      <c r="Q84" s="169"/>
      <c r="R84" s="149"/>
      <c r="S84" s="149"/>
      <c r="T84" s="149"/>
      <c r="U84" s="149"/>
      <c r="V84" s="149"/>
      <c r="W84" s="149"/>
      <c r="X84" s="149"/>
      <c r="Y84" s="149"/>
      <c r="Z84" s="149"/>
    </row>
    <row r="85" ht="11.25" customHeight="1">
      <c r="A85" s="149"/>
      <c r="B85" s="169"/>
      <c r="C85" s="169"/>
      <c r="D85" s="170"/>
      <c r="E85" s="169"/>
      <c r="F85" s="169"/>
      <c r="G85" s="170"/>
      <c r="H85" s="170"/>
      <c r="I85" s="170"/>
      <c r="J85" s="170"/>
      <c r="K85" s="169"/>
      <c r="L85" s="169"/>
      <c r="M85" s="170"/>
      <c r="N85" s="169"/>
      <c r="O85" s="169"/>
      <c r="P85" s="169"/>
      <c r="Q85" s="169"/>
      <c r="R85" s="149"/>
      <c r="S85" s="149"/>
      <c r="T85" s="149"/>
      <c r="U85" s="149"/>
      <c r="V85" s="149"/>
      <c r="W85" s="149"/>
      <c r="X85" s="149"/>
      <c r="Y85" s="149"/>
      <c r="Z85" s="149"/>
    </row>
    <row r="86" ht="11.25" customHeight="1">
      <c r="A86" s="149"/>
      <c r="B86" s="169"/>
      <c r="C86" s="169"/>
      <c r="D86" s="170"/>
      <c r="E86" s="169"/>
      <c r="F86" s="169"/>
      <c r="G86" s="170"/>
      <c r="H86" s="170"/>
      <c r="I86" s="170"/>
      <c r="J86" s="170"/>
      <c r="K86" s="169"/>
      <c r="L86" s="169"/>
      <c r="M86" s="170"/>
      <c r="N86" s="169"/>
      <c r="O86" s="169"/>
      <c r="P86" s="169"/>
      <c r="Q86" s="169"/>
      <c r="R86" s="149"/>
      <c r="S86" s="149"/>
      <c r="T86" s="149"/>
      <c r="U86" s="149"/>
      <c r="V86" s="149"/>
      <c r="W86" s="149"/>
      <c r="X86" s="149"/>
      <c r="Y86" s="149"/>
      <c r="Z86" s="149"/>
    </row>
    <row r="87" ht="11.25" customHeight="1">
      <c r="A87" s="149"/>
      <c r="B87" s="169"/>
      <c r="C87" s="169"/>
      <c r="D87" s="170"/>
      <c r="E87" s="169"/>
      <c r="F87" s="169"/>
      <c r="G87" s="170"/>
      <c r="H87" s="170"/>
      <c r="I87" s="170"/>
      <c r="J87" s="170"/>
      <c r="K87" s="169"/>
      <c r="L87" s="169"/>
      <c r="M87" s="170"/>
      <c r="N87" s="169"/>
      <c r="O87" s="169"/>
      <c r="P87" s="169"/>
      <c r="Q87" s="169"/>
      <c r="R87" s="149"/>
      <c r="S87" s="149"/>
      <c r="T87" s="149"/>
      <c r="U87" s="149"/>
      <c r="V87" s="149"/>
      <c r="W87" s="149"/>
      <c r="X87" s="149"/>
      <c r="Y87" s="149"/>
      <c r="Z87" s="149"/>
    </row>
    <row r="88" ht="11.25" customHeight="1">
      <c r="A88" s="149"/>
      <c r="B88" s="169"/>
      <c r="C88" s="169"/>
      <c r="D88" s="170"/>
      <c r="E88" s="169"/>
      <c r="F88" s="169"/>
      <c r="G88" s="170"/>
      <c r="H88" s="170"/>
      <c r="I88" s="170"/>
      <c r="J88" s="170"/>
      <c r="K88" s="169"/>
      <c r="L88" s="169"/>
      <c r="M88" s="170"/>
      <c r="N88" s="169"/>
      <c r="O88" s="169"/>
      <c r="P88" s="169"/>
      <c r="Q88" s="169"/>
      <c r="R88" s="149"/>
      <c r="S88" s="149"/>
      <c r="T88" s="149"/>
      <c r="U88" s="149"/>
      <c r="V88" s="149"/>
      <c r="W88" s="149"/>
      <c r="X88" s="149"/>
      <c r="Y88" s="149"/>
      <c r="Z88" s="149"/>
    </row>
    <row r="89" ht="11.25" customHeight="1">
      <c r="A89" s="149"/>
      <c r="B89" s="169"/>
      <c r="C89" s="169"/>
      <c r="D89" s="170"/>
      <c r="E89" s="169"/>
      <c r="F89" s="169"/>
      <c r="G89" s="170"/>
      <c r="H89" s="170"/>
      <c r="I89" s="170"/>
      <c r="J89" s="170"/>
      <c r="K89" s="169"/>
      <c r="L89" s="169"/>
      <c r="M89" s="170"/>
      <c r="N89" s="169"/>
      <c r="O89" s="169"/>
      <c r="P89" s="169"/>
      <c r="Q89" s="169"/>
      <c r="R89" s="149"/>
      <c r="S89" s="149"/>
      <c r="T89" s="149"/>
      <c r="U89" s="149"/>
      <c r="V89" s="149"/>
      <c r="W89" s="149"/>
      <c r="X89" s="149"/>
      <c r="Y89" s="149"/>
      <c r="Z89" s="149"/>
    </row>
    <row r="90" ht="11.25" customHeight="1">
      <c r="A90" s="149"/>
      <c r="B90" s="169"/>
      <c r="C90" s="169"/>
      <c r="D90" s="170"/>
      <c r="E90" s="169"/>
      <c r="F90" s="169"/>
      <c r="G90" s="170"/>
      <c r="H90" s="170"/>
      <c r="I90" s="170"/>
      <c r="J90" s="170"/>
      <c r="K90" s="169"/>
      <c r="L90" s="169"/>
      <c r="M90" s="170"/>
      <c r="N90" s="169"/>
      <c r="O90" s="169"/>
      <c r="P90" s="169"/>
      <c r="Q90" s="169"/>
      <c r="R90" s="149"/>
      <c r="S90" s="149"/>
      <c r="T90" s="149"/>
      <c r="U90" s="149"/>
      <c r="V90" s="149"/>
      <c r="W90" s="149"/>
      <c r="X90" s="149"/>
      <c r="Y90" s="149"/>
      <c r="Z90" s="149"/>
    </row>
    <row r="91" ht="11.25" customHeight="1">
      <c r="A91" s="149"/>
      <c r="B91" s="169"/>
      <c r="C91" s="169"/>
      <c r="D91" s="170"/>
      <c r="E91" s="169"/>
      <c r="F91" s="169"/>
      <c r="G91" s="170"/>
      <c r="H91" s="170"/>
      <c r="I91" s="170"/>
      <c r="J91" s="170"/>
      <c r="K91" s="169"/>
      <c r="L91" s="169"/>
      <c r="M91" s="170"/>
      <c r="N91" s="169"/>
      <c r="O91" s="169"/>
      <c r="P91" s="169"/>
      <c r="Q91" s="169"/>
      <c r="R91" s="149"/>
      <c r="S91" s="149"/>
      <c r="T91" s="149"/>
      <c r="U91" s="149"/>
      <c r="V91" s="149"/>
      <c r="W91" s="149"/>
      <c r="X91" s="149"/>
      <c r="Y91" s="149"/>
      <c r="Z91" s="149"/>
    </row>
    <row r="92" ht="11.25" customHeight="1">
      <c r="A92" s="149"/>
      <c r="B92" s="169"/>
      <c r="C92" s="169"/>
      <c r="D92" s="170"/>
      <c r="E92" s="169"/>
      <c r="F92" s="169"/>
      <c r="G92" s="170"/>
      <c r="H92" s="170"/>
      <c r="I92" s="170"/>
      <c r="J92" s="170"/>
      <c r="K92" s="169"/>
      <c r="L92" s="169"/>
      <c r="M92" s="170"/>
      <c r="N92" s="169"/>
      <c r="O92" s="169"/>
      <c r="P92" s="169"/>
      <c r="Q92" s="169"/>
      <c r="R92" s="149"/>
      <c r="S92" s="149"/>
      <c r="T92" s="149"/>
      <c r="U92" s="149"/>
      <c r="V92" s="149"/>
      <c r="W92" s="149"/>
      <c r="X92" s="149"/>
      <c r="Y92" s="149"/>
      <c r="Z92" s="149"/>
    </row>
    <row r="93" ht="11.25" customHeight="1">
      <c r="A93" s="149"/>
      <c r="B93" s="169"/>
      <c r="C93" s="169"/>
      <c r="D93" s="170"/>
      <c r="E93" s="169"/>
      <c r="F93" s="169"/>
      <c r="G93" s="170"/>
      <c r="H93" s="170"/>
      <c r="I93" s="170"/>
      <c r="J93" s="170"/>
      <c r="K93" s="169"/>
      <c r="L93" s="169"/>
      <c r="M93" s="170"/>
      <c r="N93" s="169"/>
      <c r="O93" s="169"/>
      <c r="P93" s="169"/>
      <c r="Q93" s="169"/>
      <c r="R93" s="149"/>
      <c r="S93" s="149"/>
      <c r="T93" s="149"/>
      <c r="U93" s="149"/>
      <c r="V93" s="149"/>
      <c r="W93" s="149"/>
      <c r="X93" s="149"/>
      <c r="Y93" s="149"/>
      <c r="Z93" s="149"/>
    </row>
    <row r="94" ht="11.25" customHeight="1">
      <c r="A94" s="149"/>
      <c r="B94" s="169"/>
      <c r="C94" s="169"/>
      <c r="D94" s="170"/>
      <c r="E94" s="169"/>
      <c r="F94" s="169"/>
      <c r="G94" s="170"/>
      <c r="H94" s="170"/>
      <c r="I94" s="170"/>
      <c r="J94" s="170"/>
      <c r="K94" s="169"/>
      <c r="L94" s="169"/>
      <c r="M94" s="170"/>
      <c r="N94" s="169"/>
      <c r="O94" s="169"/>
      <c r="P94" s="169"/>
      <c r="Q94" s="169"/>
      <c r="R94" s="149"/>
      <c r="S94" s="149"/>
      <c r="T94" s="149"/>
      <c r="U94" s="149"/>
      <c r="V94" s="149"/>
      <c r="W94" s="149"/>
      <c r="X94" s="149"/>
      <c r="Y94" s="149"/>
      <c r="Z94" s="149"/>
    </row>
    <row r="95" ht="11.25" customHeight="1">
      <c r="A95" s="149"/>
      <c r="B95" s="169"/>
      <c r="C95" s="169"/>
      <c r="D95" s="170"/>
      <c r="E95" s="169"/>
      <c r="F95" s="169"/>
      <c r="G95" s="170"/>
      <c r="H95" s="170"/>
      <c r="I95" s="170"/>
      <c r="J95" s="170"/>
      <c r="K95" s="169"/>
      <c r="L95" s="169"/>
      <c r="M95" s="170"/>
      <c r="N95" s="169"/>
      <c r="O95" s="169"/>
      <c r="P95" s="169"/>
      <c r="Q95" s="169"/>
      <c r="R95" s="149"/>
      <c r="S95" s="149"/>
      <c r="T95" s="149"/>
      <c r="U95" s="149"/>
      <c r="V95" s="149"/>
      <c r="W95" s="149"/>
      <c r="X95" s="149"/>
      <c r="Y95" s="149"/>
      <c r="Z95" s="149"/>
    </row>
    <row r="96" ht="11.25" customHeight="1">
      <c r="A96" s="149"/>
      <c r="B96" s="169"/>
      <c r="C96" s="169"/>
      <c r="D96" s="170"/>
      <c r="E96" s="169"/>
      <c r="F96" s="169"/>
      <c r="G96" s="170"/>
      <c r="H96" s="170"/>
      <c r="I96" s="170"/>
      <c r="J96" s="170"/>
      <c r="K96" s="169"/>
      <c r="L96" s="169"/>
      <c r="M96" s="170"/>
      <c r="N96" s="169"/>
      <c r="O96" s="169"/>
      <c r="P96" s="169"/>
      <c r="Q96" s="169"/>
      <c r="R96" s="149"/>
      <c r="S96" s="149"/>
      <c r="T96" s="149"/>
      <c r="U96" s="149"/>
      <c r="V96" s="149"/>
      <c r="W96" s="149"/>
      <c r="X96" s="149"/>
      <c r="Y96" s="149"/>
      <c r="Z96" s="149"/>
    </row>
    <row r="97" ht="11.25" customHeight="1">
      <c r="A97" s="149"/>
      <c r="B97" s="169"/>
      <c r="C97" s="169"/>
      <c r="D97" s="170"/>
      <c r="E97" s="169"/>
      <c r="F97" s="169"/>
      <c r="G97" s="170"/>
      <c r="H97" s="170"/>
      <c r="I97" s="170"/>
      <c r="J97" s="170"/>
      <c r="K97" s="169"/>
      <c r="L97" s="169"/>
      <c r="M97" s="170"/>
      <c r="N97" s="169"/>
      <c r="O97" s="169"/>
      <c r="P97" s="169"/>
      <c r="Q97" s="169"/>
      <c r="R97" s="149"/>
      <c r="S97" s="149"/>
      <c r="T97" s="149"/>
      <c r="U97" s="149"/>
      <c r="V97" s="149"/>
      <c r="W97" s="149"/>
      <c r="X97" s="149"/>
      <c r="Y97" s="149"/>
      <c r="Z97" s="149"/>
    </row>
    <row r="98" ht="11.25" customHeight="1">
      <c r="A98" s="149"/>
      <c r="B98" s="169"/>
      <c r="C98" s="169"/>
      <c r="D98" s="170"/>
      <c r="E98" s="169"/>
      <c r="F98" s="169"/>
      <c r="G98" s="170"/>
      <c r="H98" s="170"/>
      <c r="I98" s="170"/>
      <c r="J98" s="170"/>
      <c r="K98" s="169"/>
      <c r="L98" s="169"/>
      <c r="M98" s="170"/>
      <c r="N98" s="169"/>
      <c r="O98" s="169"/>
      <c r="P98" s="169"/>
      <c r="Q98" s="169"/>
      <c r="R98" s="149"/>
      <c r="S98" s="149"/>
      <c r="T98" s="149"/>
      <c r="U98" s="149"/>
      <c r="V98" s="149"/>
      <c r="W98" s="149"/>
      <c r="X98" s="149"/>
      <c r="Y98" s="149"/>
      <c r="Z98" s="149"/>
    </row>
    <row r="99" ht="11.25" customHeight="1">
      <c r="A99" s="149"/>
      <c r="B99" s="169"/>
      <c r="C99" s="169"/>
      <c r="D99" s="170"/>
      <c r="E99" s="169"/>
      <c r="F99" s="169"/>
      <c r="G99" s="170"/>
      <c r="H99" s="170"/>
      <c r="I99" s="170"/>
      <c r="J99" s="170"/>
      <c r="K99" s="169"/>
      <c r="L99" s="169"/>
      <c r="M99" s="170"/>
      <c r="N99" s="169"/>
      <c r="O99" s="169"/>
      <c r="P99" s="169"/>
      <c r="Q99" s="169"/>
      <c r="R99" s="149"/>
      <c r="S99" s="149"/>
      <c r="T99" s="149"/>
      <c r="U99" s="149"/>
      <c r="V99" s="149"/>
      <c r="W99" s="149"/>
      <c r="X99" s="149"/>
      <c r="Y99" s="149"/>
      <c r="Z99" s="149"/>
    </row>
    <row r="100" ht="11.25" customHeight="1">
      <c r="A100" s="149"/>
      <c r="B100" s="169"/>
      <c r="C100" s="169"/>
      <c r="D100" s="170"/>
      <c r="E100" s="169"/>
      <c r="F100" s="169"/>
      <c r="G100" s="170"/>
      <c r="H100" s="170"/>
      <c r="I100" s="170"/>
      <c r="J100" s="170"/>
      <c r="K100" s="169"/>
      <c r="L100" s="169"/>
      <c r="M100" s="170"/>
      <c r="N100" s="169"/>
      <c r="O100" s="169"/>
      <c r="P100" s="169"/>
      <c r="Q100" s="169"/>
      <c r="R100" s="149"/>
      <c r="S100" s="149"/>
      <c r="T100" s="149"/>
      <c r="U100" s="149"/>
      <c r="V100" s="149"/>
      <c r="W100" s="149"/>
      <c r="X100" s="149"/>
      <c r="Y100" s="149"/>
      <c r="Z100" s="149"/>
    </row>
    <row r="101" ht="11.25" customHeight="1">
      <c r="A101" s="149"/>
      <c r="B101" s="169"/>
      <c r="C101" s="169"/>
      <c r="D101" s="170"/>
      <c r="E101" s="169"/>
      <c r="F101" s="169"/>
      <c r="G101" s="170"/>
      <c r="H101" s="170"/>
      <c r="I101" s="170"/>
      <c r="J101" s="170"/>
      <c r="K101" s="169"/>
      <c r="L101" s="169"/>
      <c r="M101" s="170"/>
      <c r="N101" s="169"/>
      <c r="O101" s="169"/>
      <c r="P101" s="169"/>
      <c r="Q101" s="169"/>
      <c r="R101" s="149"/>
      <c r="S101" s="149"/>
      <c r="T101" s="149"/>
      <c r="U101" s="149"/>
      <c r="V101" s="149"/>
      <c r="W101" s="149"/>
      <c r="X101" s="149"/>
      <c r="Y101" s="149"/>
      <c r="Z101" s="149"/>
    </row>
    <row r="102" ht="11.25" customHeight="1">
      <c r="A102" s="149"/>
      <c r="B102" s="169"/>
      <c r="C102" s="169"/>
      <c r="D102" s="170"/>
      <c r="E102" s="169"/>
      <c r="F102" s="169"/>
      <c r="G102" s="170"/>
      <c r="H102" s="170"/>
      <c r="I102" s="170"/>
      <c r="J102" s="170"/>
      <c r="K102" s="169"/>
      <c r="L102" s="169"/>
      <c r="M102" s="170"/>
      <c r="N102" s="169"/>
      <c r="O102" s="169"/>
      <c r="P102" s="169"/>
      <c r="Q102" s="169"/>
      <c r="R102" s="149"/>
      <c r="S102" s="149"/>
      <c r="T102" s="149"/>
      <c r="U102" s="149"/>
      <c r="V102" s="149"/>
      <c r="W102" s="149"/>
      <c r="X102" s="149"/>
      <c r="Y102" s="149"/>
      <c r="Z102" s="149"/>
    </row>
    <row r="103" ht="11.25" customHeight="1">
      <c r="A103" s="149"/>
      <c r="B103" s="169"/>
      <c r="C103" s="169"/>
      <c r="D103" s="170"/>
      <c r="E103" s="169"/>
      <c r="F103" s="169"/>
      <c r="G103" s="170"/>
      <c r="H103" s="170"/>
      <c r="I103" s="170"/>
      <c r="J103" s="170"/>
      <c r="K103" s="169"/>
      <c r="L103" s="169"/>
      <c r="M103" s="170"/>
      <c r="N103" s="169"/>
      <c r="O103" s="169"/>
      <c r="P103" s="169"/>
      <c r="Q103" s="169"/>
      <c r="R103" s="149"/>
      <c r="S103" s="149"/>
      <c r="T103" s="149"/>
      <c r="U103" s="149"/>
      <c r="V103" s="149"/>
      <c r="W103" s="149"/>
      <c r="X103" s="149"/>
      <c r="Y103" s="149"/>
      <c r="Z103" s="149"/>
    </row>
    <row r="104" ht="11.25" customHeight="1">
      <c r="A104" s="149"/>
      <c r="B104" s="169"/>
      <c r="C104" s="169"/>
      <c r="D104" s="170"/>
      <c r="E104" s="169"/>
      <c r="F104" s="169"/>
      <c r="G104" s="170"/>
      <c r="H104" s="170"/>
      <c r="I104" s="170"/>
      <c r="J104" s="170"/>
      <c r="K104" s="169"/>
      <c r="L104" s="169"/>
      <c r="M104" s="170"/>
      <c r="N104" s="169"/>
      <c r="O104" s="169"/>
      <c r="P104" s="169"/>
      <c r="Q104" s="169"/>
      <c r="R104" s="149"/>
      <c r="S104" s="149"/>
      <c r="T104" s="149"/>
      <c r="U104" s="149"/>
      <c r="V104" s="149"/>
      <c r="W104" s="149"/>
      <c r="X104" s="149"/>
      <c r="Y104" s="149"/>
      <c r="Z104" s="149"/>
    </row>
    <row r="105" ht="11.25" customHeight="1">
      <c r="A105" s="149"/>
      <c r="B105" s="169"/>
      <c r="C105" s="169"/>
      <c r="D105" s="170"/>
      <c r="E105" s="169"/>
      <c r="F105" s="169"/>
      <c r="G105" s="170"/>
      <c r="H105" s="170"/>
      <c r="I105" s="170"/>
      <c r="J105" s="170"/>
      <c r="K105" s="169"/>
      <c r="L105" s="169"/>
      <c r="M105" s="170"/>
      <c r="N105" s="169"/>
      <c r="O105" s="169"/>
      <c r="P105" s="169"/>
      <c r="Q105" s="169"/>
      <c r="R105" s="149"/>
      <c r="S105" s="149"/>
      <c r="T105" s="149"/>
      <c r="U105" s="149"/>
      <c r="V105" s="149"/>
      <c r="W105" s="149"/>
      <c r="X105" s="149"/>
      <c r="Y105" s="149"/>
      <c r="Z105" s="149"/>
    </row>
    <row r="106" ht="11.25" customHeight="1">
      <c r="A106" s="149"/>
      <c r="B106" s="169"/>
      <c r="C106" s="169"/>
      <c r="D106" s="170"/>
      <c r="E106" s="169"/>
      <c r="F106" s="169"/>
      <c r="G106" s="170"/>
      <c r="H106" s="170"/>
      <c r="I106" s="170"/>
      <c r="J106" s="170"/>
      <c r="K106" s="169"/>
      <c r="L106" s="169"/>
      <c r="M106" s="170"/>
      <c r="N106" s="169"/>
      <c r="O106" s="169"/>
      <c r="P106" s="169"/>
      <c r="Q106" s="169"/>
      <c r="R106" s="149"/>
      <c r="S106" s="149"/>
      <c r="T106" s="149"/>
      <c r="U106" s="149"/>
      <c r="V106" s="149"/>
      <c r="W106" s="149"/>
      <c r="X106" s="149"/>
      <c r="Y106" s="149"/>
      <c r="Z106" s="149"/>
    </row>
    <row r="107" ht="11.25" customHeight="1">
      <c r="A107" s="149"/>
      <c r="B107" s="169"/>
      <c r="C107" s="169"/>
      <c r="D107" s="170"/>
      <c r="E107" s="169"/>
      <c r="F107" s="169"/>
      <c r="G107" s="170"/>
      <c r="H107" s="170"/>
      <c r="I107" s="170"/>
      <c r="J107" s="170"/>
      <c r="K107" s="169"/>
      <c r="L107" s="169"/>
      <c r="M107" s="170"/>
      <c r="N107" s="169"/>
      <c r="O107" s="169"/>
      <c r="P107" s="169"/>
      <c r="Q107" s="169"/>
      <c r="R107" s="149"/>
      <c r="S107" s="149"/>
      <c r="T107" s="149"/>
      <c r="U107" s="149"/>
      <c r="V107" s="149"/>
      <c r="W107" s="149"/>
      <c r="X107" s="149"/>
      <c r="Y107" s="149"/>
      <c r="Z107" s="149"/>
    </row>
    <row r="108" ht="11.25" customHeight="1">
      <c r="A108" s="149"/>
      <c r="B108" s="169"/>
      <c r="C108" s="169"/>
      <c r="D108" s="170"/>
      <c r="E108" s="169"/>
      <c r="F108" s="169"/>
      <c r="G108" s="170"/>
      <c r="H108" s="170"/>
      <c r="I108" s="170"/>
      <c r="J108" s="170"/>
      <c r="K108" s="169"/>
      <c r="L108" s="169"/>
      <c r="M108" s="170"/>
      <c r="N108" s="169"/>
      <c r="O108" s="169"/>
      <c r="P108" s="169"/>
      <c r="Q108" s="169"/>
      <c r="R108" s="149"/>
      <c r="S108" s="149"/>
      <c r="T108" s="149"/>
      <c r="U108" s="149"/>
      <c r="V108" s="149"/>
      <c r="W108" s="149"/>
      <c r="X108" s="149"/>
      <c r="Y108" s="149"/>
      <c r="Z108" s="149"/>
    </row>
    <row r="109" ht="11.25" customHeight="1">
      <c r="A109" s="149"/>
      <c r="B109" s="169"/>
      <c r="C109" s="169"/>
      <c r="D109" s="170"/>
      <c r="E109" s="169"/>
      <c r="F109" s="169"/>
      <c r="G109" s="170"/>
      <c r="H109" s="170"/>
      <c r="I109" s="170"/>
      <c r="J109" s="170"/>
      <c r="K109" s="169"/>
      <c r="L109" s="169"/>
      <c r="M109" s="170"/>
      <c r="N109" s="169"/>
      <c r="O109" s="169"/>
      <c r="P109" s="169"/>
      <c r="Q109" s="169"/>
      <c r="R109" s="149"/>
      <c r="S109" s="149"/>
      <c r="T109" s="149"/>
      <c r="U109" s="149"/>
      <c r="V109" s="149"/>
      <c r="W109" s="149"/>
      <c r="X109" s="149"/>
      <c r="Y109" s="149"/>
      <c r="Z109" s="149"/>
    </row>
    <row r="110" ht="11.25" customHeight="1">
      <c r="A110" s="149"/>
      <c r="B110" s="169"/>
      <c r="C110" s="169"/>
      <c r="D110" s="170"/>
      <c r="E110" s="169"/>
      <c r="F110" s="169"/>
      <c r="G110" s="170"/>
      <c r="H110" s="170"/>
      <c r="I110" s="170"/>
      <c r="J110" s="170"/>
      <c r="K110" s="169"/>
      <c r="L110" s="169"/>
      <c r="M110" s="170"/>
      <c r="N110" s="169"/>
      <c r="O110" s="169"/>
      <c r="P110" s="169"/>
      <c r="Q110" s="169"/>
      <c r="R110" s="149"/>
      <c r="S110" s="149"/>
      <c r="T110" s="149"/>
      <c r="U110" s="149"/>
      <c r="V110" s="149"/>
      <c r="W110" s="149"/>
      <c r="X110" s="149"/>
      <c r="Y110" s="149"/>
      <c r="Z110" s="149"/>
    </row>
    <row r="111" ht="11.25" customHeight="1">
      <c r="A111" s="149"/>
      <c r="B111" s="169"/>
      <c r="C111" s="169"/>
      <c r="D111" s="170"/>
      <c r="E111" s="169"/>
      <c r="F111" s="169"/>
      <c r="G111" s="170"/>
      <c r="H111" s="170"/>
      <c r="I111" s="170"/>
      <c r="J111" s="170"/>
      <c r="K111" s="169"/>
      <c r="L111" s="169"/>
      <c r="M111" s="170"/>
      <c r="N111" s="169"/>
      <c r="O111" s="169"/>
      <c r="P111" s="169"/>
      <c r="Q111" s="169"/>
      <c r="R111" s="149"/>
      <c r="S111" s="149"/>
      <c r="T111" s="149"/>
      <c r="U111" s="149"/>
      <c r="V111" s="149"/>
      <c r="W111" s="149"/>
      <c r="X111" s="149"/>
      <c r="Y111" s="149"/>
      <c r="Z111" s="149"/>
    </row>
    <row r="112" ht="11.25" customHeight="1">
      <c r="A112" s="149"/>
      <c r="B112" s="169"/>
      <c r="C112" s="169"/>
      <c r="D112" s="170"/>
      <c r="E112" s="169"/>
      <c r="F112" s="169"/>
      <c r="G112" s="170"/>
      <c r="H112" s="170"/>
      <c r="I112" s="170"/>
      <c r="J112" s="170"/>
      <c r="K112" s="169"/>
      <c r="L112" s="169"/>
      <c r="M112" s="170"/>
      <c r="N112" s="169"/>
      <c r="O112" s="169"/>
      <c r="P112" s="169"/>
      <c r="Q112" s="169"/>
      <c r="R112" s="149"/>
      <c r="S112" s="149"/>
      <c r="T112" s="149"/>
      <c r="U112" s="149"/>
      <c r="V112" s="149"/>
      <c r="W112" s="149"/>
      <c r="X112" s="149"/>
      <c r="Y112" s="149"/>
      <c r="Z112" s="149"/>
    </row>
    <row r="113" ht="11.25" customHeight="1">
      <c r="A113" s="149"/>
      <c r="B113" s="169"/>
      <c r="C113" s="169"/>
      <c r="D113" s="170"/>
      <c r="E113" s="169"/>
      <c r="F113" s="169"/>
      <c r="G113" s="170"/>
      <c r="H113" s="170"/>
      <c r="I113" s="170"/>
      <c r="J113" s="170"/>
      <c r="K113" s="169"/>
      <c r="L113" s="169"/>
      <c r="M113" s="170"/>
      <c r="N113" s="169"/>
      <c r="O113" s="169"/>
      <c r="P113" s="169"/>
      <c r="Q113" s="169"/>
      <c r="R113" s="149"/>
      <c r="S113" s="149"/>
      <c r="T113" s="149"/>
      <c r="U113" s="149"/>
      <c r="V113" s="149"/>
      <c r="W113" s="149"/>
      <c r="X113" s="149"/>
      <c r="Y113" s="149"/>
      <c r="Z113" s="149"/>
    </row>
    <row r="114" ht="11.25" customHeight="1">
      <c r="A114" s="149"/>
      <c r="B114" s="169"/>
      <c r="C114" s="169"/>
      <c r="D114" s="170"/>
      <c r="E114" s="169"/>
      <c r="F114" s="169"/>
      <c r="G114" s="170"/>
      <c r="H114" s="170"/>
      <c r="I114" s="170"/>
      <c r="J114" s="170"/>
      <c r="K114" s="169"/>
      <c r="L114" s="169"/>
      <c r="M114" s="170"/>
      <c r="N114" s="169"/>
      <c r="O114" s="169"/>
      <c r="P114" s="169"/>
      <c r="Q114" s="169"/>
      <c r="R114" s="149"/>
      <c r="S114" s="149"/>
      <c r="T114" s="149"/>
      <c r="U114" s="149"/>
      <c r="V114" s="149"/>
      <c r="W114" s="149"/>
      <c r="X114" s="149"/>
      <c r="Y114" s="149"/>
      <c r="Z114" s="149"/>
    </row>
    <row r="115" ht="11.25" customHeight="1">
      <c r="A115" s="149"/>
      <c r="B115" s="169"/>
      <c r="C115" s="169"/>
      <c r="D115" s="170"/>
      <c r="E115" s="169"/>
      <c r="F115" s="169"/>
      <c r="G115" s="170"/>
      <c r="H115" s="170"/>
      <c r="I115" s="170"/>
      <c r="J115" s="170"/>
      <c r="K115" s="169"/>
      <c r="L115" s="169"/>
      <c r="M115" s="170"/>
      <c r="N115" s="169"/>
      <c r="O115" s="169"/>
      <c r="P115" s="169"/>
      <c r="Q115" s="169"/>
      <c r="R115" s="149"/>
      <c r="S115" s="149"/>
      <c r="T115" s="149"/>
      <c r="U115" s="149"/>
      <c r="V115" s="149"/>
      <c r="W115" s="149"/>
      <c r="X115" s="149"/>
      <c r="Y115" s="149"/>
      <c r="Z115" s="149"/>
    </row>
    <row r="116" ht="11.25" customHeight="1">
      <c r="A116" s="149"/>
      <c r="B116" s="169"/>
      <c r="C116" s="169"/>
      <c r="D116" s="170"/>
      <c r="E116" s="169"/>
      <c r="F116" s="169"/>
      <c r="G116" s="170"/>
      <c r="H116" s="170"/>
      <c r="I116" s="170"/>
      <c r="J116" s="170"/>
      <c r="K116" s="169"/>
      <c r="L116" s="169"/>
      <c r="M116" s="170"/>
      <c r="N116" s="169"/>
      <c r="O116" s="169"/>
      <c r="P116" s="169"/>
      <c r="Q116" s="169"/>
      <c r="R116" s="149"/>
      <c r="S116" s="149"/>
      <c r="T116" s="149"/>
      <c r="U116" s="149"/>
      <c r="V116" s="149"/>
      <c r="W116" s="149"/>
      <c r="X116" s="149"/>
      <c r="Y116" s="149"/>
      <c r="Z116" s="149"/>
    </row>
    <row r="117" ht="11.25" customHeight="1">
      <c r="A117" s="149"/>
      <c r="B117" s="169"/>
      <c r="C117" s="169"/>
      <c r="D117" s="170"/>
      <c r="E117" s="169"/>
      <c r="F117" s="169"/>
      <c r="G117" s="170"/>
      <c r="H117" s="170"/>
      <c r="I117" s="170"/>
      <c r="J117" s="170"/>
      <c r="K117" s="169"/>
      <c r="L117" s="169"/>
      <c r="M117" s="170"/>
      <c r="N117" s="169"/>
      <c r="O117" s="169"/>
      <c r="P117" s="169"/>
      <c r="Q117" s="169"/>
      <c r="R117" s="149"/>
      <c r="S117" s="149"/>
      <c r="T117" s="149"/>
      <c r="U117" s="149"/>
      <c r="V117" s="149"/>
      <c r="W117" s="149"/>
      <c r="X117" s="149"/>
      <c r="Y117" s="149"/>
      <c r="Z117" s="149"/>
    </row>
    <row r="118" ht="11.25" customHeight="1">
      <c r="A118" s="149"/>
      <c r="B118" s="169"/>
      <c r="C118" s="169"/>
      <c r="D118" s="170"/>
      <c r="E118" s="169"/>
      <c r="F118" s="169"/>
      <c r="G118" s="170"/>
      <c r="H118" s="170"/>
      <c r="I118" s="170"/>
      <c r="J118" s="170"/>
      <c r="K118" s="169"/>
      <c r="L118" s="169"/>
      <c r="M118" s="170"/>
      <c r="N118" s="169"/>
      <c r="O118" s="169"/>
      <c r="P118" s="169"/>
      <c r="Q118" s="169"/>
      <c r="R118" s="149"/>
      <c r="S118" s="149"/>
      <c r="T118" s="149"/>
      <c r="U118" s="149"/>
      <c r="V118" s="149"/>
      <c r="W118" s="149"/>
      <c r="X118" s="149"/>
      <c r="Y118" s="149"/>
      <c r="Z118" s="149"/>
    </row>
    <row r="119" ht="11.25" customHeight="1">
      <c r="A119" s="149"/>
      <c r="B119" s="169"/>
      <c r="C119" s="169"/>
      <c r="D119" s="170"/>
      <c r="E119" s="169"/>
      <c r="F119" s="169"/>
      <c r="G119" s="170"/>
      <c r="H119" s="170"/>
      <c r="I119" s="170"/>
      <c r="J119" s="170"/>
      <c r="K119" s="169"/>
      <c r="L119" s="169"/>
      <c r="M119" s="170"/>
      <c r="N119" s="169"/>
      <c r="O119" s="169"/>
      <c r="P119" s="169"/>
      <c r="Q119" s="169"/>
      <c r="R119" s="149"/>
      <c r="S119" s="149"/>
      <c r="T119" s="149"/>
      <c r="U119" s="149"/>
      <c r="V119" s="149"/>
      <c r="W119" s="149"/>
      <c r="X119" s="149"/>
      <c r="Y119" s="149"/>
      <c r="Z119" s="149"/>
    </row>
    <row r="120" ht="11.25" customHeight="1">
      <c r="A120" s="149"/>
      <c r="B120" s="169"/>
      <c r="C120" s="169"/>
      <c r="D120" s="170"/>
      <c r="E120" s="169"/>
      <c r="F120" s="169"/>
      <c r="G120" s="170"/>
      <c r="H120" s="170"/>
      <c r="I120" s="170"/>
      <c r="J120" s="170"/>
      <c r="K120" s="169"/>
      <c r="L120" s="169"/>
      <c r="M120" s="170"/>
      <c r="N120" s="169"/>
      <c r="O120" s="169"/>
      <c r="P120" s="169"/>
      <c r="Q120" s="169"/>
      <c r="R120" s="149"/>
      <c r="S120" s="149"/>
      <c r="T120" s="149"/>
      <c r="U120" s="149"/>
      <c r="V120" s="149"/>
      <c r="W120" s="149"/>
      <c r="X120" s="149"/>
      <c r="Y120" s="149"/>
      <c r="Z120" s="149"/>
    </row>
    <row r="121" ht="11.25" customHeight="1">
      <c r="A121" s="149"/>
      <c r="B121" s="169"/>
      <c r="C121" s="169"/>
      <c r="D121" s="170"/>
      <c r="E121" s="169"/>
      <c r="F121" s="169"/>
      <c r="G121" s="170"/>
      <c r="H121" s="170"/>
      <c r="I121" s="170"/>
      <c r="J121" s="170"/>
      <c r="K121" s="169"/>
      <c r="L121" s="169"/>
      <c r="M121" s="170"/>
      <c r="N121" s="169"/>
      <c r="O121" s="169"/>
      <c r="P121" s="169"/>
      <c r="Q121" s="169"/>
      <c r="R121" s="149"/>
      <c r="S121" s="149"/>
      <c r="T121" s="149"/>
      <c r="U121" s="149"/>
      <c r="V121" s="149"/>
      <c r="W121" s="149"/>
      <c r="X121" s="149"/>
      <c r="Y121" s="149"/>
      <c r="Z121" s="149"/>
    </row>
    <row r="122" ht="11.25" customHeight="1">
      <c r="A122" s="149"/>
      <c r="B122" s="169"/>
      <c r="C122" s="169"/>
      <c r="D122" s="170"/>
      <c r="E122" s="169"/>
      <c r="F122" s="169"/>
      <c r="G122" s="170"/>
      <c r="H122" s="170"/>
      <c r="I122" s="170"/>
      <c r="J122" s="170"/>
      <c r="K122" s="169"/>
      <c r="L122" s="169"/>
      <c r="M122" s="170"/>
      <c r="N122" s="169"/>
      <c r="O122" s="169"/>
      <c r="P122" s="169"/>
      <c r="Q122" s="169"/>
      <c r="R122" s="149"/>
      <c r="S122" s="149"/>
      <c r="T122" s="149"/>
      <c r="U122" s="149"/>
      <c r="V122" s="149"/>
      <c r="W122" s="149"/>
      <c r="X122" s="149"/>
      <c r="Y122" s="149"/>
      <c r="Z122" s="149"/>
    </row>
    <row r="123" ht="11.25" customHeight="1">
      <c r="A123" s="149"/>
      <c r="B123" s="169"/>
      <c r="C123" s="169"/>
      <c r="D123" s="170"/>
      <c r="E123" s="169"/>
      <c r="F123" s="169"/>
      <c r="G123" s="170"/>
      <c r="H123" s="170"/>
      <c r="I123" s="170"/>
      <c r="J123" s="170"/>
      <c r="K123" s="169"/>
      <c r="L123" s="169"/>
      <c r="M123" s="170"/>
      <c r="N123" s="169"/>
      <c r="O123" s="169"/>
      <c r="P123" s="169"/>
      <c r="Q123" s="169"/>
      <c r="R123" s="149"/>
      <c r="S123" s="149"/>
      <c r="T123" s="149"/>
      <c r="U123" s="149"/>
      <c r="V123" s="149"/>
      <c r="W123" s="149"/>
      <c r="X123" s="149"/>
      <c r="Y123" s="149"/>
      <c r="Z123" s="149"/>
    </row>
    <row r="124" ht="11.25" customHeight="1">
      <c r="A124" s="149"/>
      <c r="B124" s="169"/>
      <c r="C124" s="169"/>
      <c r="D124" s="170"/>
      <c r="E124" s="169"/>
      <c r="F124" s="169"/>
      <c r="G124" s="170"/>
      <c r="H124" s="170"/>
      <c r="I124" s="170"/>
      <c r="J124" s="170"/>
      <c r="K124" s="169"/>
      <c r="L124" s="169"/>
      <c r="M124" s="170"/>
      <c r="N124" s="169"/>
      <c r="O124" s="169"/>
      <c r="P124" s="169"/>
      <c r="Q124" s="169"/>
      <c r="R124" s="149"/>
      <c r="S124" s="149"/>
      <c r="T124" s="149"/>
      <c r="U124" s="149"/>
      <c r="V124" s="149"/>
      <c r="W124" s="149"/>
      <c r="X124" s="149"/>
      <c r="Y124" s="149"/>
      <c r="Z124" s="149"/>
    </row>
    <row r="125" ht="11.25" customHeight="1">
      <c r="A125" s="149"/>
      <c r="B125" s="169"/>
      <c r="C125" s="169"/>
      <c r="D125" s="170"/>
      <c r="E125" s="169"/>
      <c r="F125" s="169"/>
      <c r="G125" s="170"/>
      <c r="H125" s="170"/>
      <c r="I125" s="170"/>
      <c r="J125" s="170"/>
      <c r="K125" s="169"/>
      <c r="L125" s="169"/>
      <c r="M125" s="170"/>
      <c r="N125" s="169"/>
      <c r="O125" s="169"/>
      <c r="P125" s="169"/>
      <c r="Q125" s="169"/>
      <c r="R125" s="149"/>
      <c r="S125" s="149"/>
      <c r="T125" s="149"/>
      <c r="U125" s="149"/>
      <c r="V125" s="149"/>
      <c r="W125" s="149"/>
      <c r="X125" s="149"/>
      <c r="Y125" s="149"/>
      <c r="Z125" s="149"/>
    </row>
    <row r="126" ht="11.25" customHeight="1">
      <c r="A126" s="149"/>
      <c r="B126" s="169"/>
      <c r="C126" s="169"/>
      <c r="D126" s="170"/>
      <c r="E126" s="169"/>
      <c r="F126" s="169"/>
      <c r="G126" s="170"/>
      <c r="H126" s="170"/>
      <c r="I126" s="170"/>
      <c r="J126" s="170"/>
      <c r="K126" s="169"/>
      <c r="L126" s="169"/>
      <c r="M126" s="170"/>
      <c r="N126" s="169"/>
      <c r="O126" s="169"/>
      <c r="P126" s="169"/>
      <c r="Q126" s="169"/>
      <c r="R126" s="149"/>
      <c r="S126" s="149"/>
      <c r="T126" s="149"/>
      <c r="U126" s="149"/>
      <c r="V126" s="149"/>
      <c r="W126" s="149"/>
      <c r="X126" s="149"/>
      <c r="Y126" s="149"/>
      <c r="Z126" s="149"/>
    </row>
    <row r="127" ht="11.25" customHeight="1">
      <c r="A127" s="149"/>
      <c r="B127" s="169"/>
      <c r="C127" s="169"/>
      <c r="D127" s="170"/>
      <c r="E127" s="169"/>
      <c r="F127" s="169"/>
      <c r="G127" s="170"/>
      <c r="H127" s="170"/>
      <c r="I127" s="170"/>
      <c r="J127" s="170"/>
      <c r="K127" s="169"/>
      <c r="L127" s="169"/>
      <c r="M127" s="170"/>
      <c r="N127" s="169"/>
      <c r="O127" s="169"/>
      <c r="P127" s="169"/>
      <c r="Q127" s="169"/>
      <c r="R127" s="149"/>
      <c r="S127" s="149"/>
      <c r="T127" s="149"/>
      <c r="U127" s="149"/>
      <c r="V127" s="149"/>
      <c r="W127" s="149"/>
      <c r="X127" s="149"/>
      <c r="Y127" s="149"/>
      <c r="Z127" s="149"/>
    </row>
    <row r="128" ht="11.25" customHeight="1">
      <c r="A128" s="149"/>
      <c r="B128" s="169"/>
      <c r="C128" s="169"/>
      <c r="D128" s="170"/>
      <c r="E128" s="169"/>
      <c r="F128" s="169"/>
      <c r="G128" s="170"/>
      <c r="H128" s="170"/>
      <c r="I128" s="170"/>
      <c r="J128" s="170"/>
      <c r="K128" s="169"/>
      <c r="L128" s="169"/>
      <c r="M128" s="170"/>
      <c r="N128" s="169"/>
      <c r="O128" s="169"/>
      <c r="P128" s="169"/>
      <c r="Q128" s="169"/>
      <c r="R128" s="149"/>
      <c r="S128" s="149"/>
      <c r="T128" s="149"/>
      <c r="U128" s="149"/>
      <c r="V128" s="149"/>
      <c r="W128" s="149"/>
      <c r="X128" s="149"/>
      <c r="Y128" s="149"/>
      <c r="Z128" s="149"/>
    </row>
    <row r="129" ht="11.25" customHeight="1">
      <c r="A129" s="149"/>
      <c r="B129" s="169"/>
      <c r="C129" s="169"/>
      <c r="D129" s="170"/>
      <c r="E129" s="169"/>
      <c r="F129" s="169"/>
      <c r="G129" s="170"/>
      <c r="H129" s="170"/>
      <c r="I129" s="170"/>
      <c r="J129" s="170"/>
      <c r="K129" s="169"/>
      <c r="L129" s="169"/>
      <c r="M129" s="170"/>
      <c r="N129" s="169"/>
      <c r="O129" s="169"/>
      <c r="P129" s="169"/>
      <c r="Q129" s="169"/>
      <c r="R129" s="149"/>
      <c r="S129" s="149"/>
      <c r="T129" s="149"/>
      <c r="U129" s="149"/>
      <c r="V129" s="149"/>
      <c r="W129" s="149"/>
      <c r="X129" s="149"/>
      <c r="Y129" s="149"/>
      <c r="Z129" s="149"/>
    </row>
    <row r="130" ht="11.25" customHeight="1">
      <c r="A130" s="149"/>
      <c r="B130" s="169"/>
      <c r="C130" s="169"/>
      <c r="D130" s="170"/>
      <c r="E130" s="169"/>
      <c r="F130" s="169"/>
      <c r="G130" s="170"/>
      <c r="H130" s="170"/>
      <c r="I130" s="170"/>
      <c r="J130" s="170"/>
      <c r="K130" s="169"/>
      <c r="L130" s="169"/>
      <c r="M130" s="170"/>
      <c r="N130" s="169"/>
      <c r="O130" s="169"/>
      <c r="P130" s="169"/>
      <c r="Q130" s="169"/>
      <c r="R130" s="149"/>
      <c r="S130" s="149"/>
      <c r="T130" s="149"/>
      <c r="U130" s="149"/>
      <c r="V130" s="149"/>
      <c r="W130" s="149"/>
      <c r="X130" s="149"/>
      <c r="Y130" s="149"/>
      <c r="Z130" s="149"/>
    </row>
    <row r="131" ht="11.25" customHeight="1">
      <c r="A131" s="149"/>
      <c r="B131" s="169"/>
      <c r="C131" s="169"/>
      <c r="D131" s="170"/>
      <c r="E131" s="169"/>
      <c r="F131" s="169"/>
      <c r="G131" s="170"/>
      <c r="H131" s="170"/>
      <c r="I131" s="170"/>
      <c r="J131" s="170"/>
      <c r="K131" s="169"/>
      <c r="L131" s="169"/>
      <c r="M131" s="170"/>
      <c r="N131" s="169"/>
      <c r="O131" s="169"/>
      <c r="P131" s="169"/>
      <c r="Q131" s="169"/>
      <c r="R131" s="149"/>
      <c r="S131" s="149"/>
      <c r="T131" s="149"/>
      <c r="U131" s="149"/>
      <c r="V131" s="149"/>
      <c r="W131" s="149"/>
      <c r="X131" s="149"/>
      <c r="Y131" s="149"/>
      <c r="Z131" s="149"/>
    </row>
    <row r="132" ht="11.25" customHeight="1">
      <c r="A132" s="149"/>
      <c r="B132" s="169"/>
      <c r="C132" s="169"/>
      <c r="D132" s="170"/>
      <c r="E132" s="169"/>
      <c r="F132" s="169"/>
      <c r="G132" s="170"/>
      <c r="H132" s="170"/>
      <c r="I132" s="170"/>
      <c r="J132" s="170"/>
      <c r="K132" s="169"/>
      <c r="L132" s="169"/>
      <c r="M132" s="170"/>
      <c r="N132" s="169"/>
      <c r="O132" s="169"/>
      <c r="P132" s="169"/>
      <c r="Q132" s="169"/>
      <c r="R132" s="149"/>
      <c r="S132" s="149"/>
      <c r="T132" s="149"/>
      <c r="U132" s="149"/>
      <c r="V132" s="149"/>
      <c r="W132" s="149"/>
      <c r="X132" s="149"/>
      <c r="Y132" s="149"/>
      <c r="Z132" s="149"/>
    </row>
    <row r="133" ht="11.25" customHeight="1">
      <c r="A133" s="149"/>
      <c r="B133" s="169"/>
      <c r="C133" s="169"/>
      <c r="D133" s="170"/>
      <c r="E133" s="169"/>
      <c r="F133" s="169"/>
      <c r="G133" s="170"/>
      <c r="H133" s="170"/>
      <c r="I133" s="170"/>
      <c r="J133" s="170"/>
      <c r="K133" s="169"/>
      <c r="L133" s="169"/>
      <c r="M133" s="170"/>
      <c r="N133" s="169"/>
      <c r="O133" s="169"/>
      <c r="P133" s="169"/>
      <c r="Q133" s="169"/>
      <c r="R133" s="149"/>
      <c r="S133" s="149"/>
      <c r="T133" s="149"/>
      <c r="U133" s="149"/>
      <c r="V133" s="149"/>
      <c r="W133" s="149"/>
      <c r="X133" s="149"/>
      <c r="Y133" s="149"/>
      <c r="Z133" s="149"/>
    </row>
    <row r="134" ht="11.25" customHeight="1">
      <c r="A134" s="149"/>
      <c r="B134" s="169"/>
      <c r="C134" s="169"/>
      <c r="D134" s="170"/>
      <c r="E134" s="169"/>
      <c r="F134" s="169"/>
      <c r="G134" s="170"/>
      <c r="H134" s="170"/>
      <c r="I134" s="170"/>
      <c r="J134" s="170"/>
      <c r="K134" s="169"/>
      <c r="L134" s="169"/>
      <c r="M134" s="170"/>
      <c r="N134" s="169"/>
      <c r="O134" s="169"/>
      <c r="P134" s="169"/>
      <c r="Q134" s="169"/>
      <c r="R134" s="149"/>
      <c r="S134" s="149"/>
      <c r="T134" s="149"/>
      <c r="U134" s="149"/>
      <c r="V134" s="149"/>
      <c r="W134" s="149"/>
      <c r="X134" s="149"/>
      <c r="Y134" s="149"/>
      <c r="Z134" s="149"/>
    </row>
    <row r="135" ht="11.25" customHeight="1">
      <c r="A135" s="149"/>
      <c r="B135" s="169"/>
      <c r="C135" s="169"/>
      <c r="D135" s="170"/>
      <c r="E135" s="169"/>
      <c r="F135" s="169"/>
      <c r="G135" s="170"/>
      <c r="H135" s="170"/>
      <c r="I135" s="170"/>
      <c r="J135" s="170"/>
      <c r="K135" s="169"/>
      <c r="L135" s="169"/>
      <c r="M135" s="170"/>
      <c r="N135" s="169"/>
      <c r="O135" s="169"/>
      <c r="P135" s="169"/>
      <c r="Q135" s="169"/>
      <c r="R135" s="149"/>
      <c r="S135" s="149"/>
      <c r="T135" s="149"/>
      <c r="U135" s="149"/>
      <c r="V135" s="149"/>
      <c r="W135" s="149"/>
      <c r="X135" s="149"/>
      <c r="Y135" s="149"/>
      <c r="Z135" s="149"/>
    </row>
    <row r="136" ht="11.25" customHeight="1">
      <c r="A136" s="149"/>
      <c r="B136" s="169"/>
      <c r="C136" s="169"/>
      <c r="D136" s="170"/>
      <c r="E136" s="169"/>
      <c r="F136" s="169"/>
      <c r="G136" s="170"/>
      <c r="H136" s="170"/>
      <c r="I136" s="170"/>
      <c r="J136" s="170"/>
      <c r="K136" s="169"/>
      <c r="L136" s="169"/>
      <c r="M136" s="170"/>
      <c r="N136" s="169"/>
      <c r="O136" s="169"/>
      <c r="P136" s="169"/>
      <c r="Q136" s="169"/>
      <c r="R136" s="149"/>
      <c r="S136" s="149"/>
      <c r="T136" s="149"/>
      <c r="U136" s="149"/>
      <c r="V136" s="149"/>
      <c r="W136" s="149"/>
      <c r="X136" s="149"/>
      <c r="Y136" s="149"/>
      <c r="Z136" s="149"/>
    </row>
    <row r="137" ht="11.25" customHeight="1">
      <c r="A137" s="149"/>
      <c r="B137" s="169"/>
      <c r="C137" s="169"/>
      <c r="D137" s="170"/>
      <c r="E137" s="169"/>
      <c r="F137" s="169"/>
      <c r="G137" s="170"/>
      <c r="H137" s="170"/>
      <c r="I137" s="170"/>
      <c r="J137" s="170"/>
      <c r="K137" s="169"/>
      <c r="L137" s="169"/>
      <c r="M137" s="170"/>
      <c r="N137" s="169"/>
      <c r="O137" s="169"/>
      <c r="P137" s="169"/>
      <c r="Q137" s="169"/>
      <c r="R137" s="149"/>
      <c r="S137" s="149"/>
      <c r="T137" s="149"/>
      <c r="U137" s="149"/>
      <c r="V137" s="149"/>
      <c r="W137" s="149"/>
      <c r="X137" s="149"/>
      <c r="Y137" s="149"/>
      <c r="Z137" s="149"/>
    </row>
    <row r="138" ht="11.25" customHeight="1">
      <c r="A138" s="149"/>
      <c r="B138" s="169"/>
      <c r="C138" s="169"/>
      <c r="D138" s="170"/>
      <c r="E138" s="169"/>
      <c r="F138" s="169"/>
      <c r="G138" s="170"/>
      <c r="H138" s="170"/>
      <c r="I138" s="170"/>
      <c r="J138" s="170"/>
      <c r="K138" s="169"/>
      <c r="L138" s="169"/>
      <c r="M138" s="170"/>
      <c r="N138" s="169"/>
      <c r="O138" s="169"/>
      <c r="P138" s="169"/>
      <c r="Q138" s="169"/>
      <c r="R138" s="149"/>
      <c r="S138" s="149"/>
      <c r="T138" s="149"/>
      <c r="U138" s="149"/>
      <c r="V138" s="149"/>
      <c r="W138" s="149"/>
      <c r="X138" s="149"/>
      <c r="Y138" s="149"/>
      <c r="Z138" s="149"/>
    </row>
    <row r="139" ht="11.25" customHeight="1">
      <c r="A139" s="149"/>
      <c r="B139" s="169"/>
      <c r="C139" s="169"/>
      <c r="D139" s="170"/>
      <c r="E139" s="169"/>
      <c r="F139" s="169"/>
      <c r="G139" s="170"/>
      <c r="H139" s="170"/>
      <c r="I139" s="170"/>
      <c r="J139" s="170"/>
      <c r="K139" s="169"/>
      <c r="L139" s="169"/>
      <c r="M139" s="170"/>
      <c r="N139" s="169"/>
      <c r="O139" s="169"/>
      <c r="P139" s="169"/>
      <c r="Q139" s="169"/>
      <c r="R139" s="149"/>
      <c r="S139" s="149"/>
      <c r="T139" s="149"/>
      <c r="U139" s="149"/>
      <c r="V139" s="149"/>
      <c r="W139" s="149"/>
      <c r="X139" s="149"/>
      <c r="Y139" s="149"/>
      <c r="Z139" s="149"/>
    </row>
    <row r="140" ht="11.25" customHeight="1">
      <c r="A140" s="149"/>
      <c r="B140" s="169"/>
      <c r="C140" s="169"/>
      <c r="D140" s="170"/>
      <c r="E140" s="169"/>
      <c r="F140" s="169"/>
      <c r="G140" s="170"/>
      <c r="H140" s="170"/>
      <c r="I140" s="170"/>
      <c r="J140" s="170"/>
      <c r="K140" s="169"/>
      <c r="L140" s="169"/>
      <c r="M140" s="170"/>
      <c r="N140" s="169"/>
      <c r="O140" s="169"/>
      <c r="P140" s="169"/>
      <c r="Q140" s="169"/>
      <c r="R140" s="149"/>
      <c r="S140" s="149"/>
      <c r="T140" s="149"/>
      <c r="U140" s="149"/>
      <c r="V140" s="149"/>
      <c r="W140" s="149"/>
      <c r="X140" s="149"/>
      <c r="Y140" s="149"/>
      <c r="Z140" s="149"/>
    </row>
    <row r="141" ht="11.25" customHeight="1">
      <c r="A141" s="149"/>
      <c r="B141" s="169"/>
      <c r="C141" s="169"/>
      <c r="D141" s="170"/>
      <c r="E141" s="169"/>
      <c r="F141" s="169"/>
      <c r="G141" s="170"/>
      <c r="H141" s="170"/>
      <c r="I141" s="170"/>
      <c r="J141" s="170"/>
      <c r="K141" s="169"/>
      <c r="L141" s="169"/>
      <c r="M141" s="170"/>
      <c r="N141" s="169"/>
      <c r="O141" s="169"/>
      <c r="P141" s="169"/>
      <c r="Q141" s="169"/>
      <c r="R141" s="149"/>
      <c r="S141" s="149"/>
      <c r="T141" s="149"/>
      <c r="U141" s="149"/>
      <c r="V141" s="149"/>
      <c r="W141" s="149"/>
      <c r="X141" s="149"/>
      <c r="Y141" s="149"/>
      <c r="Z141" s="149"/>
    </row>
    <row r="142" ht="11.25" customHeight="1">
      <c r="A142" s="149"/>
      <c r="B142" s="169"/>
      <c r="C142" s="169"/>
      <c r="D142" s="170"/>
      <c r="E142" s="169"/>
      <c r="F142" s="169"/>
      <c r="G142" s="170"/>
      <c r="H142" s="170"/>
      <c r="I142" s="170"/>
      <c r="J142" s="170"/>
      <c r="K142" s="169"/>
      <c r="L142" s="169"/>
      <c r="M142" s="170"/>
      <c r="N142" s="169"/>
      <c r="O142" s="169"/>
      <c r="P142" s="169"/>
      <c r="Q142" s="169"/>
      <c r="R142" s="149"/>
      <c r="S142" s="149"/>
      <c r="T142" s="149"/>
      <c r="U142" s="149"/>
      <c r="V142" s="149"/>
      <c r="W142" s="149"/>
      <c r="X142" s="149"/>
      <c r="Y142" s="149"/>
      <c r="Z142" s="149"/>
    </row>
    <row r="143" ht="11.25" customHeight="1">
      <c r="A143" s="149"/>
      <c r="B143" s="169"/>
      <c r="C143" s="169"/>
      <c r="D143" s="170"/>
      <c r="E143" s="169"/>
      <c r="F143" s="169"/>
      <c r="G143" s="170"/>
      <c r="H143" s="170"/>
      <c r="I143" s="170"/>
      <c r="J143" s="170"/>
      <c r="K143" s="169"/>
      <c r="L143" s="169"/>
      <c r="M143" s="170"/>
      <c r="N143" s="169"/>
      <c r="O143" s="169"/>
      <c r="P143" s="169"/>
      <c r="Q143" s="169"/>
      <c r="R143" s="149"/>
      <c r="S143" s="149"/>
      <c r="T143" s="149"/>
      <c r="U143" s="149"/>
      <c r="V143" s="149"/>
      <c r="W143" s="149"/>
      <c r="X143" s="149"/>
      <c r="Y143" s="149"/>
      <c r="Z143" s="149"/>
    </row>
    <row r="144" ht="11.25" customHeight="1">
      <c r="A144" s="149"/>
      <c r="B144" s="169"/>
      <c r="C144" s="169"/>
      <c r="D144" s="170"/>
      <c r="E144" s="169"/>
      <c r="F144" s="169"/>
      <c r="G144" s="170"/>
      <c r="H144" s="170"/>
      <c r="I144" s="170"/>
      <c r="J144" s="170"/>
      <c r="K144" s="169"/>
      <c r="L144" s="169"/>
      <c r="M144" s="170"/>
      <c r="N144" s="169"/>
      <c r="O144" s="169"/>
      <c r="P144" s="169"/>
      <c r="Q144" s="169"/>
      <c r="R144" s="149"/>
      <c r="S144" s="149"/>
      <c r="T144" s="149"/>
      <c r="U144" s="149"/>
      <c r="V144" s="149"/>
      <c r="W144" s="149"/>
      <c r="X144" s="149"/>
      <c r="Y144" s="149"/>
      <c r="Z144" s="149"/>
    </row>
    <row r="145" ht="11.25" customHeight="1">
      <c r="A145" s="149"/>
      <c r="B145" s="169"/>
      <c r="C145" s="169"/>
      <c r="D145" s="170"/>
      <c r="E145" s="169"/>
      <c r="F145" s="169"/>
      <c r="G145" s="170"/>
      <c r="H145" s="170"/>
      <c r="I145" s="170"/>
      <c r="J145" s="170"/>
      <c r="K145" s="169"/>
      <c r="L145" s="169"/>
      <c r="M145" s="170"/>
      <c r="N145" s="169"/>
      <c r="O145" s="169"/>
      <c r="P145" s="169"/>
      <c r="Q145" s="169"/>
      <c r="R145" s="149"/>
      <c r="S145" s="149"/>
      <c r="T145" s="149"/>
      <c r="U145" s="149"/>
      <c r="V145" s="149"/>
      <c r="W145" s="149"/>
      <c r="X145" s="149"/>
      <c r="Y145" s="149"/>
      <c r="Z145" s="149"/>
    </row>
    <row r="146" ht="11.25" customHeight="1">
      <c r="A146" s="149"/>
      <c r="B146" s="169"/>
      <c r="C146" s="169"/>
      <c r="D146" s="170"/>
      <c r="E146" s="169"/>
      <c r="F146" s="169"/>
      <c r="G146" s="170"/>
      <c r="H146" s="170"/>
      <c r="I146" s="170"/>
      <c r="J146" s="170"/>
      <c r="K146" s="169"/>
      <c r="L146" s="169"/>
      <c r="M146" s="170"/>
      <c r="N146" s="169"/>
      <c r="O146" s="169"/>
      <c r="P146" s="169"/>
      <c r="Q146" s="169"/>
      <c r="R146" s="149"/>
      <c r="S146" s="149"/>
      <c r="T146" s="149"/>
      <c r="U146" s="149"/>
      <c r="V146" s="149"/>
      <c r="W146" s="149"/>
      <c r="X146" s="149"/>
      <c r="Y146" s="149"/>
      <c r="Z146" s="149"/>
    </row>
    <row r="147" ht="11.25" customHeight="1">
      <c r="A147" s="149"/>
      <c r="B147" s="169"/>
      <c r="C147" s="169"/>
      <c r="D147" s="170"/>
      <c r="E147" s="169"/>
      <c r="F147" s="169"/>
      <c r="G147" s="170"/>
      <c r="H147" s="170"/>
      <c r="I147" s="170"/>
      <c r="J147" s="170"/>
      <c r="K147" s="169"/>
      <c r="L147" s="169"/>
      <c r="M147" s="170"/>
      <c r="N147" s="169"/>
      <c r="O147" s="169"/>
      <c r="P147" s="169"/>
      <c r="Q147" s="169"/>
      <c r="R147" s="149"/>
      <c r="S147" s="149"/>
      <c r="T147" s="149"/>
      <c r="U147" s="149"/>
      <c r="V147" s="149"/>
      <c r="W147" s="149"/>
      <c r="X147" s="149"/>
      <c r="Y147" s="149"/>
      <c r="Z147" s="149"/>
    </row>
    <row r="148" ht="11.25" customHeight="1">
      <c r="A148" s="149"/>
      <c r="B148" s="169"/>
      <c r="C148" s="169"/>
      <c r="D148" s="170"/>
      <c r="E148" s="169"/>
      <c r="F148" s="169"/>
      <c r="G148" s="170"/>
      <c r="H148" s="170"/>
      <c r="I148" s="170"/>
      <c r="J148" s="170"/>
      <c r="K148" s="169"/>
      <c r="L148" s="169"/>
      <c r="M148" s="170"/>
      <c r="N148" s="169"/>
      <c r="O148" s="169"/>
      <c r="P148" s="169"/>
      <c r="Q148" s="169"/>
      <c r="R148" s="149"/>
      <c r="S148" s="149"/>
      <c r="T148" s="149"/>
      <c r="U148" s="149"/>
      <c r="V148" s="149"/>
      <c r="W148" s="149"/>
      <c r="X148" s="149"/>
      <c r="Y148" s="149"/>
      <c r="Z148" s="149"/>
    </row>
    <row r="149" ht="11.25" customHeight="1">
      <c r="A149" s="149"/>
      <c r="B149" s="169"/>
      <c r="C149" s="169"/>
      <c r="D149" s="170"/>
      <c r="E149" s="169"/>
      <c r="F149" s="169"/>
      <c r="G149" s="170"/>
      <c r="H149" s="170"/>
      <c r="I149" s="170"/>
      <c r="J149" s="170"/>
      <c r="K149" s="169"/>
      <c r="L149" s="169"/>
      <c r="M149" s="170"/>
      <c r="N149" s="169"/>
      <c r="O149" s="169"/>
      <c r="P149" s="169"/>
      <c r="Q149" s="169"/>
      <c r="R149" s="149"/>
      <c r="S149" s="149"/>
      <c r="T149" s="149"/>
      <c r="U149" s="149"/>
      <c r="V149" s="149"/>
      <c r="W149" s="149"/>
      <c r="X149" s="149"/>
      <c r="Y149" s="149"/>
      <c r="Z149" s="149"/>
    </row>
    <row r="150" ht="11.25" customHeight="1">
      <c r="A150" s="149"/>
      <c r="B150" s="169"/>
      <c r="C150" s="169"/>
      <c r="D150" s="170"/>
      <c r="E150" s="169"/>
      <c r="F150" s="169"/>
      <c r="G150" s="170"/>
      <c r="H150" s="170"/>
      <c r="I150" s="170"/>
      <c r="J150" s="170"/>
      <c r="K150" s="169"/>
      <c r="L150" s="169"/>
      <c r="M150" s="170"/>
      <c r="N150" s="169"/>
      <c r="O150" s="169"/>
      <c r="P150" s="169"/>
      <c r="Q150" s="169"/>
      <c r="R150" s="149"/>
      <c r="S150" s="149"/>
      <c r="T150" s="149"/>
      <c r="U150" s="149"/>
      <c r="V150" s="149"/>
      <c r="W150" s="149"/>
      <c r="X150" s="149"/>
      <c r="Y150" s="149"/>
      <c r="Z150" s="149"/>
    </row>
    <row r="151" ht="11.25" customHeight="1">
      <c r="A151" s="149"/>
      <c r="B151" s="169"/>
      <c r="C151" s="169"/>
      <c r="D151" s="170"/>
      <c r="E151" s="169"/>
      <c r="F151" s="169"/>
      <c r="G151" s="170"/>
      <c r="H151" s="170"/>
      <c r="I151" s="170"/>
      <c r="J151" s="170"/>
      <c r="K151" s="169"/>
      <c r="L151" s="169"/>
      <c r="M151" s="170"/>
      <c r="N151" s="169"/>
      <c r="O151" s="169"/>
      <c r="P151" s="169"/>
      <c r="Q151" s="169"/>
      <c r="R151" s="149"/>
      <c r="S151" s="149"/>
      <c r="T151" s="149"/>
      <c r="U151" s="149"/>
      <c r="V151" s="149"/>
      <c r="W151" s="149"/>
      <c r="X151" s="149"/>
      <c r="Y151" s="149"/>
      <c r="Z151" s="149"/>
    </row>
    <row r="152" ht="11.25" customHeight="1">
      <c r="A152" s="149"/>
      <c r="B152" s="169"/>
      <c r="C152" s="169"/>
      <c r="D152" s="170"/>
      <c r="E152" s="169"/>
      <c r="F152" s="169"/>
      <c r="G152" s="170"/>
      <c r="H152" s="170"/>
      <c r="I152" s="170"/>
      <c r="J152" s="170"/>
      <c r="K152" s="169"/>
      <c r="L152" s="169"/>
      <c r="M152" s="170"/>
      <c r="N152" s="169"/>
      <c r="O152" s="169"/>
      <c r="P152" s="169"/>
      <c r="Q152" s="169"/>
      <c r="R152" s="149"/>
      <c r="S152" s="149"/>
      <c r="T152" s="149"/>
      <c r="U152" s="149"/>
      <c r="V152" s="149"/>
      <c r="W152" s="149"/>
      <c r="X152" s="149"/>
      <c r="Y152" s="149"/>
      <c r="Z152" s="149"/>
    </row>
    <row r="153" ht="11.25" customHeight="1">
      <c r="A153" s="149"/>
      <c r="B153" s="169"/>
      <c r="C153" s="169"/>
      <c r="D153" s="170"/>
      <c r="E153" s="169"/>
      <c r="F153" s="169"/>
      <c r="G153" s="170"/>
      <c r="H153" s="170"/>
      <c r="I153" s="170"/>
      <c r="J153" s="170"/>
      <c r="K153" s="169"/>
      <c r="L153" s="169"/>
      <c r="M153" s="170"/>
      <c r="N153" s="169"/>
      <c r="O153" s="169"/>
      <c r="P153" s="169"/>
      <c r="Q153" s="169"/>
      <c r="R153" s="149"/>
      <c r="S153" s="149"/>
      <c r="T153" s="149"/>
      <c r="U153" s="149"/>
      <c r="V153" s="149"/>
      <c r="W153" s="149"/>
      <c r="X153" s="149"/>
      <c r="Y153" s="149"/>
      <c r="Z153" s="149"/>
    </row>
    <row r="154" ht="11.25" customHeight="1">
      <c r="A154" s="149"/>
      <c r="B154" s="169"/>
      <c r="C154" s="169"/>
      <c r="D154" s="170"/>
      <c r="E154" s="169"/>
      <c r="F154" s="169"/>
      <c r="G154" s="170"/>
      <c r="H154" s="170"/>
      <c r="I154" s="170"/>
      <c r="J154" s="170"/>
      <c r="K154" s="169"/>
      <c r="L154" s="169"/>
      <c r="M154" s="170"/>
      <c r="N154" s="169"/>
      <c r="O154" s="169"/>
      <c r="P154" s="169"/>
      <c r="Q154" s="169"/>
      <c r="R154" s="149"/>
      <c r="S154" s="149"/>
      <c r="T154" s="149"/>
      <c r="U154" s="149"/>
      <c r="V154" s="149"/>
      <c r="W154" s="149"/>
      <c r="X154" s="149"/>
      <c r="Y154" s="149"/>
      <c r="Z154" s="149"/>
    </row>
    <row r="155" ht="11.25" customHeight="1">
      <c r="A155" s="149"/>
      <c r="B155" s="169"/>
      <c r="C155" s="169"/>
      <c r="D155" s="170"/>
      <c r="E155" s="169"/>
      <c r="F155" s="169"/>
      <c r="G155" s="170"/>
      <c r="H155" s="170"/>
      <c r="I155" s="170"/>
      <c r="J155" s="170"/>
      <c r="K155" s="169"/>
      <c r="L155" s="169"/>
      <c r="M155" s="170"/>
      <c r="N155" s="169"/>
      <c r="O155" s="169"/>
      <c r="P155" s="169"/>
      <c r="Q155" s="169"/>
      <c r="R155" s="149"/>
      <c r="S155" s="149"/>
      <c r="T155" s="149"/>
      <c r="U155" s="149"/>
      <c r="V155" s="149"/>
      <c r="W155" s="149"/>
      <c r="X155" s="149"/>
      <c r="Y155" s="149"/>
      <c r="Z155" s="149"/>
    </row>
    <row r="156" ht="11.25" customHeight="1">
      <c r="A156" s="149"/>
      <c r="B156" s="169"/>
      <c r="C156" s="169"/>
      <c r="D156" s="170"/>
      <c r="E156" s="169"/>
      <c r="F156" s="169"/>
      <c r="G156" s="170"/>
      <c r="H156" s="170"/>
      <c r="I156" s="170"/>
      <c r="J156" s="170"/>
      <c r="K156" s="169"/>
      <c r="L156" s="169"/>
      <c r="M156" s="170"/>
      <c r="N156" s="169"/>
      <c r="O156" s="169"/>
      <c r="P156" s="169"/>
      <c r="Q156" s="169"/>
      <c r="R156" s="149"/>
      <c r="S156" s="149"/>
      <c r="T156" s="149"/>
      <c r="U156" s="149"/>
      <c r="V156" s="149"/>
      <c r="W156" s="149"/>
      <c r="X156" s="149"/>
      <c r="Y156" s="149"/>
      <c r="Z156" s="149"/>
    </row>
    <row r="157" ht="11.25" customHeight="1">
      <c r="A157" s="149"/>
      <c r="B157" s="169"/>
      <c r="C157" s="169"/>
      <c r="D157" s="170"/>
      <c r="E157" s="169"/>
      <c r="F157" s="169"/>
      <c r="G157" s="170"/>
      <c r="H157" s="170"/>
      <c r="I157" s="170"/>
      <c r="J157" s="170"/>
      <c r="K157" s="169"/>
      <c r="L157" s="169"/>
      <c r="M157" s="170"/>
      <c r="N157" s="169"/>
      <c r="O157" s="169"/>
      <c r="P157" s="169"/>
      <c r="Q157" s="169"/>
      <c r="R157" s="149"/>
      <c r="S157" s="149"/>
      <c r="T157" s="149"/>
      <c r="U157" s="149"/>
      <c r="V157" s="149"/>
      <c r="W157" s="149"/>
      <c r="X157" s="149"/>
      <c r="Y157" s="149"/>
      <c r="Z157" s="149"/>
    </row>
    <row r="158" ht="11.25" customHeight="1">
      <c r="A158" s="149"/>
      <c r="B158" s="169"/>
      <c r="C158" s="169"/>
      <c r="D158" s="170"/>
      <c r="E158" s="169"/>
      <c r="F158" s="169"/>
      <c r="G158" s="170"/>
      <c r="H158" s="170"/>
      <c r="I158" s="170"/>
      <c r="J158" s="170"/>
      <c r="K158" s="169"/>
      <c r="L158" s="169"/>
      <c r="M158" s="170"/>
      <c r="N158" s="169"/>
      <c r="O158" s="169"/>
      <c r="P158" s="169"/>
      <c r="Q158" s="169"/>
      <c r="R158" s="149"/>
      <c r="S158" s="149"/>
      <c r="T158" s="149"/>
      <c r="U158" s="149"/>
      <c r="V158" s="149"/>
      <c r="W158" s="149"/>
      <c r="X158" s="149"/>
      <c r="Y158" s="149"/>
      <c r="Z158" s="149"/>
    </row>
    <row r="159" ht="11.25" customHeight="1">
      <c r="A159" s="149"/>
      <c r="B159" s="169"/>
      <c r="C159" s="169"/>
      <c r="D159" s="170"/>
      <c r="E159" s="169"/>
      <c r="F159" s="169"/>
      <c r="G159" s="170"/>
      <c r="H159" s="170"/>
      <c r="I159" s="170"/>
      <c r="J159" s="170"/>
      <c r="K159" s="169"/>
      <c r="L159" s="169"/>
      <c r="M159" s="170"/>
      <c r="N159" s="169"/>
      <c r="O159" s="169"/>
      <c r="P159" s="169"/>
      <c r="Q159" s="169"/>
      <c r="R159" s="149"/>
      <c r="S159" s="149"/>
      <c r="T159" s="149"/>
      <c r="U159" s="149"/>
      <c r="V159" s="149"/>
      <c r="W159" s="149"/>
      <c r="X159" s="149"/>
      <c r="Y159" s="149"/>
      <c r="Z159" s="149"/>
    </row>
    <row r="160" ht="11.25" customHeight="1">
      <c r="A160" s="149"/>
      <c r="B160" s="169"/>
      <c r="C160" s="169"/>
      <c r="D160" s="170"/>
      <c r="E160" s="169"/>
      <c r="F160" s="169"/>
      <c r="G160" s="170"/>
      <c r="H160" s="170"/>
      <c r="I160" s="170"/>
      <c r="J160" s="170"/>
      <c r="K160" s="169"/>
      <c r="L160" s="169"/>
      <c r="M160" s="170"/>
      <c r="N160" s="169"/>
      <c r="O160" s="169"/>
      <c r="P160" s="169"/>
      <c r="Q160" s="169"/>
      <c r="R160" s="149"/>
      <c r="S160" s="149"/>
      <c r="T160" s="149"/>
      <c r="U160" s="149"/>
      <c r="V160" s="149"/>
      <c r="W160" s="149"/>
      <c r="X160" s="149"/>
      <c r="Y160" s="149"/>
      <c r="Z160" s="149"/>
    </row>
    <row r="161" ht="11.25" customHeight="1">
      <c r="A161" s="149"/>
      <c r="B161" s="169"/>
      <c r="C161" s="169"/>
      <c r="D161" s="170"/>
      <c r="E161" s="169"/>
      <c r="F161" s="169"/>
      <c r="G161" s="170"/>
      <c r="H161" s="170"/>
      <c r="I161" s="170"/>
      <c r="J161" s="170"/>
      <c r="K161" s="169"/>
      <c r="L161" s="169"/>
      <c r="M161" s="170"/>
      <c r="N161" s="169"/>
      <c r="O161" s="169"/>
      <c r="P161" s="169"/>
      <c r="Q161" s="169"/>
      <c r="R161" s="149"/>
      <c r="S161" s="149"/>
      <c r="T161" s="149"/>
      <c r="U161" s="149"/>
      <c r="V161" s="149"/>
      <c r="W161" s="149"/>
      <c r="X161" s="149"/>
      <c r="Y161" s="149"/>
      <c r="Z161" s="149"/>
    </row>
    <row r="162" ht="11.25" customHeight="1">
      <c r="A162" s="149"/>
      <c r="B162" s="169"/>
      <c r="C162" s="169"/>
      <c r="D162" s="170"/>
      <c r="E162" s="169"/>
      <c r="F162" s="169"/>
      <c r="G162" s="170"/>
      <c r="H162" s="170"/>
      <c r="I162" s="170"/>
      <c r="J162" s="170"/>
      <c r="K162" s="169"/>
      <c r="L162" s="169"/>
      <c r="M162" s="170"/>
      <c r="N162" s="169"/>
      <c r="O162" s="169"/>
      <c r="P162" s="169"/>
      <c r="Q162" s="169"/>
      <c r="R162" s="149"/>
      <c r="S162" s="149"/>
      <c r="T162" s="149"/>
      <c r="U162" s="149"/>
      <c r="V162" s="149"/>
      <c r="W162" s="149"/>
      <c r="X162" s="149"/>
      <c r="Y162" s="149"/>
      <c r="Z162" s="149"/>
    </row>
    <row r="163" ht="11.25" customHeight="1">
      <c r="A163" s="149"/>
      <c r="B163" s="169"/>
      <c r="C163" s="169"/>
      <c r="D163" s="170"/>
      <c r="E163" s="169"/>
      <c r="F163" s="169"/>
      <c r="G163" s="170"/>
      <c r="H163" s="170"/>
      <c r="I163" s="170"/>
      <c r="J163" s="170"/>
      <c r="K163" s="169"/>
      <c r="L163" s="169"/>
      <c r="M163" s="170"/>
      <c r="N163" s="169"/>
      <c r="O163" s="169"/>
      <c r="P163" s="169"/>
      <c r="Q163" s="169"/>
      <c r="R163" s="149"/>
      <c r="S163" s="149"/>
      <c r="T163" s="149"/>
      <c r="U163" s="149"/>
      <c r="V163" s="149"/>
      <c r="W163" s="149"/>
      <c r="X163" s="149"/>
      <c r="Y163" s="149"/>
      <c r="Z163" s="149"/>
    </row>
    <row r="164" ht="11.25" customHeight="1">
      <c r="A164" s="149"/>
      <c r="B164" s="169"/>
      <c r="C164" s="169"/>
      <c r="D164" s="170"/>
      <c r="E164" s="169"/>
      <c r="F164" s="169"/>
      <c r="G164" s="170"/>
      <c r="H164" s="170"/>
      <c r="I164" s="170"/>
      <c r="J164" s="170"/>
      <c r="K164" s="169"/>
      <c r="L164" s="169"/>
      <c r="M164" s="170"/>
      <c r="N164" s="169"/>
      <c r="O164" s="169"/>
      <c r="P164" s="169"/>
      <c r="Q164" s="169"/>
      <c r="R164" s="149"/>
      <c r="S164" s="149"/>
      <c r="T164" s="149"/>
      <c r="U164" s="149"/>
      <c r="V164" s="149"/>
      <c r="W164" s="149"/>
      <c r="X164" s="149"/>
      <c r="Y164" s="149"/>
      <c r="Z164" s="149"/>
    </row>
    <row r="165" ht="11.25" customHeight="1">
      <c r="A165" s="149"/>
      <c r="B165" s="169"/>
      <c r="C165" s="169"/>
      <c r="D165" s="170"/>
      <c r="E165" s="169"/>
      <c r="F165" s="169"/>
      <c r="G165" s="170"/>
      <c r="H165" s="170"/>
      <c r="I165" s="170"/>
      <c r="J165" s="170"/>
      <c r="K165" s="169"/>
      <c r="L165" s="169"/>
      <c r="M165" s="170"/>
      <c r="N165" s="169"/>
      <c r="O165" s="169"/>
      <c r="P165" s="169"/>
      <c r="Q165" s="169"/>
      <c r="R165" s="149"/>
      <c r="S165" s="149"/>
      <c r="T165" s="149"/>
      <c r="U165" s="149"/>
      <c r="V165" s="149"/>
      <c r="W165" s="149"/>
      <c r="X165" s="149"/>
      <c r="Y165" s="149"/>
      <c r="Z165" s="149"/>
    </row>
    <row r="166" ht="11.25" customHeight="1">
      <c r="A166" s="149"/>
      <c r="B166" s="169"/>
      <c r="C166" s="169"/>
      <c r="D166" s="170"/>
      <c r="E166" s="169"/>
      <c r="F166" s="169"/>
      <c r="G166" s="170"/>
      <c r="H166" s="170"/>
      <c r="I166" s="170"/>
      <c r="J166" s="170"/>
      <c r="K166" s="169"/>
      <c r="L166" s="169"/>
      <c r="M166" s="170"/>
      <c r="N166" s="169"/>
      <c r="O166" s="169"/>
      <c r="P166" s="169"/>
      <c r="Q166" s="169"/>
      <c r="R166" s="149"/>
      <c r="S166" s="149"/>
      <c r="T166" s="149"/>
      <c r="U166" s="149"/>
      <c r="V166" s="149"/>
      <c r="W166" s="149"/>
      <c r="X166" s="149"/>
      <c r="Y166" s="149"/>
      <c r="Z166" s="149"/>
    </row>
    <row r="167" ht="11.25" customHeight="1">
      <c r="A167" s="149"/>
      <c r="B167" s="169"/>
      <c r="C167" s="169"/>
      <c r="D167" s="170"/>
      <c r="E167" s="169"/>
      <c r="F167" s="169"/>
      <c r="G167" s="170"/>
      <c r="H167" s="170"/>
      <c r="I167" s="170"/>
      <c r="J167" s="170"/>
      <c r="K167" s="169"/>
      <c r="L167" s="169"/>
      <c r="M167" s="170"/>
      <c r="N167" s="169"/>
      <c r="O167" s="169"/>
      <c r="P167" s="169"/>
      <c r="Q167" s="169"/>
      <c r="R167" s="149"/>
      <c r="S167" s="149"/>
      <c r="T167" s="149"/>
      <c r="U167" s="149"/>
      <c r="V167" s="149"/>
      <c r="W167" s="149"/>
      <c r="X167" s="149"/>
      <c r="Y167" s="149"/>
      <c r="Z167" s="149"/>
    </row>
    <row r="168" ht="11.25" customHeight="1">
      <c r="A168" s="149"/>
      <c r="B168" s="169"/>
      <c r="C168" s="169"/>
      <c r="D168" s="170"/>
      <c r="E168" s="169"/>
      <c r="F168" s="169"/>
      <c r="G168" s="170"/>
      <c r="H168" s="170"/>
      <c r="I168" s="170"/>
      <c r="J168" s="170"/>
      <c r="K168" s="169"/>
      <c r="L168" s="169"/>
      <c r="M168" s="170"/>
      <c r="N168" s="169"/>
      <c r="O168" s="169"/>
      <c r="P168" s="169"/>
      <c r="Q168" s="169"/>
      <c r="R168" s="149"/>
      <c r="S168" s="149"/>
      <c r="T168" s="149"/>
      <c r="U168" s="149"/>
      <c r="V168" s="149"/>
      <c r="W168" s="149"/>
      <c r="X168" s="149"/>
      <c r="Y168" s="149"/>
      <c r="Z168" s="149"/>
    </row>
    <row r="169" ht="11.25" customHeight="1">
      <c r="A169" s="149"/>
      <c r="B169" s="169"/>
      <c r="C169" s="169"/>
      <c r="D169" s="170"/>
      <c r="E169" s="169"/>
      <c r="F169" s="169"/>
      <c r="G169" s="170"/>
      <c r="H169" s="170"/>
      <c r="I169" s="170"/>
      <c r="J169" s="170"/>
      <c r="K169" s="169"/>
      <c r="L169" s="169"/>
      <c r="M169" s="170"/>
      <c r="N169" s="169"/>
      <c r="O169" s="169"/>
      <c r="P169" s="169"/>
      <c r="Q169" s="169"/>
      <c r="R169" s="149"/>
      <c r="S169" s="149"/>
      <c r="T169" s="149"/>
      <c r="U169" s="149"/>
      <c r="V169" s="149"/>
      <c r="W169" s="149"/>
      <c r="X169" s="149"/>
      <c r="Y169" s="149"/>
      <c r="Z169" s="149"/>
    </row>
    <row r="170" ht="11.25" customHeight="1">
      <c r="A170" s="149"/>
      <c r="B170" s="169"/>
      <c r="C170" s="169"/>
      <c r="D170" s="170"/>
      <c r="E170" s="169"/>
      <c r="F170" s="169"/>
      <c r="G170" s="170"/>
      <c r="H170" s="170"/>
      <c r="I170" s="170"/>
      <c r="J170" s="170"/>
      <c r="K170" s="169"/>
      <c r="L170" s="169"/>
      <c r="M170" s="170"/>
      <c r="N170" s="169"/>
      <c r="O170" s="169"/>
      <c r="P170" s="169"/>
      <c r="Q170" s="169"/>
      <c r="R170" s="149"/>
      <c r="S170" s="149"/>
      <c r="T170" s="149"/>
      <c r="U170" s="149"/>
      <c r="V170" s="149"/>
      <c r="W170" s="149"/>
      <c r="X170" s="149"/>
      <c r="Y170" s="149"/>
      <c r="Z170" s="149"/>
    </row>
    <row r="171" ht="11.25" customHeight="1">
      <c r="A171" s="149"/>
      <c r="B171" s="169"/>
      <c r="C171" s="169"/>
      <c r="D171" s="170"/>
      <c r="E171" s="169"/>
      <c r="F171" s="169"/>
      <c r="G171" s="170"/>
      <c r="H171" s="170"/>
      <c r="I171" s="170"/>
      <c r="J171" s="170"/>
      <c r="K171" s="169"/>
      <c r="L171" s="169"/>
      <c r="M171" s="170"/>
      <c r="N171" s="169"/>
      <c r="O171" s="169"/>
      <c r="P171" s="169"/>
      <c r="Q171" s="169"/>
      <c r="R171" s="149"/>
      <c r="S171" s="149"/>
      <c r="T171" s="149"/>
      <c r="U171" s="149"/>
      <c r="V171" s="149"/>
      <c r="W171" s="149"/>
      <c r="X171" s="149"/>
      <c r="Y171" s="149"/>
      <c r="Z171" s="149"/>
    </row>
    <row r="172" ht="11.25" customHeight="1">
      <c r="A172" s="149"/>
      <c r="B172" s="169"/>
      <c r="C172" s="169"/>
      <c r="D172" s="170"/>
      <c r="E172" s="169"/>
      <c r="F172" s="169"/>
      <c r="G172" s="170"/>
      <c r="H172" s="170"/>
      <c r="I172" s="170"/>
      <c r="J172" s="170"/>
      <c r="K172" s="169"/>
      <c r="L172" s="169"/>
      <c r="M172" s="170"/>
      <c r="N172" s="169"/>
      <c r="O172" s="169"/>
      <c r="P172" s="169"/>
      <c r="Q172" s="169"/>
      <c r="R172" s="149"/>
      <c r="S172" s="149"/>
      <c r="T172" s="149"/>
      <c r="U172" s="149"/>
      <c r="V172" s="149"/>
      <c r="W172" s="149"/>
      <c r="X172" s="149"/>
      <c r="Y172" s="149"/>
      <c r="Z172" s="149"/>
    </row>
    <row r="173" ht="11.25" customHeight="1">
      <c r="A173" s="149"/>
      <c r="B173" s="169"/>
      <c r="C173" s="169"/>
      <c r="D173" s="170"/>
      <c r="E173" s="169"/>
      <c r="F173" s="169"/>
      <c r="G173" s="170"/>
      <c r="H173" s="170"/>
      <c r="I173" s="170"/>
      <c r="J173" s="170"/>
      <c r="K173" s="169"/>
      <c r="L173" s="169"/>
      <c r="M173" s="170"/>
      <c r="N173" s="169"/>
      <c r="O173" s="169"/>
      <c r="P173" s="169"/>
      <c r="Q173" s="169"/>
      <c r="R173" s="149"/>
      <c r="S173" s="149"/>
      <c r="T173" s="149"/>
      <c r="U173" s="149"/>
      <c r="V173" s="149"/>
      <c r="W173" s="149"/>
      <c r="X173" s="149"/>
      <c r="Y173" s="149"/>
      <c r="Z173" s="149"/>
    </row>
    <row r="174" ht="11.25" customHeight="1">
      <c r="A174" s="149"/>
      <c r="B174" s="169"/>
      <c r="C174" s="169"/>
      <c r="D174" s="170"/>
      <c r="E174" s="169"/>
      <c r="F174" s="169"/>
      <c r="G174" s="170"/>
      <c r="H174" s="170"/>
      <c r="I174" s="170"/>
      <c r="J174" s="170"/>
      <c r="K174" s="169"/>
      <c r="L174" s="169"/>
      <c r="M174" s="170"/>
      <c r="N174" s="169"/>
      <c r="O174" s="169"/>
      <c r="P174" s="169"/>
      <c r="Q174" s="169"/>
      <c r="R174" s="149"/>
      <c r="S174" s="149"/>
      <c r="T174" s="149"/>
      <c r="U174" s="149"/>
      <c r="V174" s="149"/>
      <c r="W174" s="149"/>
      <c r="X174" s="149"/>
      <c r="Y174" s="149"/>
      <c r="Z174" s="149"/>
    </row>
    <row r="175" ht="11.25" customHeight="1">
      <c r="A175" s="149"/>
      <c r="B175" s="169"/>
      <c r="C175" s="169"/>
      <c r="D175" s="170"/>
      <c r="E175" s="169"/>
      <c r="F175" s="169"/>
      <c r="G175" s="170"/>
      <c r="H175" s="170"/>
      <c r="I175" s="170"/>
      <c r="J175" s="170"/>
      <c r="K175" s="169"/>
      <c r="L175" s="169"/>
      <c r="M175" s="170"/>
      <c r="N175" s="169"/>
      <c r="O175" s="169"/>
      <c r="P175" s="169"/>
      <c r="Q175" s="169"/>
      <c r="R175" s="149"/>
      <c r="S175" s="149"/>
      <c r="T175" s="149"/>
      <c r="U175" s="149"/>
      <c r="V175" s="149"/>
      <c r="W175" s="149"/>
      <c r="X175" s="149"/>
      <c r="Y175" s="149"/>
      <c r="Z175" s="149"/>
    </row>
    <row r="176" ht="11.25" customHeight="1">
      <c r="A176" s="149"/>
      <c r="B176" s="169"/>
      <c r="C176" s="169"/>
      <c r="D176" s="170"/>
      <c r="E176" s="169"/>
      <c r="F176" s="169"/>
      <c r="G176" s="170"/>
      <c r="H176" s="170"/>
      <c r="I176" s="170"/>
      <c r="J176" s="170"/>
      <c r="K176" s="169"/>
      <c r="L176" s="169"/>
      <c r="M176" s="170"/>
      <c r="N176" s="169"/>
      <c r="O176" s="169"/>
      <c r="P176" s="169"/>
      <c r="Q176" s="169"/>
      <c r="R176" s="149"/>
      <c r="S176" s="149"/>
      <c r="T176" s="149"/>
      <c r="U176" s="149"/>
      <c r="V176" s="149"/>
      <c r="W176" s="149"/>
      <c r="X176" s="149"/>
      <c r="Y176" s="149"/>
      <c r="Z176" s="149"/>
    </row>
    <row r="177" ht="11.25" customHeight="1">
      <c r="A177" s="149"/>
      <c r="B177" s="169"/>
      <c r="C177" s="169"/>
      <c r="D177" s="170"/>
      <c r="E177" s="169"/>
      <c r="F177" s="169"/>
      <c r="G177" s="170"/>
      <c r="H177" s="170"/>
      <c r="I177" s="170"/>
      <c r="J177" s="170"/>
      <c r="K177" s="169"/>
      <c r="L177" s="169"/>
      <c r="M177" s="170"/>
      <c r="N177" s="169"/>
      <c r="O177" s="169"/>
      <c r="P177" s="169"/>
      <c r="Q177" s="169"/>
      <c r="R177" s="149"/>
      <c r="S177" s="149"/>
      <c r="T177" s="149"/>
      <c r="U177" s="149"/>
      <c r="V177" s="149"/>
      <c r="W177" s="149"/>
      <c r="X177" s="149"/>
      <c r="Y177" s="149"/>
      <c r="Z177" s="149"/>
    </row>
    <row r="178" ht="11.25" customHeight="1">
      <c r="A178" s="149"/>
      <c r="B178" s="169"/>
      <c r="C178" s="169"/>
      <c r="D178" s="170"/>
      <c r="E178" s="169"/>
      <c r="F178" s="169"/>
      <c r="G178" s="170"/>
      <c r="H178" s="170"/>
      <c r="I178" s="170"/>
      <c r="J178" s="170"/>
      <c r="K178" s="169"/>
      <c r="L178" s="169"/>
      <c r="M178" s="170"/>
      <c r="N178" s="169"/>
      <c r="O178" s="169"/>
      <c r="P178" s="169"/>
      <c r="Q178" s="169"/>
      <c r="R178" s="149"/>
      <c r="S178" s="149"/>
      <c r="T178" s="149"/>
      <c r="U178" s="149"/>
      <c r="V178" s="149"/>
      <c r="W178" s="149"/>
      <c r="X178" s="149"/>
      <c r="Y178" s="149"/>
      <c r="Z178" s="149"/>
    </row>
    <row r="179" ht="11.25" customHeight="1">
      <c r="A179" s="149"/>
      <c r="B179" s="169"/>
      <c r="C179" s="169"/>
      <c r="D179" s="170"/>
      <c r="E179" s="169"/>
      <c r="F179" s="169"/>
      <c r="G179" s="170"/>
      <c r="H179" s="170"/>
      <c r="I179" s="170"/>
      <c r="J179" s="170"/>
      <c r="K179" s="169"/>
      <c r="L179" s="169"/>
      <c r="M179" s="170"/>
      <c r="N179" s="169"/>
      <c r="O179" s="169"/>
      <c r="P179" s="169"/>
      <c r="Q179" s="169"/>
      <c r="R179" s="149"/>
      <c r="S179" s="149"/>
      <c r="T179" s="149"/>
      <c r="U179" s="149"/>
      <c r="V179" s="149"/>
      <c r="W179" s="149"/>
      <c r="X179" s="149"/>
      <c r="Y179" s="149"/>
      <c r="Z179" s="149"/>
    </row>
    <row r="180" ht="11.25" customHeight="1">
      <c r="A180" s="149"/>
      <c r="B180" s="169"/>
      <c r="C180" s="169"/>
      <c r="D180" s="170"/>
      <c r="E180" s="169"/>
      <c r="F180" s="169"/>
      <c r="G180" s="170"/>
      <c r="H180" s="170"/>
      <c r="I180" s="170"/>
      <c r="J180" s="170"/>
      <c r="K180" s="169"/>
      <c r="L180" s="169"/>
      <c r="M180" s="170"/>
      <c r="N180" s="169"/>
      <c r="O180" s="169"/>
      <c r="P180" s="169"/>
      <c r="Q180" s="169"/>
      <c r="R180" s="149"/>
      <c r="S180" s="149"/>
      <c r="T180" s="149"/>
      <c r="U180" s="149"/>
      <c r="V180" s="149"/>
      <c r="W180" s="149"/>
      <c r="X180" s="149"/>
      <c r="Y180" s="149"/>
      <c r="Z180" s="149"/>
    </row>
    <row r="181" ht="11.25" customHeight="1">
      <c r="A181" s="149"/>
      <c r="B181" s="169"/>
      <c r="C181" s="169"/>
      <c r="D181" s="170"/>
      <c r="E181" s="169"/>
      <c r="F181" s="169"/>
      <c r="G181" s="170"/>
      <c r="H181" s="170"/>
      <c r="I181" s="170"/>
      <c r="J181" s="170"/>
      <c r="K181" s="169"/>
      <c r="L181" s="169"/>
      <c r="M181" s="170"/>
      <c r="N181" s="169"/>
      <c r="O181" s="169"/>
      <c r="P181" s="169"/>
      <c r="Q181" s="169"/>
      <c r="R181" s="149"/>
      <c r="S181" s="149"/>
      <c r="T181" s="149"/>
      <c r="U181" s="149"/>
      <c r="V181" s="149"/>
      <c r="W181" s="149"/>
      <c r="X181" s="149"/>
      <c r="Y181" s="149"/>
      <c r="Z181" s="149"/>
    </row>
    <row r="182" ht="11.25" customHeight="1">
      <c r="A182" s="149"/>
      <c r="B182" s="169"/>
      <c r="C182" s="169"/>
      <c r="D182" s="170"/>
      <c r="E182" s="169"/>
      <c r="F182" s="169"/>
      <c r="G182" s="170"/>
      <c r="H182" s="170"/>
      <c r="I182" s="170"/>
      <c r="J182" s="170"/>
      <c r="K182" s="169"/>
      <c r="L182" s="169"/>
      <c r="M182" s="170"/>
      <c r="N182" s="169"/>
      <c r="O182" s="169"/>
      <c r="P182" s="169"/>
      <c r="Q182" s="169"/>
      <c r="R182" s="149"/>
      <c r="S182" s="149"/>
      <c r="T182" s="149"/>
      <c r="U182" s="149"/>
      <c r="V182" s="149"/>
      <c r="W182" s="149"/>
      <c r="X182" s="149"/>
      <c r="Y182" s="149"/>
      <c r="Z182" s="149"/>
    </row>
    <row r="183" ht="11.25" customHeight="1">
      <c r="A183" s="149"/>
      <c r="B183" s="169"/>
      <c r="C183" s="169"/>
      <c r="D183" s="170"/>
      <c r="E183" s="169"/>
      <c r="F183" s="169"/>
      <c r="G183" s="170"/>
      <c r="H183" s="170"/>
      <c r="I183" s="170"/>
      <c r="J183" s="170"/>
      <c r="K183" s="169"/>
      <c r="L183" s="169"/>
      <c r="M183" s="170"/>
      <c r="N183" s="169"/>
      <c r="O183" s="169"/>
      <c r="P183" s="169"/>
      <c r="Q183" s="169"/>
      <c r="R183" s="149"/>
      <c r="S183" s="149"/>
      <c r="T183" s="149"/>
      <c r="U183" s="149"/>
      <c r="V183" s="149"/>
      <c r="W183" s="149"/>
      <c r="X183" s="149"/>
      <c r="Y183" s="149"/>
      <c r="Z183" s="149"/>
    </row>
    <row r="184" ht="11.25" customHeight="1">
      <c r="A184" s="149"/>
      <c r="B184" s="169"/>
      <c r="C184" s="169"/>
      <c r="D184" s="170"/>
      <c r="E184" s="169"/>
      <c r="F184" s="169"/>
      <c r="G184" s="170"/>
      <c r="H184" s="170"/>
      <c r="I184" s="170"/>
      <c r="J184" s="170"/>
      <c r="K184" s="169"/>
      <c r="L184" s="169"/>
      <c r="M184" s="170"/>
      <c r="N184" s="169"/>
      <c r="O184" s="169"/>
      <c r="P184" s="169"/>
      <c r="Q184" s="169"/>
      <c r="R184" s="149"/>
      <c r="S184" s="149"/>
      <c r="T184" s="149"/>
      <c r="U184" s="149"/>
      <c r="V184" s="149"/>
      <c r="W184" s="149"/>
      <c r="X184" s="149"/>
      <c r="Y184" s="149"/>
      <c r="Z184" s="149"/>
    </row>
    <row r="185" ht="11.25" customHeight="1">
      <c r="A185" s="149"/>
      <c r="B185" s="169"/>
      <c r="C185" s="169"/>
      <c r="D185" s="170"/>
      <c r="E185" s="169"/>
      <c r="F185" s="169"/>
      <c r="G185" s="170"/>
      <c r="H185" s="170"/>
      <c r="I185" s="170"/>
      <c r="J185" s="170"/>
      <c r="K185" s="169"/>
      <c r="L185" s="169"/>
      <c r="M185" s="170"/>
      <c r="N185" s="169"/>
      <c r="O185" s="169"/>
      <c r="P185" s="169"/>
      <c r="Q185" s="169"/>
      <c r="R185" s="149"/>
      <c r="S185" s="149"/>
      <c r="T185" s="149"/>
      <c r="U185" s="149"/>
      <c r="V185" s="149"/>
      <c r="W185" s="149"/>
      <c r="X185" s="149"/>
      <c r="Y185" s="149"/>
      <c r="Z185" s="149"/>
    </row>
    <row r="186" ht="11.25" customHeight="1">
      <c r="A186" s="149"/>
      <c r="B186" s="169"/>
      <c r="C186" s="169"/>
      <c r="D186" s="170"/>
      <c r="E186" s="169"/>
      <c r="F186" s="169"/>
      <c r="G186" s="170"/>
      <c r="H186" s="170"/>
      <c r="I186" s="170"/>
      <c r="J186" s="170"/>
      <c r="K186" s="169"/>
      <c r="L186" s="169"/>
      <c r="M186" s="170"/>
      <c r="N186" s="169"/>
      <c r="O186" s="169"/>
      <c r="P186" s="169"/>
      <c r="Q186" s="169"/>
      <c r="R186" s="149"/>
      <c r="S186" s="149"/>
      <c r="T186" s="149"/>
      <c r="U186" s="149"/>
      <c r="V186" s="149"/>
      <c r="W186" s="149"/>
      <c r="X186" s="149"/>
      <c r="Y186" s="149"/>
      <c r="Z186" s="149"/>
    </row>
    <row r="187" ht="11.25" customHeight="1">
      <c r="A187" s="149"/>
      <c r="B187" s="169"/>
      <c r="C187" s="169"/>
      <c r="D187" s="170"/>
      <c r="E187" s="169"/>
      <c r="F187" s="169"/>
      <c r="G187" s="170"/>
      <c r="H187" s="170"/>
      <c r="I187" s="170"/>
      <c r="J187" s="170"/>
      <c r="K187" s="169"/>
      <c r="L187" s="169"/>
      <c r="M187" s="170"/>
      <c r="N187" s="169"/>
      <c r="O187" s="169"/>
      <c r="P187" s="169"/>
      <c r="Q187" s="169"/>
      <c r="R187" s="149"/>
      <c r="S187" s="149"/>
      <c r="T187" s="149"/>
      <c r="U187" s="149"/>
      <c r="V187" s="149"/>
      <c r="W187" s="149"/>
      <c r="X187" s="149"/>
      <c r="Y187" s="149"/>
      <c r="Z187" s="149"/>
    </row>
    <row r="188" ht="11.25" customHeight="1">
      <c r="A188" s="149"/>
      <c r="B188" s="169"/>
      <c r="C188" s="169"/>
      <c r="D188" s="170"/>
      <c r="E188" s="169"/>
      <c r="F188" s="169"/>
      <c r="G188" s="170"/>
      <c r="H188" s="170"/>
      <c r="I188" s="170"/>
      <c r="J188" s="170"/>
      <c r="K188" s="169"/>
      <c r="L188" s="169"/>
      <c r="M188" s="170"/>
      <c r="N188" s="169"/>
      <c r="O188" s="169"/>
      <c r="P188" s="169"/>
      <c r="Q188" s="169"/>
      <c r="R188" s="149"/>
      <c r="S188" s="149"/>
      <c r="T188" s="149"/>
      <c r="U188" s="149"/>
      <c r="V188" s="149"/>
      <c r="W188" s="149"/>
      <c r="X188" s="149"/>
      <c r="Y188" s="149"/>
      <c r="Z188" s="149"/>
    </row>
    <row r="189" ht="11.25" customHeight="1">
      <c r="A189" s="149"/>
      <c r="B189" s="169"/>
      <c r="C189" s="169"/>
      <c r="D189" s="170"/>
      <c r="E189" s="169"/>
      <c r="F189" s="169"/>
      <c r="G189" s="170"/>
      <c r="H189" s="170"/>
      <c r="I189" s="170"/>
      <c r="J189" s="170"/>
      <c r="K189" s="169"/>
      <c r="L189" s="169"/>
      <c r="M189" s="170"/>
      <c r="N189" s="169"/>
      <c r="O189" s="169"/>
      <c r="P189" s="169"/>
      <c r="Q189" s="169"/>
      <c r="R189" s="149"/>
      <c r="S189" s="149"/>
      <c r="T189" s="149"/>
      <c r="U189" s="149"/>
      <c r="V189" s="149"/>
      <c r="W189" s="149"/>
      <c r="X189" s="149"/>
      <c r="Y189" s="149"/>
      <c r="Z189" s="149"/>
    </row>
    <row r="190" ht="11.25" customHeight="1">
      <c r="A190" s="149"/>
      <c r="B190" s="169"/>
      <c r="C190" s="169"/>
      <c r="D190" s="170"/>
      <c r="E190" s="169"/>
      <c r="F190" s="169"/>
      <c r="G190" s="170"/>
      <c r="H190" s="170"/>
      <c r="I190" s="170"/>
      <c r="J190" s="170"/>
      <c r="K190" s="169"/>
      <c r="L190" s="169"/>
      <c r="M190" s="170"/>
      <c r="N190" s="169"/>
      <c r="O190" s="169"/>
      <c r="P190" s="169"/>
      <c r="Q190" s="169"/>
      <c r="R190" s="149"/>
      <c r="S190" s="149"/>
      <c r="T190" s="149"/>
      <c r="U190" s="149"/>
      <c r="V190" s="149"/>
      <c r="W190" s="149"/>
      <c r="X190" s="149"/>
      <c r="Y190" s="149"/>
      <c r="Z190" s="149"/>
    </row>
    <row r="191" ht="11.25" customHeight="1">
      <c r="A191" s="149"/>
      <c r="B191" s="169"/>
      <c r="C191" s="169"/>
      <c r="D191" s="170"/>
      <c r="E191" s="169"/>
      <c r="F191" s="169"/>
      <c r="G191" s="170"/>
      <c r="H191" s="170"/>
      <c r="I191" s="170"/>
      <c r="J191" s="170"/>
      <c r="K191" s="169"/>
      <c r="L191" s="169"/>
      <c r="M191" s="170"/>
      <c r="N191" s="169"/>
      <c r="O191" s="169"/>
      <c r="P191" s="169"/>
      <c r="Q191" s="169"/>
      <c r="R191" s="149"/>
      <c r="S191" s="149"/>
      <c r="T191" s="149"/>
      <c r="U191" s="149"/>
      <c r="V191" s="149"/>
      <c r="W191" s="149"/>
      <c r="X191" s="149"/>
      <c r="Y191" s="149"/>
      <c r="Z191" s="149"/>
    </row>
    <row r="192" ht="11.25" customHeight="1">
      <c r="A192" s="149"/>
      <c r="B192" s="169"/>
      <c r="C192" s="169"/>
      <c r="D192" s="170"/>
      <c r="E192" s="169"/>
      <c r="F192" s="169"/>
      <c r="G192" s="170"/>
      <c r="H192" s="170"/>
      <c r="I192" s="170"/>
      <c r="J192" s="170"/>
      <c r="K192" s="169"/>
      <c r="L192" s="169"/>
      <c r="M192" s="170"/>
      <c r="N192" s="169"/>
      <c r="O192" s="169"/>
      <c r="P192" s="169"/>
      <c r="Q192" s="169"/>
      <c r="R192" s="149"/>
      <c r="S192" s="149"/>
      <c r="T192" s="149"/>
      <c r="U192" s="149"/>
      <c r="V192" s="149"/>
      <c r="W192" s="149"/>
      <c r="X192" s="149"/>
      <c r="Y192" s="149"/>
      <c r="Z192" s="149"/>
    </row>
    <row r="193" ht="11.25" customHeight="1">
      <c r="A193" s="149"/>
      <c r="B193" s="169"/>
      <c r="C193" s="169"/>
      <c r="D193" s="170"/>
      <c r="E193" s="169"/>
      <c r="F193" s="169"/>
      <c r="G193" s="170"/>
      <c r="H193" s="170"/>
      <c r="I193" s="170"/>
      <c r="J193" s="170"/>
      <c r="K193" s="169"/>
      <c r="L193" s="169"/>
      <c r="M193" s="170"/>
      <c r="N193" s="169"/>
      <c r="O193" s="169"/>
      <c r="P193" s="169"/>
      <c r="Q193" s="169"/>
      <c r="R193" s="149"/>
      <c r="S193" s="149"/>
      <c r="T193" s="149"/>
      <c r="U193" s="149"/>
      <c r="V193" s="149"/>
      <c r="W193" s="149"/>
      <c r="X193" s="149"/>
      <c r="Y193" s="149"/>
      <c r="Z193" s="149"/>
    </row>
    <row r="194" ht="11.25" customHeight="1">
      <c r="A194" s="149"/>
      <c r="B194" s="169"/>
      <c r="C194" s="169"/>
      <c r="D194" s="170"/>
      <c r="E194" s="169"/>
      <c r="F194" s="169"/>
      <c r="G194" s="170"/>
      <c r="H194" s="170"/>
      <c r="I194" s="170"/>
      <c r="J194" s="170"/>
      <c r="K194" s="169"/>
      <c r="L194" s="169"/>
      <c r="M194" s="170"/>
      <c r="N194" s="169"/>
      <c r="O194" s="169"/>
      <c r="P194" s="169"/>
      <c r="Q194" s="169"/>
      <c r="R194" s="149"/>
      <c r="S194" s="149"/>
      <c r="T194" s="149"/>
      <c r="U194" s="149"/>
      <c r="V194" s="149"/>
      <c r="W194" s="149"/>
      <c r="X194" s="149"/>
      <c r="Y194" s="149"/>
      <c r="Z194" s="149"/>
    </row>
    <row r="195" ht="11.25" customHeight="1">
      <c r="A195" s="149"/>
      <c r="B195" s="169"/>
      <c r="C195" s="169"/>
      <c r="D195" s="170"/>
      <c r="E195" s="169"/>
      <c r="F195" s="169"/>
      <c r="G195" s="170"/>
      <c r="H195" s="170"/>
      <c r="I195" s="170"/>
      <c r="J195" s="170"/>
      <c r="K195" s="169"/>
      <c r="L195" s="169"/>
      <c r="M195" s="170"/>
      <c r="N195" s="169"/>
      <c r="O195" s="169"/>
      <c r="P195" s="169"/>
      <c r="Q195" s="169"/>
      <c r="R195" s="149"/>
      <c r="S195" s="149"/>
      <c r="T195" s="149"/>
      <c r="U195" s="149"/>
      <c r="V195" s="149"/>
      <c r="W195" s="149"/>
      <c r="X195" s="149"/>
      <c r="Y195" s="149"/>
      <c r="Z195" s="149"/>
    </row>
    <row r="196" ht="11.25" customHeight="1">
      <c r="A196" s="149"/>
      <c r="B196" s="169"/>
      <c r="C196" s="169"/>
      <c r="D196" s="170"/>
      <c r="E196" s="169"/>
      <c r="F196" s="169"/>
      <c r="G196" s="170"/>
      <c r="H196" s="170"/>
      <c r="I196" s="170"/>
      <c r="J196" s="170"/>
      <c r="K196" s="169"/>
      <c r="L196" s="169"/>
      <c r="M196" s="170"/>
      <c r="N196" s="169"/>
      <c r="O196" s="169"/>
      <c r="P196" s="169"/>
      <c r="Q196" s="169"/>
      <c r="R196" s="149"/>
      <c r="S196" s="149"/>
      <c r="T196" s="149"/>
      <c r="U196" s="149"/>
      <c r="V196" s="149"/>
      <c r="W196" s="149"/>
      <c r="X196" s="149"/>
      <c r="Y196" s="149"/>
      <c r="Z196" s="149"/>
    </row>
    <row r="197" ht="11.25" customHeight="1">
      <c r="A197" s="149"/>
      <c r="B197" s="169"/>
      <c r="C197" s="169"/>
      <c r="D197" s="170"/>
      <c r="E197" s="169"/>
      <c r="F197" s="169"/>
      <c r="G197" s="170"/>
      <c r="H197" s="170"/>
      <c r="I197" s="170"/>
      <c r="J197" s="170"/>
      <c r="K197" s="169"/>
      <c r="L197" s="169"/>
      <c r="M197" s="170"/>
      <c r="N197" s="169"/>
      <c r="O197" s="169"/>
      <c r="P197" s="169"/>
      <c r="Q197" s="169"/>
      <c r="R197" s="149"/>
      <c r="S197" s="149"/>
      <c r="T197" s="149"/>
      <c r="U197" s="149"/>
      <c r="V197" s="149"/>
      <c r="W197" s="149"/>
      <c r="X197" s="149"/>
      <c r="Y197" s="149"/>
      <c r="Z197" s="149"/>
    </row>
    <row r="198" ht="11.25" customHeight="1">
      <c r="A198" s="149"/>
      <c r="B198" s="169"/>
      <c r="C198" s="169"/>
      <c r="D198" s="170"/>
      <c r="E198" s="169"/>
      <c r="F198" s="169"/>
      <c r="G198" s="170"/>
      <c r="H198" s="170"/>
      <c r="I198" s="170"/>
      <c r="J198" s="170"/>
      <c r="K198" s="169"/>
      <c r="L198" s="169"/>
      <c r="M198" s="170"/>
      <c r="N198" s="169"/>
      <c r="O198" s="169"/>
      <c r="P198" s="169"/>
      <c r="Q198" s="169"/>
      <c r="R198" s="149"/>
      <c r="S198" s="149"/>
      <c r="T198" s="149"/>
      <c r="U198" s="149"/>
      <c r="V198" s="149"/>
      <c r="W198" s="149"/>
      <c r="X198" s="149"/>
      <c r="Y198" s="149"/>
      <c r="Z198" s="149"/>
    </row>
    <row r="199" ht="11.25" customHeight="1">
      <c r="A199" s="149"/>
      <c r="B199" s="169"/>
      <c r="C199" s="169"/>
      <c r="D199" s="170"/>
      <c r="E199" s="169"/>
      <c r="F199" s="169"/>
      <c r="G199" s="170"/>
      <c r="H199" s="170"/>
      <c r="I199" s="170"/>
      <c r="J199" s="170"/>
      <c r="K199" s="169"/>
      <c r="L199" s="169"/>
      <c r="M199" s="170"/>
      <c r="N199" s="169"/>
      <c r="O199" s="169"/>
      <c r="P199" s="169"/>
      <c r="Q199" s="169"/>
      <c r="R199" s="149"/>
      <c r="S199" s="149"/>
      <c r="T199" s="149"/>
      <c r="U199" s="149"/>
      <c r="V199" s="149"/>
      <c r="W199" s="149"/>
      <c r="X199" s="149"/>
      <c r="Y199" s="149"/>
      <c r="Z199" s="149"/>
    </row>
    <row r="200" ht="11.25" customHeight="1">
      <c r="A200" s="149"/>
      <c r="B200" s="169"/>
      <c r="C200" s="169"/>
      <c r="D200" s="170"/>
      <c r="E200" s="169"/>
      <c r="F200" s="169"/>
      <c r="G200" s="170"/>
      <c r="H200" s="170"/>
      <c r="I200" s="170"/>
      <c r="J200" s="170"/>
      <c r="K200" s="169"/>
      <c r="L200" s="169"/>
      <c r="M200" s="170"/>
      <c r="N200" s="169"/>
      <c r="O200" s="169"/>
      <c r="P200" s="169"/>
      <c r="Q200" s="169"/>
      <c r="R200" s="149"/>
      <c r="S200" s="149"/>
      <c r="T200" s="149"/>
      <c r="U200" s="149"/>
      <c r="V200" s="149"/>
      <c r="W200" s="149"/>
      <c r="X200" s="149"/>
      <c r="Y200" s="149"/>
      <c r="Z200" s="149"/>
    </row>
    <row r="201" ht="11.25" customHeight="1">
      <c r="A201" s="149"/>
      <c r="B201" s="169"/>
      <c r="C201" s="169"/>
      <c r="D201" s="170"/>
      <c r="E201" s="169"/>
      <c r="F201" s="169"/>
      <c r="G201" s="170"/>
      <c r="H201" s="170"/>
      <c r="I201" s="170"/>
      <c r="J201" s="170"/>
      <c r="K201" s="169"/>
      <c r="L201" s="169"/>
      <c r="M201" s="170"/>
      <c r="N201" s="169"/>
      <c r="O201" s="169"/>
      <c r="P201" s="169"/>
      <c r="Q201" s="169"/>
      <c r="R201" s="149"/>
      <c r="S201" s="149"/>
      <c r="T201" s="149"/>
      <c r="U201" s="149"/>
      <c r="V201" s="149"/>
      <c r="W201" s="149"/>
      <c r="X201" s="149"/>
      <c r="Y201" s="149"/>
      <c r="Z201" s="149"/>
    </row>
    <row r="202" ht="11.25" customHeight="1">
      <c r="A202" s="149"/>
      <c r="B202" s="169"/>
      <c r="C202" s="169"/>
      <c r="D202" s="170"/>
      <c r="E202" s="169"/>
      <c r="F202" s="169"/>
      <c r="G202" s="170"/>
      <c r="H202" s="170"/>
      <c r="I202" s="170"/>
      <c r="J202" s="170"/>
      <c r="K202" s="169"/>
      <c r="L202" s="169"/>
      <c r="M202" s="170"/>
      <c r="N202" s="169"/>
      <c r="O202" s="169"/>
      <c r="P202" s="169"/>
      <c r="Q202" s="169"/>
      <c r="R202" s="149"/>
      <c r="S202" s="149"/>
      <c r="T202" s="149"/>
      <c r="U202" s="149"/>
      <c r="V202" s="149"/>
      <c r="W202" s="149"/>
      <c r="X202" s="149"/>
      <c r="Y202" s="149"/>
      <c r="Z202" s="149"/>
    </row>
    <row r="203" ht="11.25" customHeight="1">
      <c r="A203" s="149"/>
      <c r="B203" s="169"/>
      <c r="C203" s="169"/>
      <c r="D203" s="170"/>
      <c r="E203" s="169"/>
      <c r="F203" s="169"/>
      <c r="G203" s="170"/>
      <c r="H203" s="170"/>
      <c r="I203" s="170"/>
      <c r="J203" s="170"/>
      <c r="K203" s="169"/>
      <c r="L203" s="169"/>
      <c r="M203" s="170"/>
      <c r="N203" s="169"/>
      <c r="O203" s="169"/>
      <c r="P203" s="169"/>
      <c r="Q203" s="169"/>
      <c r="R203" s="149"/>
      <c r="S203" s="149"/>
      <c r="T203" s="149"/>
      <c r="U203" s="149"/>
      <c r="V203" s="149"/>
      <c r="W203" s="149"/>
      <c r="X203" s="149"/>
      <c r="Y203" s="149"/>
      <c r="Z203" s="149"/>
    </row>
    <row r="204" ht="11.25" customHeight="1">
      <c r="A204" s="149"/>
      <c r="B204" s="169"/>
      <c r="C204" s="169"/>
      <c r="D204" s="170"/>
      <c r="E204" s="169"/>
      <c r="F204" s="169"/>
      <c r="G204" s="170"/>
      <c r="H204" s="170"/>
      <c r="I204" s="170"/>
      <c r="J204" s="170"/>
      <c r="K204" s="169"/>
      <c r="L204" s="169"/>
      <c r="M204" s="170"/>
      <c r="N204" s="169"/>
      <c r="O204" s="169"/>
      <c r="P204" s="169"/>
      <c r="Q204" s="169"/>
      <c r="R204" s="149"/>
      <c r="S204" s="149"/>
      <c r="T204" s="149"/>
      <c r="U204" s="149"/>
      <c r="V204" s="149"/>
      <c r="W204" s="149"/>
      <c r="X204" s="149"/>
      <c r="Y204" s="149"/>
      <c r="Z204" s="149"/>
    </row>
    <row r="205" ht="11.25" customHeight="1">
      <c r="A205" s="149"/>
      <c r="B205" s="169"/>
      <c r="C205" s="169"/>
      <c r="D205" s="170"/>
      <c r="E205" s="169"/>
      <c r="F205" s="169"/>
      <c r="G205" s="170"/>
      <c r="H205" s="170"/>
      <c r="I205" s="170"/>
      <c r="J205" s="170"/>
      <c r="K205" s="169"/>
      <c r="L205" s="169"/>
      <c r="M205" s="170"/>
      <c r="N205" s="169"/>
      <c r="O205" s="169"/>
      <c r="P205" s="169"/>
      <c r="Q205" s="169"/>
      <c r="R205" s="149"/>
      <c r="S205" s="149"/>
      <c r="T205" s="149"/>
      <c r="U205" s="149"/>
      <c r="V205" s="149"/>
      <c r="W205" s="149"/>
      <c r="X205" s="149"/>
      <c r="Y205" s="149"/>
      <c r="Z205" s="149"/>
    </row>
    <row r="206" ht="11.25" customHeight="1">
      <c r="A206" s="149"/>
      <c r="B206" s="169"/>
      <c r="C206" s="169"/>
      <c r="D206" s="170"/>
      <c r="E206" s="169"/>
      <c r="F206" s="169"/>
      <c r="G206" s="170"/>
      <c r="H206" s="170"/>
      <c r="I206" s="170"/>
      <c r="J206" s="170"/>
      <c r="K206" s="169"/>
      <c r="L206" s="169"/>
      <c r="M206" s="170"/>
      <c r="N206" s="169"/>
      <c r="O206" s="169"/>
      <c r="P206" s="169"/>
      <c r="Q206" s="169"/>
      <c r="R206" s="149"/>
      <c r="S206" s="149"/>
      <c r="T206" s="149"/>
      <c r="U206" s="149"/>
      <c r="V206" s="149"/>
      <c r="W206" s="149"/>
      <c r="X206" s="149"/>
      <c r="Y206" s="149"/>
      <c r="Z206" s="149"/>
    </row>
    <row r="207" ht="11.25" customHeight="1">
      <c r="A207" s="149"/>
      <c r="B207" s="169"/>
      <c r="C207" s="169"/>
      <c r="D207" s="170"/>
      <c r="E207" s="169"/>
      <c r="F207" s="169"/>
      <c r="G207" s="170"/>
      <c r="H207" s="170"/>
      <c r="I207" s="170"/>
      <c r="J207" s="170"/>
      <c r="K207" s="169"/>
      <c r="L207" s="169"/>
      <c r="M207" s="170"/>
      <c r="N207" s="169"/>
      <c r="O207" s="169"/>
      <c r="P207" s="169"/>
      <c r="Q207" s="169"/>
      <c r="R207" s="149"/>
      <c r="S207" s="149"/>
      <c r="T207" s="149"/>
      <c r="U207" s="149"/>
      <c r="V207" s="149"/>
      <c r="W207" s="149"/>
      <c r="X207" s="149"/>
      <c r="Y207" s="149"/>
      <c r="Z207" s="149"/>
    </row>
    <row r="208" ht="11.25" customHeight="1">
      <c r="A208" s="149"/>
      <c r="B208" s="169"/>
      <c r="C208" s="169"/>
      <c r="D208" s="170"/>
      <c r="E208" s="169"/>
      <c r="F208" s="169"/>
      <c r="G208" s="170"/>
      <c r="H208" s="170"/>
      <c r="I208" s="170"/>
      <c r="J208" s="170"/>
      <c r="K208" s="169"/>
      <c r="L208" s="169"/>
      <c r="M208" s="170"/>
      <c r="N208" s="169"/>
      <c r="O208" s="169"/>
      <c r="P208" s="169"/>
      <c r="Q208" s="169"/>
      <c r="R208" s="149"/>
      <c r="S208" s="149"/>
      <c r="T208" s="149"/>
      <c r="U208" s="149"/>
      <c r="V208" s="149"/>
      <c r="W208" s="149"/>
      <c r="X208" s="149"/>
      <c r="Y208" s="149"/>
      <c r="Z208" s="149"/>
    </row>
    <row r="209" ht="11.25" customHeight="1">
      <c r="A209" s="149"/>
      <c r="B209" s="169"/>
      <c r="C209" s="169"/>
      <c r="D209" s="170"/>
      <c r="E209" s="169"/>
      <c r="F209" s="169"/>
      <c r="G209" s="170"/>
      <c r="H209" s="170"/>
      <c r="I209" s="170"/>
      <c r="J209" s="170"/>
      <c r="K209" s="169"/>
      <c r="L209" s="169"/>
      <c r="M209" s="170"/>
      <c r="N209" s="169"/>
      <c r="O209" s="169"/>
      <c r="P209" s="169"/>
      <c r="Q209" s="169"/>
      <c r="R209" s="149"/>
      <c r="S209" s="149"/>
      <c r="T209" s="149"/>
      <c r="U209" s="149"/>
      <c r="V209" s="149"/>
      <c r="W209" s="149"/>
      <c r="X209" s="149"/>
      <c r="Y209" s="149"/>
      <c r="Z209" s="149"/>
    </row>
    <row r="210" ht="11.25" customHeight="1">
      <c r="A210" s="149"/>
      <c r="B210" s="169"/>
      <c r="C210" s="169"/>
      <c r="D210" s="170"/>
      <c r="E210" s="169"/>
      <c r="F210" s="169"/>
      <c r="G210" s="170"/>
      <c r="H210" s="170"/>
      <c r="I210" s="170"/>
      <c r="J210" s="170"/>
      <c r="K210" s="169"/>
      <c r="L210" s="169"/>
      <c r="M210" s="170"/>
      <c r="N210" s="169"/>
      <c r="O210" s="169"/>
      <c r="P210" s="169"/>
      <c r="Q210" s="169"/>
      <c r="R210" s="149"/>
      <c r="S210" s="149"/>
      <c r="T210" s="149"/>
      <c r="U210" s="149"/>
      <c r="V210" s="149"/>
      <c r="W210" s="149"/>
      <c r="X210" s="149"/>
      <c r="Y210" s="149"/>
      <c r="Z210" s="149"/>
    </row>
    <row r="211" ht="11.25" customHeight="1">
      <c r="A211" s="149"/>
      <c r="B211" s="169"/>
      <c r="C211" s="169"/>
      <c r="D211" s="170"/>
      <c r="E211" s="169"/>
      <c r="F211" s="169"/>
      <c r="G211" s="170"/>
      <c r="H211" s="170"/>
      <c r="I211" s="170"/>
      <c r="J211" s="170"/>
      <c r="K211" s="169"/>
      <c r="L211" s="169"/>
      <c r="M211" s="170"/>
      <c r="N211" s="169"/>
      <c r="O211" s="169"/>
      <c r="P211" s="169"/>
      <c r="Q211" s="169"/>
      <c r="R211" s="149"/>
      <c r="S211" s="149"/>
      <c r="T211" s="149"/>
      <c r="U211" s="149"/>
      <c r="V211" s="149"/>
      <c r="W211" s="149"/>
      <c r="X211" s="149"/>
      <c r="Y211" s="149"/>
      <c r="Z211" s="149"/>
    </row>
    <row r="212" ht="11.25" customHeight="1">
      <c r="A212" s="149"/>
      <c r="B212" s="169"/>
      <c r="C212" s="169"/>
      <c r="D212" s="170"/>
      <c r="E212" s="169"/>
      <c r="F212" s="169"/>
      <c r="G212" s="170"/>
      <c r="H212" s="170"/>
      <c r="I212" s="170"/>
      <c r="J212" s="170"/>
      <c r="K212" s="169"/>
      <c r="L212" s="169"/>
      <c r="M212" s="170"/>
      <c r="N212" s="169"/>
      <c r="O212" s="169"/>
      <c r="P212" s="169"/>
      <c r="Q212" s="169"/>
      <c r="R212" s="149"/>
      <c r="S212" s="149"/>
      <c r="T212" s="149"/>
      <c r="U212" s="149"/>
      <c r="V212" s="149"/>
      <c r="W212" s="149"/>
      <c r="X212" s="149"/>
      <c r="Y212" s="149"/>
      <c r="Z212" s="149"/>
    </row>
    <row r="213" ht="11.25" customHeight="1">
      <c r="A213" s="149"/>
      <c r="B213" s="169"/>
      <c r="C213" s="169"/>
      <c r="D213" s="170"/>
      <c r="E213" s="169"/>
      <c r="F213" s="169"/>
      <c r="G213" s="170"/>
      <c r="H213" s="170"/>
      <c r="I213" s="170"/>
      <c r="J213" s="170"/>
      <c r="K213" s="169"/>
      <c r="L213" s="169"/>
      <c r="M213" s="170"/>
      <c r="N213" s="169"/>
      <c r="O213" s="169"/>
      <c r="P213" s="169"/>
      <c r="Q213" s="169"/>
      <c r="R213" s="149"/>
      <c r="S213" s="149"/>
      <c r="T213" s="149"/>
      <c r="U213" s="149"/>
      <c r="V213" s="149"/>
      <c r="W213" s="149"/>
      <c r="X213" s="149"/>
      <c r="Y213" s="149"/>
      <c r="Z213" s="149"/>
    </row>
    <row r="214" ht="11.25" customHeight="1">
      <c r="A214" s="149"/>
      <c r="B214" s="169"/>
      <c r="C214" s="169"/>
      <c r="D214" s="170"/>
      <c r="E214" s="169"/>
      <c r="F214" s="169"/>
      <c r="G214" s="170"/>
      <c r="H214" s="170"/>
      <c r="I214" s="170"/>
      <c r="J214" s="170"/>
      <c r="K214" s="169"/>
      <c r="L214" s="169"/>
      <c r="M214" s="170"/>
      <c r="N214" s="169"/>
      <c r="O214" s="169"/>
      <c r="P214" s="169"/>
      <c r="Q214" s="169"/>
      <c r="R214" s="149"/>
      <c r="S214" s="149"/>
      <c r="T214" s="149"/>
      <c r="U214" s="149"/>
      <c r="V214" s="149"/>
      <c r="W214" s="149"/>
      <c r="X214" s="149"/>
      <c r="Y214" s="149"/>
      <c r="Z214" s="149"/>
    </row>
    <row r="215" ht="11.25" customHeight="1">
      <c r="A215" s="149"/>
      <c r="B215" s="169"/>
      <c r="C215" s="169"/>
      <c r="D215" s="170"/>
      <c r="E215" s="169"/>
      <c r="F215" s="169"/>
      <c r="G215" s="170"/>
      <c r="H215" s="170"/>
      <c r="I215" s="170"/>
      <c r="J215" s="170"/>
      <c r="K215" s="169"/>
      <c r="L215" s="169"/>
      <c r="M215" s="170"/>
      <c r="N215" s="169"/>
      <c r="O215" s="169"/>
      <c r="P215" s="169"/>
      <c r="Q215" s="169"/>
      <c r="R215" s="149"/>
      <c r="S215" s="149"/>
      <c r="T215" s="149"/>
      <c r="U215" s="149"/>
      <c r="V215" s="149"/>
      <c r="W215" s="149"/>
      <c r="X215" s="149"/>
      <c r="Y215" s="149"/>
      <c r="Z215" s="149"/>
    </row>
    <row r="216" ht="11.25" customHeight="1">
      <c r="A216" s="149"/>
      <c r="B216" s="169"/>
      <c r="C216" s="169"/>
      <c r="D216" s="170"/>
      <c r="E216" s="169"/>
      <c r="F216" s="169"/>
      <c r="G216" s="170"/>
      <c r="H216" s="170"/>
      <c r="I216" s="170"/>
      <c r="J216" s="170"/>
      <c r="K216" s="169"/>
      <c r="L216" s="169"/>
      <c r="M216" s="170"/>
      <c r="N216" s="169"/>
      <c r="O216" s="169"/>
      <c r="P216" s="169"/>
      <c r="Q216" s="169"/>
      <c r="R216" s="149"/>
      <c r="S216" s="149"/>
      <c r="T216" s="149"/>
      <c r="U216" s="149"/>
      <c r="V216" s="149"/>
      <c r="W216" s="149"/>
      <c r="X216" s="149"/>
      <c r="Y216" s="149"/>
      <c r="Z216" s="149"/>
    </row>
    <row r="217" ht="11.25" customHeight="1">
      <c r="A217" s="149"/>
      <c r="B217" s="169"/>
      <c r="C217" s="169"/>
      <c r="D217" s="170"/>
      <c r="E217" s="169"/>
      <c r="F217" s="169"/>
      <c r="G217" s="170"/>
      <c r="H217" s="170"/>
      <c r="I217" s="170"/>
      <c r="J217" s="170"/>
      <c r="K217" s="169"/>
      <c r="L217" s="169"/>
      <c r="M217" s="170"/>
      <c r="N217" s="169"/>
      <c r="O217" s="169"/>
      <c r="P217" s="169"/>
      <c r="Q217" s="169"/>
      <c r="R217" s="149"/>
      <c r="S217" s="149"/>
      <c r="T217" s="149"/>
      <c r="U217" s="149"/>
      <c r="V217" s="149"/>
      <c r="W217" s="149"/>
      <c r="X217" s="149"/>
      <c r="Y217" s="149"/>
      <c r="Z217" s="149"/>
    </row>
    <row r="218" ht="11.25" customHeight="1">
      <c r="A218" s="149"/>
      <c r="B218" s="169"/>
      <c r="C218" s="169"/>
      <c r="D218" s="170"/>
      <c r="E218" s="169"/>
      <c r="F218" s="169"/>
      <c r="G218" s="170"/>
      <c r="H218" s="170"/>
      <c r="I218" s="170"/>
      <c r="J218" s="170"/>
      <c r="K218" s="169"/>
      <c r="L218" s="169"/>
      <c r="M218" s="170"/>
      <c r="N218" s="169"/>
      <c r="O218" s="169"/>
      <c r="P218" s="169"/>
      <c r="Q218" s="169"/>
      <c r="R218" s="149"/>
      <c r="S218" s="149"/>
      <c r="T218" s="149"/>
      <c r="U218" s="149"/>
      <c r="V218" s="149"/>
      <c r="W218" s="149"/>
      <c r="X218" s="149"/>
      <c r="Y218" s="149"/>
      <c r="Z218" s="149"/>
    </row>
    <row r="219" ht="11.25" customHeight="1">
      <c r="A219" s="149"/>
      <c r="B219" s="169"/>
      <c r="C219" s="169"/>
      <c r="D219" s="170"/>
      <c r="E219" s="169"/>
      <c r="F219" s="169"/>
      <c r="G219" s="170"/>
      <c r="H219" s="170"/>
      <c r="I219" s="170"/>
      <c r="J219" s="170"/>
      <c r="K219" s="169"/>
      <c r="L219" s="169"/>
      <c r="M219" s="170"/>
      <c r="N219" s="169"/>
      <c r="O219" s="169"/>
      <c r="P219" s="169"/>
      <c r="Q219" s="169"/>
      <c r="R219" s="149"/>
      <c r="S219" s="149"/>
      <c r="T219" s="149"/>
      <c r="U219" s="149"/>
      <c r="V219" s="149"/>
      <c r="W219" s="149"/>
      <c r="X219" s="149"/>
      <c r="Y219" s="149"/>
      <c r="Z219" s="149"/>
    </row>
    <row r="220" ht="11.25" customHeight="1">
      <c r="A220" s="149"/>
      <c r="B220" s="169"/>
      <c r="C220" s="169"/>
      <c r="D220" s="170"/>
      <c r="E220" s="169"/>
      <c r="F220" s="169"/>
      <c r="G220" s="170"/>
      <c r="H220" s="170"/>
      <c r="I220" s="170"/>
      <c r="J220" s="170"/>
      <c r="K220" s="169"/>
      <c r="L220" s="169"/>
      <c r="M220" s="170"/>
      <c r="N220" s="169"/>
      <c r="O220" s="169"/>
      <c r="P220" s="169"/>
      <c r="Q220" s="169"/>
      <c r="R220" s="149"/>
      <c r="S220" s="149"/>
      <c r="T220" s="149"/>
      <c r="U220" s="149"/>
      <c r="V220" s="149"/>
      <c r="W220" s="149"/>
      <c r="X220" s="149"/>
      <c r="Y220" s="149"/>
      <c r="Z220" s="149"/>
    </row>
    <row r="221" ht="11.25" customHeight="1">
      <c r="A221" s="149"/>
      <c r="B221" s="169"/>
      <c r="C221" s="169"/>
      <c r="D221" s="170"/>
      <c r="E221" s="169"/>
      <c r="F221" s="169"/>
      <c r="G221" s="170"/>
      <c r="H221" s="170"/>
      <c r="I221" s="170"/>
      <c r="J221" s="170"/>
      <c r="K221" s="169"/>
      <c r="L221" s="169"/>
      <c r="M221" s="170"/>
      <c r="N221" s="169"/>
      <c r="O221" s="169"/>
      <c r="P221" s="169"/>
      <c r="Q221" s="169"/>
      <c r="R221" s="149"/>
      <c r="S221" s="149"/>
      <c r="T221" s="149"/>
      <c r="U221" s="149"/>
      <c r="V221" s="149"/>
      <c r="W221" s="149"/>
      <c r="X221" s="149"/>
      <c r="Y221" s="149"/>
      <c r="Z221" s="149"/>
    </row>
    <row r="222" ht="11.25" customHeight="1">
      <c r="A222" s="149"/>
      <c r="B222" s="169"/>
      <c r="C222" s="169"/>
      <c r="D222" s="170"/>
      <c r="E222" s="169"/>
      <c r="F222" s="169"/>
      <c r="G222" s="170"/>
      <c r="H222" s="170"/>
      <c r="I222" s="170"/>
      <c r="J222" s="170"/>
      <c r="K222" s="169"/>
      <c r="L222" s="169"/>
      <c r="M222" s="170"/>
      <c r="N222" s="169"/>
      <c r="O222" s="169"/>
      <c r="P222" s="169"/>
      <c r="Q222" s="169"/>
      <c r="R222" s="149"/>
      <c r="S222" s="149"/>
      <c r="T222" s="149"/>
      <c r="U222" s="149"/>
      <c r="V222" s="149"/>
      <c r="W222" s="149"/>
      <c r="X222" s="149"/>
      <c r="Y222" s="149"/>
      <c r="Z222" s="149"/>
    </row>
    <row r="223" ht="11.25" customHeight="1">
      <c r="A223" s="149"/>
      <c r="B223" s="169"/>
      <c r="C223" s="169"/>
      <c r="D223" s="170"/>
      <c r="E223" s="169"/>
      <c r="F223" s="169"/>
      <c r="G223" s="170"/>
      <c r="H223" s="170"/>
      <c r="I223" s="170"/>
      <c r="J223" s="170"/>
      <c r="K223" s="169"/>
      <c r="L223" s="169"/>
      <c r="M223" s="170"/>
      <c r="N223" s="169"/>
      <c r="O223" s="169"/>
      <c r="P223" s="169"/>
      <c r="Q223" s="169"/>
      <c r="R223" s="149"/>
      <c r="S223" s="149"/>
      <c r="T223" s="149"/>
      <c r="U223" s="149"/>
      <c r="V223" s="149"/>
      <c r="W223" s="149"/>
      <c r="X223" s="149"/>
      <c r="Y223" s="149"/>
      <c r="Z223" s="149"/>
    </row>
    <row r="224" ht="11.25" customHeight="1">
      <c r="A224" s="149"/>
      <c r="B224" s="169"/>
      <c r="C224" s="169"/>
      <c r="D224" s="170"/>
      <c r="E224" s="169"/>
      <c r="F224" s="169"/>
      <c r="G224" s="170"/>
      <c r="H224" s="170"/>
      <c r="I224" s="170"/>
      <c r="J224" s="170"/>
      <c r="K224" s="169"/>
      <c r="L224" s="169"/>
      <c r="M224" s="170"/>
      <c r="N224" s="169"/>
      <c r="O224" s="169"/>
      <c r="P224" s="169"/>
      <c r="Q224" s="169"/>
      <c r="R224" s="149"/>
      <c r="S224" s="149"/>
      <c r="T224" s="149"/>
      <c r="U224" s="149"/>
      <c r="V224" s="149"/>
      <c r="W224" s="149"/>
      <c r="X224" s="149"/>
      <c r="Y224" s="149"/>
      <c r="Z224" s="149"/>
    </row>
    <row r="225" ht="11.25" customHeight="1">
      <c r="A225" s="149"/>
      <c r="B225" s="169"/>
      <c r="C225" s="169"/>
      <c r="D225" s="170"/>
      <c r="E225" s="169"/>
      <c r="F225" s="169"/>
      <c r="G225" s="170"/>
      <c r="H225" s="170"/>
      <c r="I225" s="170"/>
      <c r="J225" s="170"/>
      <c r="K225" s="169"/>
      <c r="L225" s="169"/>
      <c r="M225" s="170"/>
      <c r="N225" s="169"/>
      <c r="O225" s="169"/>
      <c r="P225" s="169"/>
      <c r="Q225" s="169"/>
      <c r="R225" s="149"/>
      <c r="S225" s="149"/>
      <c r="T225" s="149"/>
      <c r="U225" s="149"/>
      <c r="V225" s="149"/>
      <c r="W225" s="149"/>
      <c r="X225" s="149"/>
      <c r="Y225" s="149"/>
      <c r="Z225" s="149"/>
    </row>
    <row r="226" ht="11.25" customHeight="1">
      <c r="A226" s="149"/>
      <c r="B226" s="169"/>
      <c r="C226" s="169"/>
      <c r="D226" s="170"/>
      <c r="E226" s="169"/>
      <c r="F226" s="169"/>
      <c r="G226" s="170"/>
      <c r="H226" s="170"/>
      <c r="I226" s="170"/>
      <c r="J226" s="170"/>
      <c r="K226" s="169"/>
      <c r="L226" s="169"/>
      <c r="M226" s="170"/>
      <c r="N226" s="169"/>
      <c r="O226" s="169"/>
      <c r="P226" s="169"/>
      <c r="Q226" s="169"/>
      <c r="R226" s="149"/>
      <c r="S226" s="149"/>
      <c r="T226" s="149"/>
      <c r="U226" s="149"/>
      <c r="V226" s="149"/>
      <c r="W226" s="149"/>
      <c r="X226" s="149"/>
      <c r="Y226" s="149"/>
      <c r="Z226" s="149"/>
    </row>
    <row r="227" ht="11.25" customHeight="1">
      <c r="A227" s="149"/>
      <c r="B227" s="169"/>
      <c r="C227" s="169"/>
      <c r="D227" s="170"/>
      <c r="E227" s="169"/>
      <c r="F227" s="169"/>
      <c r="G227" s="170"/>
      <c r="H227" s="170"/>
      <c r="I227" s="170"/>
      <c r="J227" s="170"/>
      <c r="K227" s="169"/>
      <c r="L227" s="169"/>
      <c r="M227" s="170"/>
      <c r="N227" s="169"/>
      <c r="O227" s="169"/>
      <c r="P227" s="169"/>
      <c r="Q227" s="169"/>
      <c r="R227" s="149"/>
      <c r="S227" s="149"/>
      <c r="T227" s="149"/>
      <c r="U227" s="149"/>
      <c r="V227" s="149"/>
      <c r="W227" s="149"/>
      <c r="X227" s="149"/>
      <c r="Y227" s="149"/>
      <c r="Z227" s="149"/>
    </row>
    <row r="228" ht="11.25" customHeight="1">
      <c r="A228" s="149"/>
      <c r="B228" s="169"/>
      <c r="C228" s="169"/>
      <c r="D228" s="170"/>
      <c r="E228" s="169"/>
      <c r="F228" s="169"/>
      <c r="G228" s="170"/>
      <c r="H228" s="170"/>
      <c r="I228" s="170"/>
      <c r="J228" s="170"/>
      <c r="K228" s="169"/>
      <c r="L228" s="169"/>
      <c r="M228" s="170"/>
      <c r="N228" s="169"/>
      <c r="O228" s="169"/>
      <c r="P228" s="169"/>
      <c r="Q228" s="169"/>
      <c r="R228" s="149"/>
      <c r="S228" s="149"/>
      <c r="T228" s="149"/>
      <c r="U228" s="149"/>
      <c r="V228" s="149"/>
      <c r="W228" s="149"/>
      <c r="X228" s="149"/>
      <c r="Y228" s="149"/>
      <c r="Z228" s="149"/>
    </row>
    <row r="229" ht="11.25" customHeight="1">
      <c r="A229" s="149"/>
      <c r="B229" s="169"/>
      <c r="C229" s="169"/>
      <c r="D229" s="170"/>
      <c r="E229" s="169"/>
      <c r="F229" s="169"/>
      <c r="G229" s="170"/>
      <c r="H229" s="170"/>
      <c r="I229" s="170"/>
      <c r="J229" s="170"/>
      <c r="K229" s="169"/>
      <c r="L229" s="169"/>
      <c r="M229" s="170"/>
      <c r="N229" s="169"/>
      <c r="O229" s="169"/>
      <c r="P229" s="169"/>
      <c r="Q229" s="169"/>
      <c r="R229" s="149"/>
      <c r="S229" s="149"/>
      <c r="T229" s="149"/>
      <c r="U229" s="149"/>
      <c r="V229" s="149"/>
      <c r="W229" s="149"/>
      <c r="X229" s="149"/>
      <c r="Y229" s="149"/>
      <c r="Z229" s="149"/>
    </row>
    <row r="230" ht="11.25" customHeight="1">
      <c r="A230" s="149"/>
      <c r="B230" s="169"/>
      <c r="C230" s="169"/>
      <c r="D230" s="170"/>
      <c r="E230" s="169"/>
      <c r="F230" s="169"/>
      <c r="G230" s="170"/>
      <c r="H230" s="170"/>
      <c r="I230" s="170"/>
      <c r="J230" s="170"/>
      <c r="K230" s="169"/>
      <c r="L230" s="169"/>
      <c r="M230" s="170"/>
      <c r="N230" s="169"/>
      <c r="O230" s="169"/>
      <c r="P230" s="169"/>
      <c r="Q230" s="169"/>
      <c r="R230" s="149"/>
      <c r="S230" s="149"/>
      <c r="T230" s="149"/>
      <c r="U230" s="149"/>
      <c r="V230" s="149"/>
      <c r="W230" s="149"/>
      <c r="X230" s="149"/>
      <c r="Y230" s="149"/>
      <c r="Z230" s="149"/>
    </row>
    <row r="231" ht="11.25" customHeight="1">
      <c r="A231" s="149"/>
      <c r="B231" s="169"/>
      <c r="C231" s="169"/>
      <c r="D231" s="170"/>
      <c r="E231" s="169"/>
      <c r="F231" s="169"/>
      <c r="G231" s="170"/>
      <c r="H231" s="170"/>
      <c r="I231" s="170"/>
      <c r="J231" s="170"/>
      <c r="K231" s="169"/>
      <c r="L231" s="169"/>
      <c r="M231" s="170"/>
      <c r="N231" s="169"/>
      <c r="O231" s="169"/>
      <c r="P231" s="169"/>
      <c r="Q231" s="169"/>
      <c r="R231" s="149"/>
      <c r="S231" s="149"/>
      <c r="T231" s="149"/>
      <c r="U231" s="149"/>
      <c r="V231" s="149"/>
      <c r="W231" s="149"/>
      <c r="X231" s="149"/>
      <c r="Y231" s="149"/>
      <c r="Z231" s="149"/>
    </row>
    <row r="232" ht="11.25" customHeight="1">
      <c r="A232" s="149"/>
      <c r="B232" s="169"/>
      <c r="C232" s="169"/>
      <c r="D232" s="170"/>
      <c r="E232" s="169"/>
      <c r="F232" s="169"/>
      <c r="G232" s="170"/>
      <c r="H232" s="170"/>
      <c r="I232" s="170"/>
      <c r="J232" s="170"/>
      <c r="K232" s="169"/>
      <c r="L232" s="169"/>
      <c r="M232" s="170"/>
      <c r="N232" s="169"/>
      <c r="O232" s="169"/>
      <c r="P232" s="169"/>
      <c r="Q232" s="169"/>
      <c r="R232" s="149"/>
      <c r="S232" s="149"/>
      <c r="T232" s="149"/>
      <c r="U232" s="149"/>
      <c r="V232" s="149"/>
      <c r="W232" s="149"/>
      <c r="X232" s="149"/>
      <c r="Y232" s="149"/>
      <c r="Z232" s="149"/>
    </row>
    <row r="233" ht="11.25" customHeight="1">
      <c r="A233" s="149"/>
      <c r="B233" s="169"/>
      <c r="C233" s="169"/>
      <c r="D233" s="170"/>
      <c r="E233" s="169"/>
      <c r="F233" s="169"/>
      <c r="G233" s="170"/>
      <c r="H233" s="170"/>
      <c r="I233" s="170"/>
      <c r="J233" s="170"/>
      <c r="K233" s="169"/>
      <c r="L233" s="169"/>
      <c r="M233" s="170"/>
      <c r="N233" s="169"/>
      <c r="O233" s="169"/>
      <c r="P233" s="169"/>
      <c r="Q233" s="169"/>
      <c r="R233" s="149"/>
      <c r="S233" s="149"/>
      <c r="T233" s="149"/>
      <c r="U233" s="149"/>
      <c r="V233" s="149"/>
      <c r="W233" s="149"/>
      <c r="X233" s="149"/>
      <c r="Y233" s="149"/>
      <c r="Z233" s="149"/>
    </row>
    <row r="234" ht="11.25" customHeight="1">
      <c r="A234" s="149"/>
      <c r="B234" s="169"/>
      <c r="C234" s="169"/>
      <c r="D234" s="170"/>
      <c r="E234" s="169"/>
      <c r="F234" s="169"/>
      <c r="G234" s="170"/>
      <c r="H234" s="170"/>
      <c r="I234" s="170"/>
      <c r="J234" s="170"/>
      <c r="K234" s="169"/>
      <c r="L234" s="169"/>
      <c r="M234" s="170"/>
      <c r="N234" s="169"/>
      <c r="O234" s="169"/>
      <c r="P234" s="169"/>
      <c r="Q234" s="169"/>
      <c r="R234" s="149"/>
      <c r="S234" s="149"/>
      <c r="T234" s="149"/>
      <c r="U234" s="149"/>
      <c r="V234" s="149"/>
      <c r="W234" s="149"/>
      <c r="X234" s="149"/>
      <c r="Y234" s="149"/>
      <c r="Z234" s="149"/>
    </row>
    <row r="235" ht="11.25" customHeight="1">
      <c r="A235" s="149"/>
      <c r="B235" s="169"/>
      <c r="C235" s="169"/>
      <c r="D235" s="170"/>
      <c r="E235" s="169"/>
      <c r="F235" s="169"/>
      <c r="G235" s="170"/>
      <c r="H235" s="170"/>
      <c r="I235" s="170"/>
      <c r="J235" s="170"/>
      <c r="K235" s="169"/>
      <c r="L235" s="169"/>
      <c r="M235" s="170"/>
      <c r="N235" s="169"/>
      <c r="O235" s="169"/>
      <c r="P235" s="169"/>
      <c r="Q235" s="169"/>
      <c r="R235" s="149"/>
      <c r="S235" s="149"/>
      <c r="T235" s="149"/>
      <c r="U235" s="149"/>
      <c r="V235" s="149"/>
      <c r="W235" s="149"/>
      <c r="X235" s="149"/>
      <c r="Y235" s="149"/>
      <c r="Z235" s="149"/>
    </row>
    <row r="236" ht="11.25" customHeight="1">
      <c r="A236" s="149"/>
      <c r="B236" s="169"/>
      <c r="C236" s="169"/>
      <c r="D236" s="170"/>
      <c r="E236" s="169"/>
      <c r="F236" s="169"/>
      <c r="G236" s="170"/>
      <c r="H236" s="170"/>
      <c r="I236" s="170"/>
      <c r="J236" s="170"/>
      <c r="K236" s="169"/>
      <c r="L236" s="169"/>
      <c r="M236" s="170"/>
      <c r="N236" s="169"/>
      <c r="O236" s="169"/>
      <c r="P236" s="169"/>
      <c r="Q236" s="169"/>
      <c r="R236" s="149"/>
      <c r="S236" s="149"/>
      <c r="T236" s="149"/>
      <c r="U236" s="149"/>
      <c r="V236" s="149"/>
      <c r="W236" s="149"/>
      <c r="X236" s="149"/>
      <c r="Y236" s="149"/>
      <c r="Z236" s="149"/>
    </row>
    <row r="237" ht="11.25" customHeight="1">
      <c r="A237" s="149"/>
      <c r="B237" s="169"/>
      <c r="C237" s="169"/>
      <c r="D237" s="170"/>
      <c r="E237" s="169"/>
      <c r="F237" s="169"/>
      <c r="G237" s="170"/>
      <c r="H237" s="170"/>
      <c r="I237" s="170"/>
      <c r="J237" s="170"/>
      <c r="K237" s="169"/>
      <c r="L237" s="169"/>
      <c r="M237" s="170"/>
      <c r="N237" s="169"/>
      <c r="O237" s="169"/>
      <c r="P237" s="169"/>
      <c r="Q237" s="169"/>
      <c r="R237" s="149"/>
      <c r="S237" s="149"/>
      <c r="T237" s="149"/>
      <c r="U237" s="149"/>
      <c r="V237" s="149"/>
      <c r="W237" s="149"/>
      <c r="X237" s="149"/>
      <c r="Y237" s="149"/>
      <c r="Z237" s="149"/>
    </row>
    <row r="238" ht="11.25" customHeight="1">
      <c r="A238" s="149"/>
      <c r="B238" s="169"/>
      <c r="C238" s="169"/>
      <c r="D238" s="170"/>
      <c r="E238" s="169"/>
      <c r="F238" s="169"/>
      <c r="G238" s="170"/>
      <c r="H238" s="170"/>
      <c r="I238" s="170"/>
      <c r="J238" s="170"/>
      <c r="K238" s="169"/>
      <c r="L238" s="169"/>
      <c r="M238" s="170"/>
      <c r="N238" s="169"/>
      <c r="O238" s="169"/>
      <c r="P238" s="169"/>
      <c r="Q238" s="169"/>
      <c r="R238" s="149"/>
      <c r="S238" s="149"/>
      <c r="T238" s="149"/>
      <c r="U238" s="149"/>
      <c r="V238" s="149"/>
      <c r="W238" s="149"/>
      <c r="X238" s="149"/>
      <c r="Y238" s="149"/>
      <c r="Z238" s="149"/>
    </row>
    <row r="239" ht="11.25" customHeight="1">
      <c r="A239" s="149"/>
      <c r="B239" s="169"/>
      <c r="C239" s="169"/>
      <c r="D239" s="170"/>
      <c r="E239" s="169"/>
      <c r="F239" s="169"/>
      <c r="G239" s="170"/>
      <c r="H239" s="170"/>
      <c r="I239" s="170"/>
      <c r="J239" s="170"/>
      <c r="K239" s="169"/>
      <c r="L239" s="169"/>
      <c r="M239" s="170"/>
      <c r="N239" s="169"/>
      <c r="O239" s="169"/>
      <c r="P239" s="169"/>
      <c r="Q239" s="169"/>
      <c r="R239" s="149"/>
      <c r="S239" s="149"/>
      <c r="T239" s="149"/>
      <c r="U239" s="149"/>
      <c r="V239" s="149"/>
      <c r="W239" s="149"/>
      <c r="X239" s="149"/>
      <c r="Y239" s="149"/>
      <c r="Z239" s="149"/>
    </row>
    <row r="240" ht="11.25" customHeight="1">
      <c r="A240" s="149"/>
      <c r="B240" s="169"/>
      <c r="C240" s="169"/>
      <c r="D240" s="170"/>
      <c r="E240" s="169"/>
      <c r="F240" s="169"/>
      <c r="G240" s="170"/>
      <c r="H240" s="170"/>
      <c r="I240" s="170"/>
      <c r="J240" s="170"/>
      <c r="K240" s="169"/>
      <c r="L240" s="169"/>
      <c r="M240" s="170"/>
      <c r="N240" s="169"/>
      <c r="O240" s="169"/>
      <c r="P240" s="169"/>
      <c r="Q240" s="169"/>
      <c r="R240" s="149"/>
      <c r="S240" s="149"/>
      <c r="T240" s="149"/>
      <c r="U240" s="149"/>
      <c r="V240" s="149"/>
      <c r="W240" s="149"/>
      <c r="X240" s="149"/>
      <c r="Y240" s="149"/>
      <c r="Z240" s="149"/>
    </row>
    <row r="241" ht="11.25" customHeight="1">
      <c r="A241" s="149"/>
      <c r="B241" s="169"/>
      <c r="C241" s="169"/>
      <c r="D241" s="170"/>
      <c r="E241" s="169"/>
      <c r="F241" s="169"/>
      <c r="G241" s="170"/>
      <c r="H241" s="170"/>
      <c r="I241" s="170"/>
      <c r="J241" s="170"/>
      <c r="K241" s="169"/>
      <c r="L241" s="169"/>
      <c r="M241" s="170"/>
      <c r="N241" s="169"/>
      <c r="O241" s="169"/>
      <c r="P241" s="169"/>
      <c r="Q241" s="169"/>
      <c r="R241" s="149"/>
      <c r="S241" s="149"/>
      <c r="T241" s="149"/>
      <c r="U241" s="149"/>
      <c r="V241" s="149"/>
      <c r="W241" s="149"/>
      <c r="X241" s="149"/>
      <c r="Y241" s="149"/>
      <c r="Z241" s="149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/>
  <pageMargins bottom="0.77" footer="0.0" header="0.0" left="0.25" right="0.25" top="0.9"/>
  <pageSetup scale="80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6923C"/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0.38"/>
    <col customWidth="1" min="3" max="3" width="11.0"/>
    <col customWidth="1" min="4" max="4" width="10.75"/>
    <col customWidth="1" min="5" max="5" width="12.75"/>
    <col customWidth="1" min="6" max="6" width="11.0"/>
    <col customWidth="1" min="7" max="7" width="16.63"/>
    <col customWidth="1" min="8" max="26" width="9.13"/>
  </cols>
  <sheetData>
    <row r="1" ht="11.25" customHeight="1">
      <c r="A1" s="173" t="s">
        <v>515</v>
      </c>
      <c r="B1" s="173" t="s">
        <v>516</v>
      </c>
      <c r="C1" s="173" t="s">
        <v>517</v>
      </c>
      <c r="D1" s="173" t="s">
        <v>518</v>
      </c>
      <c r="E1" s="173" t="s">
        <v>519</v>
      </c>
      <c r="F1" s="173" t="s">
        <v>520</v>
      </c>
      <c r="G1" s="173" t="s">
        <v>521</v>
      </c>
      <c r="H1" s="153"/>
      <c r="I1" s="153"/>
      <c r="J1" s="153"/>
      <c r="K1" s="153"/>
      <c r="L1" s="153"/>
      <c r="M1" s="153"/>
      <c r="N1" s="153"/>
      <c r="O1" s="153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</row>
    <row r="2" ht="11.25" customHeight="1">
      <c r="A2" s="174" t="s">
        <v>13</v>
      </c>
      <c r="B2" s="175"/>
      <c r="C2" s="175"/>
      <c r="D2" s="175"/>
      <c r="E2" s="175"/>
      <c r="F2" s="175"/>
      <c r="G2" s="175"/>
      <c r="H2" s="153"/>
      <c r="I2" s="153"/>
      <c r="J2" s="153"/>
      <c r="K2" s="153"/>
      <c r="L2" s="153"/>
      <c r="M2" s="153"/>
      <c r="N2" s="153"/>
      <c r="O2" s="153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</row>
    <row r="3" ht="11.25" customHeight="1">
      <c r="A3" s="176" t="s">
        <v>522</v>
      </c>
      <c r="B3" s="155"/>
      <c r="C3" s="155"/>
      <c r="D3" s="155"/>
      <c r="E3" s="155"/>
      <c r="F3" s="155"/>
      <c r="G3" s="155"/>
      <c r="H3" s="153"/>
      <c r="I3" s="153"/>
      <c r="J3" s="153"/>
      <c r="K3" s="153"/>
      <c r="L3" s="153"/>
      <c r="M3" s="153"/>
      <c r="N3" s="153"/>
      <c r="O3" s="153"/>
      <c r="P3" s="149"/>
      <c r="Q3" s="149"/>
      <c r="R3" s="149"/>
      <c r="S3" s="149"/>
      <c r="T3" s="149"/>
      <c r="U3" s="149"/>
      <c r="V3" s="149"/>
      <c r="W3" s="149"/>
      <c r="X3" s="149"/>
      <c r="Y3" s="149"/>
      <c r="Z3" s="149"/>
    </row>
    <row r="4" ht="11.25" customHeight="1">
      <c r="A4" s="177" t="s">
        <v>523</v>
      </c>
      <c r="B4" s="158"/>
      <c r="C4" s="158"/>
      <c r="D4" s="158"/>
      <c r="E4" s="158"/>
      <c r="F4" s="158"/>
      <c r="G4" s="158"/>
      <c r="H4" s="153"/>
      <c r="I4" s="153"/>
      <c r="J4" s="153"/>
      <c r="K4" s="153"/>
      <c r="L4" s="153"/>
      <c r="M4" s="153"/>
      <c r="N4" s="153"/>
      <c r="O4" s="153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</row>
    <row r="5" ht="11.25" customHeight="1">
      <c r="A5" s="176" t="s">
        <v>524</v>
      </c>
      <c r="B5" s="155"/>
      <c r="C5" s="155"/>
      <c r="D5" s="155"/>
      <c r="E5" s="155"/>
      <c r="F5" s="155"/>
      <c r="G5" s="155"/>
      <c r="H5" s="153"/>
      <c r="I5" s="153"/>
      <c r="J5" s="153"/>
      <c r="K5" s="153"/>
      <c r="L5" s="153"/>
      <c r="M5" s="153"/>
      <c r="N5" s="153"/>
      <c r="O5" s="153"/>
      <c r="P5" s="149"/>
      <c r="Q5" s="149"/>
      <c r="R5" s="149"/>
      <c r="S5" s="149"/>
      <c r="T5" s="149"/>
      <c r="U5" s="149"/>
      <c r="V5" s="149"/>
      <c r="W5" s="149"/>
      <c r="X5" s="149"/>
      <c r="Y5" s="149"/>
      <c r="Z5" s="149"/>
    </row>
    <row r="6" ht="11.25" customHeight="1">
      <c r="A6" s="177" t="s">
        <v>525</v>
      </c>
      <c r="B6" s="158"/>
      <c r="C6" s="158"/>
      <c r="D6" s="158"/>
      <c r="E6" s="158"/>
      <c r="F6" s="158"/>
      <c r="G6" s="158"/>
      <c r="H6" s="153"/>
      <c r="I6" s="153"/>
      <c r="J6" s="153"/>
      <c r="K6" s="153"/>
      <c r="L6" s="153"/>
      <c r="M6" s="153"/>
      <c r="N6" s="153"/>
      <c r="O6" s="153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</row>
    <row r="7" ht="11.25" customHeight="1">
      <c r="A7" s="176" t="s">
        <v>526</v>
      </c>
      <c r="B7" s="155"/>
      <c r="C7" s="155"/>
      <c r="D7" s="155"/>
      <c r="E7" s="155"/>
      <c r="F7" s="155"/>
      <c r="G7" s="155"/>
      <c r="H7" s="153"/>
      <c r="I7" s="153"/>
      <c r="J7" s="153"/>
      <c r="K7" s="153"/>
      <c r="L7" s="153"/>
      <c r="M7" s="153"/>
      <c r="N7" s="153"/>
      <c r="O7" s="153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</row>
    <row r="8" ht="11.25" customHeight="1">
      <c r="A8" s="177" t="s">
        <v>527</v>
      </c>
      <c r="B8" s="158"/>
      <c r="C8" s="158"/>
      <c r="D8" s="158"/>
      <c r="E8" s="158"/>
      <c r="F8" s="158"/>
      <c r="G8" s="158"/>
      <c r="H8" s="153"/>
      <c r="I8" s="153"/>
      <c r="J8" s="153"/>
      <c r="K8" s="153"/>
      <c r="L8" s="153"/>
      <c r="M8" s="153"/>
      <c r="N8" s="153"/>
      <c r="O8" s="153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</row>
    <row r="9" ht="11.25" customHeight="1">
      <c r="A9" s="176" t="s">
        <v>528</v>
      </c>
      <c r="B9" s="155"/>
      <c r="C9" s="155"/>
      <c r="D9" s="155"/>
      <c r="E9" s="155"/>
      <c r="F9" s="155"/>
      <c r="G9" s="155"/>
      <c r="H9" s="153"/>
      <c r="I9" s="153"/>
      <c r="J9" s="153"/>
      <c r="K9" s="153"/>
      <c r="L9" s="153"/>
      <c r="M9" s="153"/>
      <c r="N9" s="153"/>
      <c r="O9" s="153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</row>
    <row r="10" ht="11.25" customHeight="1">
      <c r="A10" s="177" t="s">
        <v>529</v>
      </c>
      <c r="B10" s="158"/>
      <c r="C10" s="158"/>
      <c r="D10" s="158"/>
      <c r="E10" s="158"/>
      <c r="F10" s="158"/>
      <c r="G10" s="158"/>
      <c r="H10" s="153"/>
      <c r="I10" s="153"/>
      <c r="J10" s="153"/>
      <c r="K10" s="153"/>
      <c r="L10" s="153"/>
      <c r="M10" s="153"/>
      <c r="N10" s="153"/>
      <c r="O10" s="153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</row>
    <row r="11" ht="11.25" customHeight="1">
      <c r="A11" s="176" t="s">
        <v>530</v>
      </c>
      <c r="B11" s="155"/>
      <c r="C11" s="155"/>
      <c r="D11" s="155"/>
      <c r="E11" s="155"/>
      <c r="F11" s="155"/>
      <c r="G11" s="155"/>
      <c r="H11" s="153"/>
      <c r="I11" s="153"/>
      <c r="J11" s="153"/>
      <c r="K11" s="153"/>
      <c r="L11" s="153"/>
      <c r="M11" s="153"/>
      <c r="N11" s="153"/>
      <c r="O11" s="153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</row>
    <row r="12" ht="11.25" customHeight="1">
      <c r="A12" s="177" t="s">
        <v>531</v>
      </c>
      <c r="B12" s="158"/>
      <c r="C12" s="158"/>
      <c r="D12" s="158"/>
      <c r="E12" s="158"/>
      <c r="F12" s="158"/>
      <c r="G12" s="158"/>
      <c r="H12" s="153"/>
      <c r="I12" s="153"/>
      <c r="J12" s="153"/>
      <c r="K12" s="153"/>
      <c r="L12" s="153"/>
      <c r="M12" s="153"/>
      <c r="N12" s="153"/>
      <c r="O12" s="153"/>
      <c r="P12" s="149"/>
      <c r="Q12" s="149"/>
      <c r="R12" s="149"/>
      <c r="S12" s="149"/>
      <c r="T12" s="149"/>
      <c r="U12" s="149"/>
      <c r="V12" s="149"/>
      <c r="W12" s="149"/>
      <c r="X12" s="149"/>
      <c r="Y12" s="149"/>
      <c r="Z12" s="149"/>
    </row>
    <row r="13" ht="11.25" customHeight="1">
      <c r="A13" s="176" t="s">
        <v>532</v>
      </c>
      <c r="B13" s="155"/>
      <c r="C13" s="155"/>
      <c r="D13" s="155"/>
      <c r="E13" s="155"/>
      <c r="F13" s="155"/>
      <c r="G13" s="155"/>
      <c r="H13" s="153"/>
      <c r="I13" s="153"/>
      <c r="J13" s="153"/>
      <c r="K13" s="153"/>
      <c r="L13" s="153"/>
      <c r="M13" s="153"/>
      <c r="N13" s="153"/>
      <c r="O13" s="153"/>
      <c r="P13" s="149"/>
      <c r="Q13" s="149"/>
      <c r="R13" s="149"/>
      <c r="S13" s="149"/>
      <c r="T13" s="149"/>
      <c r="U13" s="149"/>
      <c r="V13" s="149"/>
      <c r="W13" s="149"/>
      <c r="X13" s="149"/>
      <c r="Y13" s="149"/>
      <c r="Z13" s="149"/>
    </row>
    <row r="14" ht="11.25" customHeight="1">
      <c r="A14" s="177" t="s">
        <v>533</v>
      </c>
      <c r="B14" s="158"/>
      <c r="C14" s="158"/>
      <c r="D14" s="158"/>
      <c r="E14" s="158"/>
      <c r="F14" s="158"/>
      <c r="G14" s="158"/>
      <c r="H14" s="153"/>
      <c r="I14" s="153"/>
      <c r="J14" s="153"/>
      <c r="K14" s="153"/>
      <c r="L14" s="153"/>
      <c r="M14" s="153"/>
      <c r="N14" s="153"/>
      <c r="O14" s="153"/>
      <c r="P14" s="149"/>
      <c r="Q14" s="149"/>
      <c r="R14" s="149"/>
      <c r="S14" s="149"/>
      <c r="T14" s="149"/>
      <c r="U14" s="149"/>
      <c r="V14" s="149"/>
      <c r="W14" s="149"/>
      <c r="X14" s="149"/>
      <c r="Y14" s="149"/>
      <c r="Z14" s="149"/>
    </row>
    <row r="15" ht="11.25" customHeight="1">
      <c r="A15" s="176" t="s">
        <v>534</v>
      </c>
      <c r="B15" s="155"/>
      <c r="C15" s="155"/>
      <c r="D15" s="155"/>
      <c r="E15" s="155"/>
      <c r="F15" s="155"/>
      <c r="G15" s="155"/>
      <c r="H15" s="153"/>
      <c r="I15" s="153"/>
      <c r="J15" s="153"/>
      <c r="K15" s="153"/>
      <c r="L15" s="153"/>
      <c r="M15" s="153"/>
      <c r="N15" s="153"/>
      <c r="O15" s="153"/>
      <c r="P15" s="149"/>
      <c r="Q15" s="149"/>
      <c r="R15" s="149"/>
      <c r="S15" s="149"/>
      <c r="T15" s="149"/>
      <c r="U15" s="149"/>
      <c r="V15" s="149"/>
      <c r="W15" s="149"/>
      <c r="X15" s="149"/>
      <c r="Y15" s="149"/>
      <c r="Z15" s="149"/>
    </row>
    <row r="16" ht="11.25" customHeight="1">
      <c r="A16" s="177" t="s">
        <v>535</v>
      </c>
      <c r="B16" s="158"/>
      <c r="C16" s="158"/>
      <c r="D16" s="158"/>
      <c r="E16" s="158"/>
      <c r="F16" s="158"/>
      <c r="G16" s="158"/>
      <c r="H16" s="153"/>
      <c r="I16" s="153"/>
      <c r="J16" s="153"/>
      <c r="K16" s="153"/>
      <c r="L16" s="153"/>
      <c r="M16" s="153"/>
      <c r="N16" s="153"/>
      <c r="O16" s="153"/>
      <c r="P16" s="149"/>
      <c r="Q16" s="149"/>
      <c r="R16" s="149"/>
      <c r="S16" s="149"/>
      <c r="T16" s="149"/>
      <c r="U16" s="149"/>
      <c r="V16" s="149"/>
      <c r="W16" s="149"/>
      <c r="X16" s="149"/>
      <c r="Y16" s="149"/>
      <c r="Z16" s="149"/>
    </row>
    <row r="17" ht="11.25" customHeight="1">
      <c r="A17" s="176" t="s">
        <v>536</v>
      </c>
      <c r="B17" s="155"/>
      <c r="C17" s="155"/>
      <c r="D17" s="155"/>
      <c r="E17" s="155"/>
      <c r="F17" s="155"/>
      <c r="G17" s="155"/>
      <c r="H17" s="153"/>
      <c r="I17" s="153"/>
      <c r="J17" s="153"/>
      <c r="K17" s="153"/>
      <c r="L17" s="153"/>
      <c r="M17" s="153"/>
      <c r="N17" s="153"/>
      <c r="O17" s="153"/>
      <c r="P17" s="149"/>
      <c r="Q17" s="149"/>
      <c r="R17" s="149"/>
      <c r="S17" s="149"/>
      <c r="T17" s="149"/>
      <c r="U17" s="149"/>
      <c r="V17" s="149"/>
      <c r="W17" s="149"/>
      <c r="X17" s="149"/>
      <c r="Y17" s="149"/>
      <c r="Z17" s="149"/>
    </row>
    <row r="18" ht="11.25" customHeight="1">
      <c r="A18" s="177" t="s">
        <v>537</v>
      </c>
      <c r="B18" s="158"/>
      <c r="C18" s="158"/>
      <c r="D18" s="158"/>
      <c r="E18" s="158"/>
      <c r="F18" s="158"/>
      <c r="G18" s="158"/>
      <c r="H18" s="153"/>
      <c r="I18" s="153"/>
      <c r="J18" s="153"/>
      <c r="K18" s="153"/>
      <c r="L18" s="153"/>
      <c r="M18" s="153"/>
      <c r="N18" s="153"/>
      <c r="O18" s="153"/>
      <c r="P18" s="149"/>
      <c r="Q18" s="149"/>
      <c r="R18" s="149"/>
      <c r="S18" s="149"/>
      <c r="T18" s="149"/>
      <c r="U18" s="149"/>
      <c r="V18" s="149"/>
      <c r="W18" s="149"/>
      <c r="X18" s="149"/>
      <c r="Y18" s="149"/>
      <c r="Z18" s="149"/>
    </row>
    <row r="19" ht="11.25" customHeight="1">
      <c r="A19" s="176" t="s">
        <v>538</v>
      </c>
      <c r="B19" s="155"/>
      <c r="C19" s="155"/>
      <c r="D19" s="155"/>
      <c r="E19" s="155"/>
      <c r="F19" s="155"/>
      <c r="G19" s="155"/>
      <c r="H19" s="153"/>
      <c r="I19" s="153"/>
      <c r="J19" s="153"/>
      <c r="K19" s="153"/>
      <c r="L19" s="153"/>
      <c r="M19" s="153"/>
      <c r="N19" s="153"/>
      <c r="O19" s="153"/>
      <c r="P19" s="149"/>
      <c r="Q19" s="149"/>
      <c r="R19" s="149"/>
      <c r="S19" s="149"/>
      <c r="T19" s="149"/>
      <c r="U19" s="149"/>
      <c r="V19" s="149"/>
      <c r="W19" s="149"/>
      <c r="X19" s="149"/>
      <c r="Y19" s="149"/>
      <c r="Z19" s="149"/>
    </row>
    <row r="20" ht="11.25" customHeight="1">
      <c r="A20" s="178" t="s">
        <v>539</v>
      </c>
      <c r="B20" s="179"/>
      <c r="C20" s="179"/>
      <c r="D20" s="179"/>
      <c r="E20" s="179"/>
      <c r="F20" s="179"/>
      <c r="G20" s="179"/>
      <c r="H20" s="153"/>
      <c r="I20" s="153"/>
      <c r="J20" s="153"/>
      <c r="K20" s="153"/>
      <c r="L20" s="153"/>
      <c r="M20" s="153"/>
      <c r="N20" s="153"/>
      <c r="O20" s="153"/>
      <c r="P20" s="149"/>
      <c r="Q20" s="149"/>
      <c r="R20" s="149"/>
      <c r="S20" s="149"/>
      <c r="T20" s="149"/>
      <c r="U20" s="149"/>
      <c r="V20" s="149"/>
      <c r="W20" s="149"/>
      <c r="X20" s="149"/>
      <c r="Y20" s="149"/>
      <c r="Z20" s="149"/>
    </row>
    <row r="21" ht="11.25" customHeight="1">
      <c r="A21" s="176" t="s">
        <v>540</v>
      </c>
      <c r="B21" s="155"/>
      <c r="C21" s="155"/>
      <c r="D21" s="155"/>
      <c r="E21" s="155"/>
      <c r="F21" s="155"/>
      <c r="G21" s="155"/>
      <c r="H21" s="153"/>
      <c r="I21" s="153"/>
      <c r="J21" s="153"/>
      <c r="K21" s="153"/>
      <c r="L21" s="153"/>
      <c r="M21" s="153"/>
      <c r="N21" s="153"/>
      <c r="O21" s="153"/>
      <c r="P21" s="149"/>
      <c r="Q21" s="149"/>
      <c r="R21" s="149"/>
      <c r="S21" s="149"/>
      <c r="T21" s="149"/>
      <c r="U21" s="149"/>
      <c r="V21" s="149"/>
      <c r="W21" s="149"/>
      <c r="X21" s="149"/>
      <c r="Y21" s="149"/>
      <c r="Z21" s="149"/>
    </row>
    <row r="22" ht="11.25" customHeight="1">
      <c r="A22" s="180" t="s">
        <v>541</v>
      </c>
      <c r="B22" s="181"/>
      <c r="C22" s="181"/>
      <c r="D22" s="181"/>
      <c r="E22" s="181"/>
      <c r="F22" s="181"/>
      <c r="G22" s="181"/>
      <c r="H22" s="153"/>
      <c r="I22" s="153"/>
      <c r="J22" s="153"/>
      <c r="K22" s="153"/>
      <c r="L22" s="153"/>
      <c r="M22" s="153"/>
      <c r="N22" s="153"/>
      <c r="O22" s="153"/>
      <c r="P22" s="149"/>
      <c r="Q22" s="149"/>
      <c r="R22" s="149"/>
      <c r="S22" s="149"/>
      <c r="T22" s="149"/>
      <c r="U22" s="149"/>
      <c r="V22" s="149"/>
      <c r="W22" s="149"/>
      <c r="X22" s="149"/>
      <c r="Y22" s="149"/>
      <c r="Z22" s="149"/>
    </row>
    <row r="23" ht="11.25" customHeight="1">
      <c r="A23" s="163"/>
      <c r="B23" s="153"/>
      <c r="C23" s="153"/>
      <c r="D23" s="153"/>
      <c r="E23" s="153"/>
      <c r="F23" s="151"/>
      <c r="G23" s="182"/>
      <c r="H23" s="153"/>
      <c r="I23" s="153"/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3"/>
      <c r="X23" s="153"/>
      <c r="Y23" s="153"/>
      <c r="Z23" s="153"/>
    </row>
    <row r="24" ht="11.25" customHeight="1">
      <c r="A24" s="163" t="s">
        <v>542</v>
      </c>
      <c r="B24" s="153"/>
      <c r="C24" s="153"/>
      <c r="D24" s="153"/>
      <c r="E24" s="153"/>
      <c r="F24" s="151"/>
      <c r="G24" s="182"/>
      <c r="H24" s="153"/>
      <c r="I24" s="153"/>
      <c r="J24" s="153"/>
      <c r="K24" s="153"/>
      <c r="L24" s="153"/>
      <c r="M24" s="153"/>
      <c r="N24" s="153"/>
      <c r="O24" s="153"/>
      <c r="P24" s="153"/>
      <c r="Q24" s="153"/>
      <c r="R24" s="153"/>
      <c r="S24" s="153"/>
      <c r="T24" s="153"/>
      <c r="U24" s="153"/>
      <c r="V24" s="153"/>
      <c r="W24" s="153"/>
      <c r="X24" s="153"/>
      <c r="Y24" s="153"/>
      <c r="Z24" s="153"/>
    </row>
    <row r="25" ht="11.25" customHeight="1">
      <c r="A25" s="163"/>
      <c r="B25" s="153"/>
      <c r="C25" s="153"/>
      <c r="D25" s="153"/>
      <c r="E25" s="153"/>
      <c r="F25" s="151"/>
      <c r="G25" s="182"/>
      <c r="H25" s="153"/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53"/>
      <c r="T25" s="153"/>
      <c r="U25" s="153"/>
      <c r="V25" s="153"/>
      <c r="W25" s="153"/>
      <c r="X25" s="153"/>
      <c r="Y25" s="153"/>
      <c r="Z25" s="153"/>
    </row>
    <row r="26" ht="11.25" customHeight="1">
      <c r="A26" s="183" t="s">
        <v>10</v>
      </c>
      <c r="B26" s="153"/>
      <c r="C26" s="153"/>
      <c r="D26" s="153"/>
      <c r="E26" s="153"/>
      <c r="F26" s="153"/>
      <c r="G26" s="182"/>
      <c r="H26" s="153"/>
      <c r="I26" s="153"/>
      <c r="J26" s="153"/>
      <c r="K26" s="153"/>
      <c r="L26" s="153"/>
      <c r="M26" s="153"/>
      <c r="N26" s="153"/>
      <c r="O26" s="153"/>
      <c r="P26" s="153"/>
      <c r="Q26" s="153"/>
      <c r="R26" s="153"/>
      <c r="S26" s="153"/>
      <c r="T26" s="153"/>
      <c r="U26" s="153"/>
      <c r="V26" s="153"/>
      <c r="W26" s="153"/>
      <c r="X26" s="153"/>
      <c r="Y26" s="153"/>
      <c r="Z26" s="153"/>
    </row>
    <row r="27" ht="11.25" customHeight="1">
      <c r="A27" s="176" t="s">
        <v>543</v>
      </c>
      <c r="B27" s="155"/>
      <c r="C27" s="155"/>
      <c r="D27" s="155"/>
      <c r="E27" s="155"/>
      <c r="F27" s="155"/>
      <c r="G27" s="155"/>
      <c r="H27" s="153"/>
      <c r="I27" s="153"/>
      <c r="J27" s="153"/>
      <c r="K27" s="153"/>
      <c r="L27" s="153"/>
      <c r="M27" s="153"/>
      <c r="N27" s="153"/>
      <c r="O27" s="153"/>
      <c r="P27" s="149"/>
      <c r="Q27" s="149"/>
      <c r="R27" s="149"/>
      <c r="S27" s="149"/>
      <c r="T27" s="149"/>
      <c r="U27" s="149"/>
      <c r="V27" s="149"/>
      <c r="W27" s="149"/>
      <c r="X27" s="149"/>
      <c r="Y27" s="149"/>
      <c r="Z27" s="149"/>
    </row>
    <row r="28" ht="11.25" customHeight="1">
      <c r="A28" s="177" t="s">
        <v>544</v>
      </c>
      <c r="B28" s="158"/>
      <c r="C28" s="158"/>
      <c r="D28" s="158"/>
      <c r="E28" s="158"/>
      <c r="F28" s="158"/>
      <c r="G28" s="158"/>
      <c r="H28" s="153"/>
      <c r="I28" s="153"/>
      <c r="J28" s="153"/>
      <c r="K28" s="153"/>
      <c r="L28" s="153"/>
      <c r="M28" s="153"/>
      <c r="N28" s="153"/>
      <c r="O28" s="153"/>
      <c r="P28" s="149"/>
      <c r="Q28" s="149"/>
      <c r="R28" s="149"/>
      <c r="S28" s="149"/>
      <c r="T28" s="149"/>
      <c r="U28" s="149"/>
      <c r="V28" s="149"/>
      <c r="W28" s="149"/>
      <c r="X28" s="149"/>
      <c r="Y28" s="149"/>
      <c r="Z28" s="149"/>
    </row>
    <row r="29" ht="11.25" customHeight="1">
      <c r="A29" s="176" t="s">
        <v>545</v>
      </c>
      <c r="B29" s="155"/>
      <c r="C29" s="155"/>
      <c r="D29" s="155"/>
      <c r="E29" s="155"/>
      <c r="F29" s="155"/>
      <c r="G29" s="155"/>
      <c r="H29" s="153"/>
      <c r="I29" s="153"/>
      <c r="J29" s="153"/>
      <c r="K29" s="153"/>
      <c r="L29" s="153"/>
      <c r="M29" s="153"/>
      <c r="N29" s="153"/>
      <c r="O29" s="153"/>
      <c r="P29" s="149"/>
      <c r="Q29" s="149"/>
      <c r="R29" s="149"/>
      <c r="S29" s="149"/>
      <c r="T29" s="149"/>
      <c r="U29" s="149"/>
      <c r="V29" s="149"/>
      <c r="W29" s="149"/>
      <c r="X29" s="149"/>
      <c r="Y29" s="149"/>
      <c r="Z29" s="149"/>
    </row>
    <row r="30" ht="11.25" customHeight="1">
      <c r="A30" s="177" t="s">
        <v>546</v>
      </c>
      <c r="B30" s="158"/>
      <c r="C30" s="158"/>
      <c r="D30" s="158"/>
      <c r="E30" s="158"/>
      <c r="F30" s="158"/>
      <c r="G30" s="158"/>
      <c r="H30" s="153"/>
      <c r="I30" s="153"/>
      <c r="J30" s="153"/>
      <c r="K30" s="153"/>
      <c r="L30" s="153"/>
      <c r="M30" s="153"/>
      <c r="N30" s="153"/>
      <c r="O30" s="153"/>
      <c r="P30" s="149"/>
      <c r="Q30" s="149"/>
      <c r="R30" s="149"/>
      <c r="S30" s="149"/>
      <c r="T30" s="149"/>
      <c r="U30" s="149"/>
      <c r="V30" s="149"/>
      <c r="W30" s="149"/>
      <c r="X30" s="149"/>
      <c r="Y30" s="149"/>
      <c r="Z30" s="149"/>
    </row>
    <row r="31" ht="11.25" customHeight="1">
      <c r="A31" s="176" t="s">
        <v>547</v>
      </c>
      <c r="B31" s="155"/>
      <c r="C31" s="155"/>
      <c r="D31" s="155"/>
      <c r="E31" s="155"/>
      <c r="F31" s="155"/>
      <c r="G31" s="155"/>
      <c r="H31" s="153"/>
      <c r="I31" s="153"/>
      <c r="J31" s="153"/>
      <c r="K31" s="153"/>
      <c r="L31" s="153"/>
      <c r="M31" s="153"/>
      <c r="N31" s="153"/>
      <c r="O31" s="153"/>
      <c r="P31" s="149"/>
      <c r="Q31" s="149"/>
      <c r="R31" s="149"/>
      <c r="S31" s="149"/>
      <c r="T31" s="149"/>
      <c r="U31" s="149"/>
      <c r="V31" s="149"/>
      <c r="W31" s="149"/>
      <c r="X31" s="149"/>
      <c r="Y31" s="149"/>
      <c r="Z31" s="149"/>
    </row>
    <row r="32" ht="11.25" customHeight="1">
      <c r="A32" s="180" t="s">
        <v>541</v>
      </c>
      <c r="B32" s="181"/>
      <c r="C32" s="181"/>
      <c r="D32" s="181"/>
      <c r="E32" s="181"/>
      <c r="F32" s="181"/>
      <c r="G32" s="181"/>
      <c r="H32" s="153"/>
      <c r="I32" s="153"/>
      <c r="J32" s="153"/>
      <c r="K32" s="153"/>
      <c r="L32" s="153"/>
      <c r="M32" s="153"/>
      <c r="N32" s="153"/>
      <c r="O32" s="153"/>
      <c r="P32" s="149"/>
      <c r="Q32" s="149"/>
      <c r="R32" s="149"/>
      <c r="S32" s="149"/>
      <c r="T32" s="149"/>
      <c r="U32" s="149"/>
      <c r="V32" s="149"/>
      <c r="W32" s="149"/>
      <c r="X32" s="149"/>
      <c r="Y32" s="149"/>
      <c r="Z32" s="149"/>
    </row>
    <row r="33" ht="11.25" customHeight="1">
      <c r="A33" s="153"/>
      <c r="B33" s="153"/>
      <c r="C33" s="153"/>
      <c r="D33" s="153"/>
      <c r="E33" s="153"/>
      <c r="F33" s="151"/>
      <c r="G33" s="153"/>
      <c r="H33" s="153"/>
      <c r="I33" s="153"/>
      <c r="J33" s="153"/>
      <c r="K33" s="153"/>
      <c r="L33" s="153"/>
      <c r="M33" s="153"/>
      <c r="N33" s="153"/>
      <c r="O33" s="153"/>
      <c r="P33" s="153"/>
      <c r="Q33" s="153"/>
      <c r="R33" s="153"/>
      <c r="S33" s="153"/>
      <c r="T33" s="153"/>
      <c r="U33" s="153"/>
      <c r="V33" s="153"/>
      <c r="W33" s="153"/>
      <c r="X33" s="153"/>
      <c r="Y33" s="153"/>
      <c r="Z33" s="153"/>
    </row>
    <row r="34" ht="11.25" customHeight="1">
      <c r="A34" s="153"/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</row>
    <row r="35" ht="11.25" customHeight="1">
      <c r="A35" s="153"/>
      <c r="B35" s="15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M35" s="153"/>
      <c r="N35" s="153"/>
      <c r="O35" s="153"/>
      <c r="P35" s="153"/>
      <c r="Q35" s="153"/>
      <c r="R35" s="153"/>
      <c r="S35" s="153"/>
      <c r="T35" s="153"/>
      <c r="U35" s="153"/>
      <c r="V35" s="153"/>
      <c r="W35" s="153"/>
      <c r="X35" s="153"/>
      <c r="Y35" s="153"/>
      <c r="Z35" s="153"/>
    </row>
    <row r="36" ht="11.25" customHeight="1">
      <c r="A36" s="153"/>
      <c r="B36" s="153"/>
      <c r="C36" s="153"/>
      <c r="D36" s="153"/>
      <c r="E36" s="153"/>
      <c r="F36" s="153"/>
      <c r="G36" s="153"/>
      <c r="H36" s="153"/>
      <c r="I36" s="153"/>
      <c r="J36" s="153"/>
      <c r="K36" s="153"/>
      <c r="L36" s="153"/>
      <c r="M36" s="153"/>
      <c r="N36" s="153"/>
      <c r="O36" s="153"/>
      <c r="P36" s="153"/>
      <c r="Q36" s="153"/>
      <c r="R36" s="153"/>
      <c r="S36" s="153"/>
      <c r="T36" s="153"/>
      <c r="U36" s="153"/>
      <c r="V36" s="153"/>
      <c r="W36" s="153"/>
      <c r="X36" s="153"/>
      <c r="Y36" s="153"/>
      <c r="Z36" s="153"/>
    </row>
    <row r="37" ht="11.25" customHeight="1">
      <c r="A37" s="153"/>
      <c r="B37" s="153"/>
      <c r="C37" s="153"/>
      <c r="D37" s="153"/>
      <c r="E37" s="153"/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</row>
    <row r="38" ht="11.25" customHeight="1">
      <c r="A38" s="153"/>
      <c r="B38" s="153"/>
      <c r="C38" s="153"/>
      <c r="D38" s="153"/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</row>
    <row r="39" ht="11.25" customHeight="1">
      <c r="A39" s="153"/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3"/>
      <c r="N39" s="153"/>
      <c r="O39" s="153"/>
      <c r="P39" s="153"/>
      <c r="Q39" s="153"/>
      <c r="R39" s="153"/>
      <c r="S39" s="153"/>
      <c r="T39" s="153"/>
      <c r="U39" s="153"/>
      <c r="V39" s="153"/>
      <c r="W39" s="153"/>
      <c r="X39" s="153"/>
      <c r="Y39" s="153"/>
      <c r="Z39" s="153"/>
    </row>
    <row r="40" ht="11.25" customHeight="1">
      <c r="A40" s="153"/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</row>
    <row r="41" ht="11.25" customHeight="1">
      <c r="A41" s="149"/>
      <c r="B41" s="149"/>
      <c r="C41" s="149"/>
      <c r="D41" s="149"/>
      <c r="E41" s="149"/>
      <c r="F41" s="149"/>
      <c r="G41" s="149"/>
      <c r="H41" s="153"/>
      <c r="I41" s="153"/>
      <c r="J41" s="153"/>
      <c r="K41" s="153"/>
      <c r="L41" s="153"/>
      <c r="M41" s="153"/>
      <c r="N41" s="153"/>
      <c r="O41" s="153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</row>
    <row r="42" ht="11.25" customHeight="1">
      <c r="A42" s="149"/>
      <c r="B42" s="149"/>
      <c r="C42" s="149"/>
      <c r="D42" s="149"/>
      <c r="E42" s="149"/>
      <c r="F42" s="149"/>
      <c r="G42" s="149"/>
      <c r="H42" s="153"/>
      <c r="I42" s="153"/>
      <c r="J42" s="153"/>
      <c r="K42" s="153"/>
      <c r="L42" s="153"/>
      <c r="M42" s="153"/>
      <c r="N42" s="153"/>
      <c r="O42" s="153"/>
      <c r="P42" s="149"/>
      <c r="Q42" s="149"/>
      <c r="R42" s="149"/>
      <c r="S42" s="149"/>
      <c r="T42" s="149"/>
      <c r="U42" s="149"/>
      <c r="V42" s="149"/>
      <c r="W42" s="149"/>
      <c r="X42" s="149"/>
      <c r="Y42" s="149"/>
      <c r="Z42" s="149"/>
    </row>
    <row r="43" ht="11.25" customHeight="1">
      <c r="A43" s="149"/>
      <c r="B43" s="149"/>
      <c r="C43" s="149"/>
      <c r="D43" s="149"/>
      <c r="E43" s="149"/>
      <c r="F43" s="149"/>
      <c r="G43" s="149"/>
      <c r="H43" s="153"/>
      <c r="I43" s="153"/>
      <c r="J43" s="153"/>
      <c r="K43" s="153"/>
      <c r="L43" s="153"/>
      <c r="M43" s="153"/>
      <c r="N43" s="153"/>
      <c r="O43" s="153"/>
      <c r="P43" s="149"/>
      <c r="Q43" s="149"/>
      <c r="R43" s="149"/>
      <c r="S43" s="149"/>
      <c r="T43" s="149"/>
      <c r="U43" s="149"/>
      <c r="V43" s="149"/>
      <c r="W43" s="149"/>
      <c r="X43" s="149"/>
      <c r="Y43" s="149"/>
      <c r="Z43" s="149"/>
    </row>
    <row r="44" ht="11.25" customHeight="1">
      <c r="A44" s="149"/>
      <c r="B44" s="149"/>
      <c r="C44" s="149"/>
      <c r="D44" s="149"/>
      <c r="E44" s="149"/>
      <c r="F44" s="149"/>
      <c r="G44" s="149"/>
      <c r="H44" s="153"/>
      <c r="I44" s="153"/>
      <c r="J44" s="153"/>
      <c r="K44" s="153"/>
      <c r="L44" s="153"/>
      <c r="M44" s="153"/>
      <c r="N44" s="153"/>
      <c r="O44" s="153"/>
      <c r="P44" s="149"/>
      <c r="Q44" s="149"/>
      <c r="R44" s="149"/>
      <c r="S44" s="149"/>
      <c r="T44" s="149"/>
      <c r="U44" s="149"/>
      <c r="V44" s="149"/>
      <c r="W44" s="149"/>
      <c r="X44" s="149"/>
      <c r="Y44" s="149"/>
      <c r="Z44" s="149"/>
    </row>
    <row r="45" ht="11.25" customHeight="1">
      <c r="A45" s="149"/>
      <c r="B45" s="149"/>
      <c r="C45" s="149"/>
      <c r="D45" s="149"/>
      <c r="E45" s="149"/>
      <c r="F45" s="149"/>
      <c r="G45" s="149"/>
      <c r="H45" s="153"/>
      <c r="I45" s="153"/>
      <c r="J45" s="153"/>
      <c r="K45" s="153"/>
      <c r="L45" s="153"/>
      <c r="M45" s="153"/>
      <c r="N45" s="153"/>
      <c r="O45" s="153"/>
      <c r="P45" s="149"/>
      <c r="Q45" s="149"/>
      <c r="R45" s="149"/>
      <c r="S45" s="149"/>
      <c r="T45" s="149"/>
      <c r="U45" s="149"/>
      <c r="V45" s="149"/>
      <c r="W45" s="149"/>
      <c r="X45" s="149"/>
      <c r="Y45" s="149"/>
      <c r="Z45" s="149"/>
    </row>
    <row r="46" ht="11.25" customHeight="1">
      <c r="A46" s="149"/>
      <c r="B46" s="149"/>
      <c r="C46" s="149"/>
      <c r="D46" s="149"/>
      <c r="E46" s="149"/>
      <c r="F46" s="149"/>
      <c r="G46" s="149"/>
      <c r="H46" s="153"/>
      <c r="I46" s="153"/>
      <c r="J46" s="153"/>
      <c r="K46" s="153"/>
      <c r="L46" s="153"/>
      <c r="M46" s="153"/>
      <c r="N46" s="153"/>
      <c r="O46" s="153"/>
      <c r="P46" s="149"/>
      <c r="Q46" s="149"/>
      <c r="R46" s="149"/>
      <c r="S46" s="149"/>
      <c r="T46" s="149"/>
      <c r="U46" s="149"/>
      <c r="V46" s="149"/>
      <c r="W46" s="149"/>
      <c r="X46" s="149"/>
      <c r="Y46" s="149"/>
      <c r="Z46" s="149"/>
    </row>
    <row r="47" ht="11.25" customHeight="1">
      <c r="A47" s="149"/>
      <c r="B47" s="149"/>
      <c r="C47" s="149"/>
      <c r="D47" s="149"/>
      <c r="E47" s="149"/>
      <c r="F47" s="149"/>
      <c r="G47" s="149"/>
      <c r="H47" s="153"/>
      <c r="I47" s="153"/>
      <c r="J47" s="153"/>
      <c r="K47" s="153"/>
      <c r="L47" s="153"/>
      <c r="M47" s="153"/>
      <c r="N47" s="153"/>
      <c r="O47" s="153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</row>
    <row r="48" ht="11.25" customHeight="1">
      <c r="A48" s="149"/>
      <c r="B48" s="149"/>
      <c r="C48" s="149"/>
      <c r="D48" s="149"/>
      <c r="E48" s="149"/>
      <c r="F48" s="149"/>
      <c r="G48" s="149"/>
      <c r="H48" s="153"/>
      <c r="I48" s="153"/>
      <c r="J48" s="153"/>
      <c r="K48" s="153"/>
      <c r="L48" s="153"/>
      <c r="M48" s="153"/>
      <c r="N48" s="153"/>
      <c r="O48" s="153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</row>
    <row r="49" ht="11.25" customHeight="1">
      <c r="A49" s="149"/>
      <c r="B49" s="149"/>
      <c r="C49" s="149"/>
      <c r="D49" s="149"/>
      <c r="E49" s="149"/>
      <c r="F49" s="149"/>
      <c r="G49" s="149"/>
      <c r="H49" s="153"/>
      <c r="I49" s="153"/>
      <c r="J49" s="153"/>
      <c r="K49" s="153"/>
      <c r="L49" s="153"/>
      <c r="M49" s="153"/>
      <c r="N49" s="153"/>
      <c r="O49" s="153"/>
      <c r="P49" s="149"/>
      <c r="Q49" s="149"/>
      <c r="R49" s="149"/>
      <c r="S49" s="149"/>
      <c r="T49" s="149"/>
      <c r="U49" s="149"/>
      <c r="V49" s="149"/>
      <c r="W49" s="149"/>
      <c r="X49" s="149"/>
      <c r="Y49" s="149"/>
      <c r="Z49" s="149"/>
    </row>
    <row r="50" ht="11.25" customHeight="1">
      <c r="A50" s="149"/>
      <c r="B50" s="149"/>
      <c r="C50" s="149"/>
      <c r="D50" s="149"/>
      <c r="E50" s="149"/>
      <c r="F50" s="149"/>
      <c r="G50" s="149"/>
      <c r="H50" s="153"/>
      <c r="I50" s="153"/>
      <c r="J50" s="153"/>
      <c r="K50" s="153"/>
      <c r="L50" s="153"/>
      <c r="M50" s="153"/>
      <c r="N50" s="153"/>
      <c r="O50" s="153"/>
      <c r="P50" s="149"/>
      <c r="Q50" s="149"/>
      <c r="R50" s="149"/>
      <c r="S50" s="149"/>
      <c r="T50" s="149"/>
      <c r="U50" s="149"/>
      <c r="V50" s="149"/>
      <c r="W50" s="149"/>
      <c r="X50" s="149"/>
      <c r="Y50" s="149"/>
      <c r="Z50" s="149"/>
    </row>
    <row r="51" ht="11.25" customHeight="1">
      <c r="A51" s="149"/>
      <c r="B51" s="149"/>
      <c r="C51" s="149"/>
      <c r="D51" s="149"/>
      <c r="E51" s="149"/>
      <c r="F51" s="149"/>
      <c r="G51" s="149"/>
      <c r="H51" s="153"/>
      <c r="I51" s="153"/>
      <c r="J51" s="153"/>
      <c r="K51" s="153"/>
      <c r="L51" s="153"/>
      <c r="M51" s="153"/>
      <c r="N51" s="153"/>
      <c r="O51" s="153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</row>
    <row r="52" ht="11.25" customHeight="1">
      <c r="A52" s="149"/>
      <c r="B52" s="149"/>
      <c r="C52" s="149"/>
      <c r="D52" s="149"/>
      <c r="E52" s="149"/>
      <c r="F52" s="149"/>
      <c r="G52" s="149"/>
      <c r="H52" s="153"/>
      <c r="I52" s="153"/>
      <c r="J52" s="153"/>
      <c r="K52" s="153"/>
      <c r="L52" s="153"/>
      <c r="M52" s="153"/>
      <c r="N52" s="153"/>
      <c r="O52" s="153"/>
      <c r="P52" s="149"/>
      <c r="Q52" s="149"/>
      <c r="R52" s="149"/>
      <c r="S52" s="149"/>
      <c r="T52" s="149"/>
      <c r="U52" s="149"/>
      <c r="V52" s="149"/>
      <c r="W52" s="149"/>
      <c r="X52" s="149"/>
      <c r="Y52" s="149"/>
      <c r="Z52" s="149"/>
    </row>
    <row r="53" ht="11.25" customHeight="1">
      <c r="A53" s="149"/>
      <c r="B53" s="149"/>
      <c r="C53" s="149"/>
      <c r="D53" s="149"/>
      <c r="E53" s="149"/>
      <c r="F53" s="149"/>
      <c r="G53" s="149"/>
      <c r="H53" s="153"/>
      <c r="I53" s="153"/>
      <c r="J53" s="153"/>
      <c r="K53" s="153"/>
      <c r="L53" s="153"/>
      <c r="M53" s="153"/>
      <c r="N53" s="153"/>
      <c r="O53" s="153"/>
      <c r="P53" s="149"/>
      <c r="Q53" s="149"/>
      <c r="R53" s="149"/>
      <c r="S53" s="149"/>
      <c r="T53" s="149"/>
      <c r="U53" s="149"/>
      <c r="V53" s="149"/>
      <c r="W53" s="149"/>
      <c r="X53" s="149"/>
      <c r="Y53" s="149"/>
      <c r="Z53" s="149"/>
    </row>
    <row r="54" ht="11.25" customHeight="1">
      <c r="A54" s="149"/>
      <c r="B54" s="149"/>
      <c r="C54" s="149"/>
      <c r="D54" s="149"/>
      <c r="E54" s="149"/>
      <c r="F54" s="149"/>
      <c r="G54" s="149"/>
      <c r="H54" s="153"/>
      <c r="I54" s="153"/>
      <c r="J54" s="153"/>
      <c r="K54" s="153"/>
      <c r="L54" s="153"/>
      <c r="M54" s="153"/>
      <c r="N54" s="153"/>
      <c r="O54" s="153"/>
      <c r="P54" s="149"/>
      <c r="Q54" s="149"/>
      <c r="R54" s="149"/>
      <c r="S54" s="149"/>
      <c r="T54" s="149"/>
      <c r="U54" s="149"/>
      <c r="V54" s="149"/>
      <c r="W54" s="149"/>
      <c r="X54" s="149"/>
      <c r="Y54" s="149"/>
      <c r="Z54" s="149"/>
    </row>
    <row r="55" ht="11.25" customHeight="1">
      <c r="A55" s="149"/>
      <c r="B55" s="149"/>
      <c r="C55" s="149"/>
      <c r="D55" s="149"/>
      <c r="E55" s="149"/>
      <c r="F55" s="149"/>
      <c r="G55" s="149"/>
      <c r="H55" s="153"/>
      <c r="I55" s="153"/>
      <c r="J55" s="153"/>
      <c r="K55" s="153"/>
      <c r="L55" s="153"/>
      <c r="M55" s="153"/>
      <c r="N55" s="153"/>
      <c r="O55" s="153"/>
      <c r="P55" s="149"/>
      <c r="Q55" s="149"/>
      <c r="R55" s="149"/>
      <c r="S55" s="149"/>
      <c r="T55" s="149"/>
      <c r="U55" s="149"/>
      <c r="V55" s="149"/>
      <c r="W55" s="149"/>
      <c r="X55" s="149"/>
      <c r="Y55" s="149"/>
      <c r="Z55" s="149"/>
    </row>
    <row r="56" ht="11.25" customHeight="1">
      <c r="A56" s="149"/>
      <c r="B56" s="149"/>
      <c r="C56" s="149"/>
      <c r="D56" s="149"/>
      <c r="E56" s="149"/>
      <c r="F56" s="149"/>
      <c r="G56" s="149"/>
      <c r="H56" s="153"/>
      <c r="I56" s="153"/>
      <c r="J56" s="153"/>
      <c r="K56" s="153"/>
      <c r="L56" s="153"/>
      <c r="M56" s="153"/>
      <c r="N56" s="153"/>
      <c r="O56" s="153"/>
      <c r="P56" s="149"/>
      <c r="Q56" s="149"/>
      <c r="R56" s="149"/>
      <c r="S56" s="149"/>
      <c r="T56" s="149"/>
      <c r="U56" s="149"/>
      <c r="V56" s="149"/>
      <c r="W56" s="149"/>
      <c r="X56" s="149"/>
      <c r="Y56" s="149"/>
      <c r="Z56" s="149"/>
    </row>
    <row r="57" ht="11.25" customHeight="1">
      <c r="A57" s="149"/>
      <c r="B57" s="149"/>
      <c r="C57" s="149"/>
      <c r="D57" s="149"/>
      <c r="E57" s="149"/>
      <c r="F57" s="149"/>
      <c r="G57" s="149"/>
      <c r="H57" s="153"/>
      <c r="I57" s="153"/>
      <c r="J57" s="153"/>
      <c r="K57" s="153"/>
      <c r="L57" s="153"/>
      <c r="M57" s="153"/>
      <c r="N57" s="153"/>
      <c r="O57" s="153"/>
      <c r="P57" s="149"/>
      <c r="Q57" s="149"/>
      <c r="R57" s="149"/>
      <c r="S57" s="149"/>
      <c r="T57" s="149"/>
      <c r="U57" s="149"/>
      <c r="V57" s="149"/>
      <c r="W57" s="149"/>
      <c r="X57" s="149"/>
      <c r="Y57" s="149"/>
      <c r="Z57" s="149"/>
    </row>
    <row r="58" ht="11.25" customHeight="1">
      <c r="A58" s="149"/>
      <c r="B58" s="149"/>
      <c r="C58" s="149"/>
      <c r="D58" s="149"/>
      <c r="E58" s="149"/>
      <c r="F58" s="149"/>
      <c r="G58" s="149"/>
      <c r="H58" s="153"/>
      <c r="I58" s="153"/>
      <c r="J58" s="153"/>
      <c r="K58" s="153"/>
      <c r="L58" s="153"/>
      <c r="M58" s="153"/>
      <c r="N58" s="153"/>
      <c r="O58" s="153"/>
      <c r="P58" s="149"/>
      <c r="Q58" s="149"/>
      <c r="R58" s="149"/>
      <c r="S58" s="149"/>
      <c r="T58" s="149"/>
      <c r="U58" s="149"/>
      <c r="V58" s="149"/>
      <c r="W58" s="149"/>
      <c r="X58" s="149"/>
      <c r="Y58" s="149"/>
      <c r="Z58" s="149"/>
    </row>
    <row r="59" ht="11.25" customHeight="1">
      <c r="A59" s="149"/>
      <c r="B59" s="149"/>
      <c r="C59" s="149"/>
      <c r="D59" s="149"/>
      <c r="E59" s="149"/>
      <c r="F59" s="149"/>
      <c r="G59" s="149"/>
      <c r="H59" s="153"/>
      <c r="I59" s="153"/>
      <c r="J59" s="153"/>
      <c r="K59" s="153"/>
      <c r="L59" s="153"/>
      <c r="M59" s="153"/>
      <c r="N59" s="153"/>
      <c r="O59" s="153"/>
      <c r="P59" s="149"/>
      <c r="Q59" s="149"/>
      <c r="R59" s="149"/>
      <c r="S59" s="149"/>
      <c r="T59" s="149"/>
      <c r="U59" s="149"/>
      <c r="V59" s="149"/>
      <c r="W59" s="149"/>
      <c r="X59" s="149"/>
      <c r="Y59" s="149"/>
      <c r="Z59" s="149"/>
    </row>
    <row r="60" ht="11.25" customHeight="1">
      <c r="A60" s="149"/>
      <c r="B60" s="149"/>
      <c r="C60" s="149"/>
      <c r="D60" s="149"/>
      <c r="E60" s="149"/>
      <c r="F60" s="149"/>
      <c r="G60" s="149"/>
      <c r="H60" s="153"/>
      <c r="I60" s="153"/>
      <c r="J60" s="153"/>
      <c r="K60" s="153"/>
      <c r="L60" s="153"/>
      <c r="M60" s="153"/>
      <c r="N60" s="153"/>
      <c r="O60" s="153"/>
      <c r="P60" s="149"/>
      <c r="Q60" s="149"/>
      <c r="R60" s="149"/>
      <c r="S60" s="149"/>
      <c r="T60" s="149"/>
      <c r="U60" s="149"/>
      <c r="V60" s="149"/>
      <c r="W60" s="149"/>
      <c r="X60" s="149"/>
      <c r="Y60" s="149"/>
      <c r="Z60" s="149"/>
    </row>
    <row r="61" ht="11.25" customHeight="1">
      <c r="A61" s="149"/>
      <c r="B61" s="149"/>
      <c r="C61" s="149"/>
      <c r="D61" s="149"/>
      <c r="E61" s="149"/>
      <c r="F61" s="149"/>
      <c r="G61" s="149"/>
      <c r="H61" s="153"/>
      <c r="I61" s="153"/>
      <c r="J61" s="153"/>
      <c r="K61" s="153"/>
      <c r="L61" s="153"/>
      <c r="M61" s="153"/>
      <c r="N61" s="153"/>
      <c r="O61" s="153"/>
      <c r="P61" s="149"/>
      <c r="Q61" s="149"/>
      <c r="R61" s="149"/>
      <c r="S61" s="149"/>
      <c r="T61" s="149"/>
      <c r="U61" s="149"/>
      <c r="V61" s="149"/>
      <c r="W61" s="149"/>
      <c r="X61" s="149"/>
      <c r="Y61" s="149"/>
      <c r="Z61" s="149"/>
    </row>
    <row r="62" ht="11.25" customHeight="1">
      <c r="A62" s="149"/>
      <c r="B62" s="149"/>
      <c r="C62" s="149"/>
      <c r="D62" s="149"/>
      <c r="E62" s="149"/>
      <c r="F62" s="149"/>
      <c r="G62" s="149"/>
      <c r="H62" s="153"/>
      <c r="I62" s="153"/>
      <c r="J62" s="153"/>
      <c r="K62" s="153"/>
      <c r="L62" s="153"/>
      <c r="M62" s="153"/>
      <c r="N62" s="153"/>
      <c r="O62" s="153"/>
      <c r="P62" s="149"/>
      <c r="Q62" s="149"/>
      <c r="R62" s="149"/>
      <c r="S62" s="149"/>
      <c r="T62" s="149"/>
      <c r="U62" s="149"/>
      <c r="V62" s="149"/>
      <c r="W62" s="149"/>
      <c r="X62" s="149"/>
      <c r="Y62" s="149"/>
      <c r="Z62" s="149"/>
    </row>
    <row r="63" ht="11.25" customHeight="1">
      <c r="A63" s="149"/>
      <c r="B63" s="149"/>
      <c r="C63" s="149"/>
      <c r="D63" s="149"/>
      <c r="E63" s="149"/>
      <c r="F63" s="149"/>
      <c r="G63" s="149"/>
      <c r="H63" s="153"/>
      <c r="I63" s="153"/>
      <c r="J63" s="153"/>
      <c r="K63" s="153"/>
      <c r="L63" s="153"/>
      <c r="M63" s="153"/>
      <c r="N63" s="153"/>
      <c r="O63" s="153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</row>
    <row r="64" ht="11.25" customHeight="1">
      <c r="A64" s="149"/>
      <c r="B64" s="149"/>
      <c r="C64" s="149"/>
      <c r="D64" s="149"/>
      <c r="E64" s="149"/>
      <c r="F64" s="149"/>
      <c r="G64" s="149"/>
      <c r="H64" s="153"/>
      <c r="I64" s="153"/>
      <c r="J64" s="153"/>
      <c r="K64" s="153"/>
      <c r="L64" s="153"/>
      <c r="M64" s="153"/>
      <c r="N64" s="153"/>
      <c r="O64" s="153"/>
      <c r="P64" s="149"/>
      <c r="Q64" s="149"/>
      <c r="R64" s="149"/>
      <c r="S64" s="149"/>
      <c r="T64" s="149"/>
      <c r="U64" s="149"/>
      <c r="V64" s="149"/>
      <c r="W64" s="149"/>
      <c r="X64" s="149"/>
      <c r="Y64" s="149"/>
      <c r="Z64" s="149"/>
    </row>
    <row r="65" ht="11.25" customHeight="1">
      <c r="A65" s="149"/>
      <c r="B65" s="149"/>
      <c r="C65" s="149"/>
      <c r="D65" s="149"/>
      <c r="E65" s="149"/>
      <c r="F65" s="149"/>
      <c r="G65" s="149"/>
      <c r="H65" s="153"/>
      <c r="I65" s="153"/>
      <c r="J65" s="153"/>
      <c r="K65" s="153"/>
      <c r="L65" s="153"/>
      <c r="M65" s="153"/>
      <c r="N65" s="153"/>
      <c r="O65" s="153"/>
      <c r="P65" s="149"/>
      <c r="Q65" s="149"/>
      <c r="R65" s="149"/>
      <c r="S65" s="149"/>
      <c r="T65" s="149"/>
      <c r="U65" s="149"/>
      <c r="V65" s="149"/>
      <c r="W65" s="149"/>
      <c r="X65" s="149"/>
      <c r="Y65" s="149"/>
      <c r="Z65" s="149"/>
    </row>
    <row r="66" ht="11.25" customHeight="1">
      <c r="A66" s="149"/>
      <c r="B66" s="149"/>
      <c r="C66" s="149"/>
      <c r="D66" s="149"/>
      <c r="E66" s="149"/>
      <c r="F66" s="149"/>
      <c r="G66" s="149"/>
      <c r="H66" s="153"/>
      <c r="I66" s="153"/>
      <c r="J66" s="153"/>
      <c r="K66" s="153"/>
      <c r="L66" s="153"/>
      <c r="M66" s="153"/>
      <c r="N66" s="153"/>
      <c r="O66" s="153"/>
      <c r="P66" s="149"/>
      <c r="Q66" s="149"/>
      <c r="R66" s="149"/>
      <c r="S66" s="149"/>
      <c r="T66" s="149"/>
      <c r="U66" s="149"/>
      <c r="V66" s="149"/>
      <c r="W66" s="149"/>
      <c r="X66" s="149"/>
      <c r="Y66" s="149"/>
      <c r="Z66" s="149"/>
    </row>
    <row r="67" ht="11.25" customHeight="1">
      <c r="A67" s="149"/>
      <c r="B67" s="149"/>
      <c r="C67" s="149"/>
      <c r="D67" s="149"/>
      <c r="E67" s="149"/>
      <c r="F67" s="149"/>
      <c r="G67" s="149"/>
      <c r="H67" s="153"/>
      <c r="I67" s="153"/>
      <c r="J67" s="153"/>
      <c r="K67" s="153"/>
      <c r="L67" s="153"/>
      <c r="M67" s="153"/>
      <c r="N67" s="153"/>
      <c r="O67" s="153"/>
      <c r="P67" s="149"/>
      <c r="Q67" s="149"/>
      <c r="R67" s="149"/>
      <c r="S67" s="149"/>
      <c r="T67" s="149"/>
      <c r="U67" s="149"/>
      <c r="V67" s="149"/>
      <c r="W67" s="149"/>
      <c r="X67" s="149"/>
      <c r="Y67" s="149"/>
      <c r="Z67" s="149"/>
    </row>
    <row r="68" ht="11.25" customHeight="1">
      <c r="A68" s="149"/>
      <c r="B68" s="149"/>
      <c r="C68" s="149"/>
      <c r="D68" s="149"/>
      <c r="E68" s="149"/>
      <c r="F68" s="149"/>
      <c r="G68" s="149"/>
      <c r="H68" s="153"/>
      <c r="I68" s="153"/>
      <c r="J68" s="153"/>
      <c r="K68" s="153"/>
      <c r="L68" s="153"/>
      <c r="M68" s="153"/>
      <c r="N68" s="153"/>
      <c r="O68" s="153"/>
      <c r="P68" s="149"/>
      <c r="Q68" s="149"/>
      <c r="R68" s="149"/>
      <c r="S68" s="149"/>
      <c r="T68" s="149"/>
      <c r="U68" s="149"/>
      <c r="V68" s="149"/>
      <c r="W68" s="149"/>
      <c r="X68" s="149"/>
      <c r="Y68" s="149"/>
      <c r="Z68" s="149"/>
    </row>
    <row r="69" ht="11.25" customHeight="1">
      <c r="A69" s="149"/>
      <c r="B69" s="149"/>
      <c r="C69" s="149"/>
      <c r="D69" s="149"/>
      <c r="E69" s="149"/>
      <c r="F69" s="149"/>
      <c r="G69" s="149"/>
      <c r="H69" s="153"/>
      <c r="I69" s="153"/>
      <c r="J69" s="153"/>
      <c r="K69" s="153"/>
      <c r="L69" s="153"/>
      <c r="M69" s="153"/>
      <c r="N69" s="153"/>
      <c r="O69" s="153"/>
      <c r="P69" s="149"/>
      <c r="Q69" s="149"/>
      <c r="R69" s="149"/>
      <c r="S69" s="149"/>
      <c r="T69" s="149"/>
      <c r="U69" s="149"/>
      <c r="V69" s="149"/>
      <c r="W69" s="149"/>
      <c r="X69" s="149"/>
      <c r="Y69" s="149"/>
      <c r="Z69" s="149"/>
    </row>
    <row r="70" ht="11.25" customHeight="1">
      <c r="A70" s="149"/>
      <c r="B70" s="149"/>
      <c r="C70" s="149"/>
      <c r="D70" s="149"/>
      <c r="E70" s="149"/>
      <c r="F70" s="149"/>
      <c r="G70" s="149"/>
      <c r="H70" s="153"/>
      <c r="I70" s="153"/>
      <c r="J70" s="153"/>
      <c r="K70" s="153"/>
      <c r="L70" s="153"/>
      <c r="M70" s="153"/>
      <c r="N70" s="153"/>
      <c r="O70" s="153"/>
      <c r="P70" s="149"/>
      <c r="Q70" s="149"/>
      <c r="R70" s="149"/>
      <c r="S70" s="149"/>
      <c r="T70" s="149"/>
      <c r="U70" s="149"/>
      <c r="V70" s="149"/>
      <c r="W70" s="149"/>
      <c r="X70" s="149"/>
      <c r="Y70" s="149"/>
      <c r="Z70" s="149"/>
    </row>
    <row r="71" ht="11.25" customHeight="1">
      <c r="A71" s="149"/>
      <c r="B71" s="149"/>
      <c r="C71" s="149"/>
      <c r="D71" s="149"/>
      <c r="E71" s="149"/>
      <c r="F71" s="149"/>
      <c r="G71" s="149"/>
      <c r="H71" s="153"/>
      <c r="I71" s="153"/>
      <c r="J71" s="153"/>
      <c r="K71" s="153"/>
      <c r="L71" s="153"/>
      <c r="M71" s="153"/>
      <c r="N71" s="153"/>
      <c r="O71" s="153"/>
      <c r="P71" s="149"/>
      <c r="Q71" s="149"/>
      <c r="R71" s="149"/>
      <c r="S71" s="149"/>
      <c r="T71" s="149"/>
      <c r="U71" s="149"/>
      <c r="V71" s="149"/>
      <c r="W71" s="149"/>
      <c r="X71" s="149"/>
      <c r="Y71" s="149"/>
      <c r="Z71" s="149"/>
    </row>
    <row r="72" ht="11.25" customHeight="1">
      <c r="A72" s="149"/>
      <c r="B72" s="149"/>
      <c r="C72" s="149"/>
      <c r="D72" s="149"/>
      <c r="E72" s="149"/>
      <c r="F72" s="149"/>
      <c r="G72" s="149"/>
      <c r="H72" s="153"/>
      <c r="I72" s="153"/>
      <c r="J72" s="153"/>
      <c r="K72" s="153"/>
      <c r="L72" s="153"/>
      <c r="M72" s="153"/>
      <c r="N72" s="153"/>
      <c r="O72" s="153"/>
      <c r="P72" s="149"/>
      <c r="Q72" s="149"/>
      <c r="R72" s="149"/>
      <c r="S72" s="149"/>
      <c r="T72" s="149"/>
      <c r="U72" s="149"/>
      <c r="V72" s="149"/>
      <c r="W72" s="149"/>
      <c r="X72" s="149"/>
      <c r="Y72" s="149"/>
      <c r="Z72" s="149"/>
    </row>
    <row r="73" ht="11.25" customHeight="1">
      <c r="A73" s="149"/>
      <c r="B73" s="149"/>
      <c r="C73" s="149"/>
      <c r="D73" s="149"/>
      <c r="E73" s="149"/>
      <c r="F73" s="149"/>
      <c r="G73" s="149"/>
      <c r="H73" s="153"/>
      <c r="I73" s="153"/>
      <c r="J73" s="153"/>
      <c r="K73" s="153"/>
      <c r="L73" s="153"/>
      <c r="M73" s="153"/>
      <c r="N73" s="153"/>
      <c r="O73" s="153"/>
      <c r="P73" s="149"/>
      <c r="Q73" s="149"/>
      <c r="R73" s="149"/>
      <c r="S73" s="149"/>
      <c r="T73" s="149"/>
      <c r="U73" s="149"/>
      <c r="V73" s="149"/>
      <c r="W73" s="149"/>
      <c r="X73" s="149"/>
      <c r="Y73" s="149"/>
      <c r="Z73" s="149"/>
    </row>
    <row r="74" ht="11.25" customHeight="1">
      <c r="A74" s="149"/>
      <c r="B74" s="149"/>
      <c r="C74" s="149"/>
      <c r="D74" s="149"/>
      <c r="E74" s="149"/>
      <c r="F74" s="149"/>
      <c r="G74" s="149"/>
      <c r="H74" s="153"/>
      <c r="I74" s="153"/>
      <c r="J74" s="153"/>
      <c r="K74" s="153"/>
      <c r="L74" s="153"/>
      <c r="M74" s="153"/>
      <c r="N74" s="153"/>
      <c r="O74" s="153"/>
      <c r="P74" s="149"/>
      <c r="Q74" s="149"/>
      <c r="R74" s="149"/>
      <c r="S74" s="149"/>
      <c r="T74" s="149"/>
      <c r="U74" s="149"/>
      <c r="V74" s="149"/>
      <c r="W74" s="149"/>
      <c r="X74" s="149"/>
      <c r="Y74" s="149"/>
      <c r="Z74" s="149"/>
    </row>
    <row r="75" ht="11.25" customHeight="1">
      <c r="A75" s="149"/>
      <c r="B75" s="149"/>
      <c r="C75" s="149"/>
      <c r="D75" s="149"/>
      <c r="E75" s="149"/>
      <c r="F75" s="149"/>
      <c r="G75" s="149"/>
      <c r="H75" s="153"/>
      <c r="I75" s="153"/>
      <c r="J75" s="153"/>
      <c r="K75" s="153"/>
      <c r="L75" s="153"/>
      <c r="M75" s="153"/>
      <c r="N75" s="153"/>
      <c r="O75" s="153"/>
      <c r="P75" s="149"/>
      <c r="Q75" s="149"/>
      <c r="R75" s="149"/>
      <c r="S75" s="149"/>
      <c r="T75" s="149"/>
      <c r="U75" s="149"/>
      <c r="V75" s="149"/>
      <c r="W75" s="149"/>
      <c r="X75" s="149"/>
      <c r="Y75" s="149"/>
      <c r="Z75" s="149"/>
    </row>
    <row r="76" ht="11.25" customHeight="1">
      <c r="A76" s="149"/>
      <c r="B76" s="149"/>
      <c r="C76" s="149"/>
      <c r="D76" s="149"/>
      <c r="E76" s="149"/>
      <c r="F76" s="149"/>
      <c r="G76" s="149"/>
      <c r="H76" s="153"/>
      <c r="I76" s="153"/>
      <c r="J76" s="153"/>
      <c r="K76" s="153"/>
      <c r="L76" s="153"/>
      <c r="M76" s="153"/>
      <c r="N76" s="153"/>
      <c r="O76" s="153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</row>
    <row r="77" ht="11.25" customHeight="1">
      <c r="A77" s="149"/>
      <c r="B77" s="149"/>
      <c r="C77" s="149"/>
      <c r="D77" s="149"/>
      <c r="E77" s="149"/>
      <c r="F77" s="149"/>
      <c r="G77" s="149"/>
      <c r="H77" s="153"/>
      <c r="I77" s="153"/>
      <c r="J77" s="153"/>
      <c r="K77" s="153"/>
      <c r="L77" s="153"/>
      <c r="M77" s="153"/>
      <c r="N77" s="153"/>
      <c r="O77" s="153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</row>
    <row r="78" ht="11.25" customHeight="1">
      <c r="A78" s="149"/>
      <c r="B78" s="149"/>
      <c r="C78" s="149"/>
      <c r="D78" s="149"/>
      <c r="E78" s="149"/>
      <c r="F78" s="149"/>
      <c r="G78" s="149"/>
      <c r="H78" s="153"/>
      <c r="I78" s="153"/>
      <c r="J78" s="153"/>
      <c r="K78" s="153"/>
      <c r="L78" s="153"/>
      <c r="M78" s="153"/>
      <c r="N78" s="153"/>
      <c r="O78" s="153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</row>
    <row r="79" ht="11.25" customHeight="1">
      <c r="A79" s="149"/>
      <c r="B79" s="149"/>
      <c r="C79" s="149"/>
      <c r="D79" s="149"/>
      <c r="E79" s="149"/>
      <c r="F79" s="149"/>
      <c r="G79" s="149"/>
      <c r="H79" s="153"/>
      <c r="I79" s="153"/>
      <c r="J79" s="153"/>
      <c r="K79" s="153"/>
      <c r="L79" s="153"/>
      <c r="M79" s="153"/>
      <c r="N79" s="153"/>
      <c r="O79" s="153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</row>
    <row r="80" ht="11.25" customHeight="1">
      <c r="A80" s="149"/>
      <c r="B80" s="149"/>
      <c r="C80" s="149"/>
      <c r="D80" s="149"/>
      <c r="E80" s="149"/>
      <c r="F80" s="149"/>
      <c r="G80" s="149"/>
      <c r="H80" s="153"/>
      <c r="I80" s="153"/>
      <c r="J80" s="153"/>
      <c r="K80" s="153"/>
      <c r="L80" s="153"/>
      <c r="M80" s="153"/>
      <c r="N80" s="153"/>
      <c r="O80" s="153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</row>
    <row r="81" ht="11.25" customHeight="1">
      <c r="A81" s="149"/>
      <c r="B81" s="149"/>
      <c r="C81" s="149"/>
      <c r="D81" s="149"/>
      <c r="E81" s="149"/>
      <c r="F81" s="149"/>
      <c r="G81" s="149"/>
      <c r="H81" s="153"/>
      <c r="I81" s="153"/>
      <c r="J81" s="153"/>
      <c r="K81" s="153"/>
      <c r="L81" s="153"/>
      <c r="M81" s="153"/>
      <c r="N81" s="153"/>
      <c r="O81" s="153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</row>
    <row r="82" ht="11.25" customHeight="1">
      <c r="A82" s="149"/>
      <c r="B82" s="149"/>
      <c r="C82" s="149"/>
      <c r="D82" s="149"/>
      <c r="E82" s="149"/>
      <c r="F82" s="149"/>
      <c r="G82" s="149"/>
      <c r="H82" s="153"/>
      <c r="I82" s="153"/>
      <c r="J82" s="153"/>
      <c r="K82" s="153"/>
      <c r="L82" s="153"/>
      <c r="M82" s="153"/>
      <c r="N82" s="153"/>
      <c r="O82" s="153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</row>
    <row r="83" ht="11.25" customHeight="1">
      <c r="A83" s="149"/>
      <c r="B83" s="149"/>
      <c r="C83" s="149"/>
      <c r="D83" s="149"/>
      <c r="E83" s="149"/>
      <c r="F83" s="149"/>
      <c r="G83" s="149"/>
      <c r="H83" s="153"/>
      <c r="I83" s="153"/>
      <c r="J83" s="153"/>
      <c r="K83" s="153"/>
      <c r="L83" s="153"/>
      <c r="M83" s="153"/>
      <c r="N83" s="153"/>
      <c r="O83" s="153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</row>
    <row r="84" ht="11.25" customHeight="1">
      <c r="A84" s="149"/>
      <c r="B84" s="149"/>
      <c r="C84" s="149"/>
      <c r="D84" s="149"/>
      <c r="E84" s="149"/>
      <c r="F84" s="149"/>
      <c r="G84" s="149"/>
      <c r="H84" s="153"/>
      <c r="I84" s="153"/>
      <c r="J84" s="153"/>
      <c r="K84" s="153"/>
      <c r="L84" s="153"/>
      <c r="M84" s="153"/>
      <c r="N84" s="153"/>
      <c r="O84" s="153"/>
      <c r="P84" s="149"/>
      <c r="Q84" s="149"/>
      <c r="R84" s="149"/>
      <c r="S84" s="149"/>
      <c r="T84" s="149"/>
      <c r="U84" s="149"/>
      <c r="V84" s="149"/>
      <c r="W84" s="149"/>
      <c r="X84" s="149"/>
      <c r="Y84" s="149"/>
      <c r="Z84" s="149"/>
    </row>
    <row r="85" ht="11.25" customHeight="1">
      <c r="A85" s="149"/>
      <c r="B85" s="149"/>
      <c r="C85" s="149"/>
      <c r="D85" s="149"/>
      <c r="E85" s="149"/>
      <c r="F85" s="149"/>
      <c r="G85" s="149"/>
      <c r="H85" s="153"/>
      <c r="I85" s="153"/>
      <c r="J85" s="153"/>
      <c r="K85" s="153"/>
      <c r="L85" s="153"/>
      <c r="M85" s="153"/>
      <c r="N85" s="153"/>
      <c r="O85" s="153"/>
      <c r="P85" s="149"/>
      <c r="Q85" s="149"/>
      <c r="R85" s="149"/>
      <c r="S85" s="149"/>
      <c r="T85" s="149"/>
      <c r="U85" s="149"/>
      <c r="V85" s="149"/>
      <c r="W85" s="149"/>
      <c r="X85" s="149"/>
      <c r="Y85" s="149"/>
      <c r="Z85" s="149"/>
    </row>
    <row r="86" ht="11.25" customHeight="1">
      <c r="A86" s="149"/>
      <c r="B86" s="149"/>
      <c r="C86" s="149"/>
      <c r="D86" s="149"/>
      <c r="E86" s="149"/>
      <c r="F86" s="149"/>
      <c r="G86" s="149"/>
      <c r="H86" s="153"/>
      <c r="I86" s="153"/>
      <c r="J86" s="153"/>
      <c r="K86" s="153"/>
      <c r="L86" s="153"/>
      <c r="M86" s="153"/>
      <c r="N86" s="153"/>
      <c r="O86" s="153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</row>
    <row r="87" ht="11.25" customHeight="1">
      <c r="A87" s="149"/>
      <c r="B87" s="149"/>
      <c r="C87" s="149"/>
      <c r="D87" s="149"/>
      <c r="E87" s="149"/>
      <c r="F87" s="149"/>
      <c r="G87" s="149"/>
      <c r="H87" s="153"/>
      <c r="I87" s="153"/>
      <c r="J87" s="153"/>
      <c r="K87" s="153"/>
      <c r="L87" s="153"/>
      <c r="M87" s="153"/>
      <c r="N87" s="153"/>
      <c r="O87" s="153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</row>
    <row r="88" ht="11.25" customHeight="1">
      <c r="A88" s="149"/>
      <c r="B88" s="149"/>
      <c r="C88" s="149"/>
      <c r="D88" s="149"/>
      <c r="E88" s="149"/>
      <c r="F88" s="149"/>
      <c r="G88" s="149"/>
      <c r="H88" s="153"/>
      <c r="I88" s="153"/>
      <c r="J88" s="153"/>
      <c r="K88" s="153"/>
      <c r="L88" s="153"/>
      <c r="M88" s="153"/>
      <c r="N88" s="153"/>
      <c r="O88" s="153"/>
      <c r="P88" s="149"/>
      <c r="Q88" s="149"/>
      <c r="R88" s="149"/>
      <c r="S88" s="149"/>
      <c r="T88" s="149"/>
      <c r="U88" s="149"/>
      <c r="V88" s="149"/>
      <c r="W88" s="149"/>
      <c r="X88" s="149"/>
      <c r="Y88" s="149"/>
      <c r="Z88" s="149"/>
    </row>
    <row r="89" ht="11.25" customHeight="1">
      <c r="A89" s="149"/>
      <c r="B89" s="149"/>
      <c r="C89" s="149"/>
      <c r="D89" s="149"/>
      <c r="E89" s="149"/>
      <c r="F89" s="149"/>
      <c r="G89" s="149"/>
      <c r="H89" s="153"/>
      <c r="I89" s="153"/>
      <c r="J89" s="153"/>
      <c r="K89" s="153"/>
      <c r="L89" s="153"/>
      <c r="M89" s="153"/>
      <c r="N89" s="153"/>
      <c r="O89" s="153"/>
      <c r="P89" s="149"/>
      <c r="Q89" s="149"/>
      <c r="R89" s="149"/>
      <c r="S89" s="149"/>
      <c r="T89" s="149"/>
      <c r="U89" s="149"/>
      <c r="V89" s="149"/>
      <c r="W89" s="149"/>
      <c r="X89" s="149"/>
      <c r="Y89" s="149"/>
      <c r="Z89" s="149"/>
    </row>
    <row r="90" ht="11.25" customHeight="1">
      <c r="A90" s="149"/>
      <c r="B90" s="149"/>
      <c r="C90" s="149"/>
      <c r="D90" s="149"/>
      <c r="E90" s="149"/>
      <c r="F90" s="149"/>
      <c r="G90" s="149"/>
      <c r="H90" s="153"/>
      <c r="I90" s="153"/>
      <c r="J90" s="153"/>
      <c r="K90" s="153"/>
      <c r="L90" s="153"/>
      <c r="M90" s="153"/>
      <c r="N90" s="153"/>
      <c r="O90" s="153"/>
      <c r="P90" s="149"/>
      <c r="Q90" s="149"/>
      <c r="R90" s="149"/>
      <c r="S90" s="149"/>
      <c r="T90" s="149"/>
      <c r="U90" s="149"/>
      <c r="V90" s="149"/>
      <c r="W90" s="149"/>
      <c r="X90" s="149"/>
      <c r="Y90" s="149"/>
      <c r="Z90" s="149"/>
    </row>
    <row r="91" ht="11.25" customHeight="1">
      <c r="A91" s="149"/>
      <c r="B91" s="149"/>
      <c r="C91" s="149"/>
      <c r="D91" s="149"/>
      <c r="E91" s="149"/>
      <c r="F91" s="149"/>
      <c r="G91" s="149"/>
      <c r="H91" s="153"/>
      <c r="I91" s="153"/>
      <c r="J91" s="153"/>
      <c r="K91" s="153"/>
      <c r="L91" s="153"/>
      <c r="M91" s="153"/>
      <c r="N91" s="153"/>
      <c r="O91" s="153"/>
      <c r="P91" s="149"/>
      <c r="Q91" s="149"/>
      <c r="R91" s="149"/>
      <c r="S91" s="149"/>
      <c r="T91" s="149"/>
      <c r="U91" s="149"/>
      <c r="V91" s="149"/>
      <c r="W91" s="149"/>
      <c r="X91" s="149"/>
      <c r="Y91" s="149"/>
      <c r="Z91" s="149"/>
    </row>
    <row r="92" ht="11.25" customHeight="1">
      <c r="A92" s="149"/>
      <c r="B92" s="149"/>
      <c r="C92" s="149"/>
      <c r="D92" s="149"/>
      <c r="E92" s="149"/>
      <c r="F92" s="149"/>
      <c r="G92" s="149"/>
      <c r="H92" s="153"/>
      <c r="I92" s="153"/>
      <c r="J92" s="153"/>
      <c r="K92" s="153"/>
      <c r="L92" s="153"/>
      <c r="M92" s="153"/>
      <c r="N92" s="153"/>
      <c r="O92" s="153"/>
      <c r="P92" s="149"/>
      <c r="Q92" s="149"/>
      <c r="R92" s="149"/>
      <c r="S92" s="149"/>
      <c r="T92" s="149"/>
      <c r="U92" s="149"/>
      <c r="V92" s="149"/>
      <c r="W92" s="149"/>
      <c r="X92" s="149"/>
      <c r="Y92" s="149"/>
      <c r="Z92" s="149"/>
    </row>
    <row r="93" ht="11.25" customHeight="1">
      <c r="A93" s="149"/>
      <c r="B93" s="149"/>
      <c r="C93" s="149"/>
      <c r="D93" s="149"/>
      <c r="E93" s="149"/>
      <c r="F93" s="149"/>
      <c r="G93" s="149"/>
      <c r="H93" s="153"/>
      <c r="I93" s="153"/>
      <c r="J93" s="153"/>
      <c r="K93" s="153"/>
      <c r="L93" s="153"/>
      <c r="M93" s="153"/>
      <c r="N93" s="153"/>
      <c r="O93" s="153"/>
      <c r="P93" s="149"/>
      <c r="Q93" s="149"/>
      <c r="R93" s="149"/>
      <c r="S93" s="149"/>
      <c r="T93" s="149"/>
      <c r="U93" s="149"/>
      <c r="V93" s="149"/>
      <c r="W93" s="149"/>
      <c r="X93" s="149"/>
      <c r="Y93" s="149"/>
      <c r="Z93" s="149"/>
    </row>
    <row r="94" ht="11.25" customHeight="1">
      <c r="A94" s="149"/>
      <c r="B94" s="149"/>
      <c r="C94" s="149"/>
      <c r="D94" s="149"/>
      <c r="E94" s="149"/>
      <c r="F94" s="149"/>
      <c r="G94" s="149"/>
      <c r="H94" s="153"/>
      <c r="I94" s="153"/>
      <c r="J94" s="153"/>
      <c r="K94" s="153"/>
      <c r="L94" s="153"/>
      <c r="M94" s="153"/>
      <c r="N94" s="153"/>
      <c r="O94" s="153"/>
      <c r="P94" s="149"/>
      <c r="Q94" s="149"/>
      <c r="R94" s="149"/>
      <c r="S94" s="149"/>
      <c r="T94" s="149"/>
      <c r="U94" s="149"/>
      <c r="V94" s="149"/>
      <c r="W94" s="149"/>
      <c r="X94" s="149"/>
      <c r="Y94" s="149"/>
      <c r="Z94" s="149"/>
    </row>
    <row r="95" ht="11.25" customHeight="1">
      <c r="A95" s="149"/>
      <c r="B95" s="149"/>
      <c r="C95" s="149"/>
      <c r="D95" s="149"/>
      <c r="E95" s="149"/>
      <c r="F95" s="149"/>
      <c r="G95" s="149"/>
      <c r="H95" s="153"/>
      <c r="I95" s="153"/>
      <c r="J95" s="153"/>
      <c r="K95" s="153"/>
      <c r="L95" s="153"/>
      <c r="M95" s="153"/>
      <c r="N95" s="153"/>
      <c r="O95" s="153"/>
      <c r="P95" s="149"/>
      <c r="Q95" s="149"/>
      <c r="R95" s="149"/>
      <c r="S95" s="149"/>
      <c r="T95" s="149"/>
      <c r="U95" s="149"/>
      <c r="V95" s="149"/>
      <c r="W95" s="149"/>
      <c r="X95" s="149"/>
      <c r="Y95" s="149"/>
      <c r="Z95" s="149"/>
    </row>
    <row r="96" ht="11.25" customHeight="1">
      <c r="A96" s="149"/>
      <c r="B96" s="149"/>
      <c r="C96" s="149"/>
      <c r="D96" s="149"/>
      <c r="E96" s="149"/>
      <c r="F96" s="149"/>
      <c r="G96" s="149"/>
      <c r="H96" s="153"/>
      <c r="I96" s="153"/>
      <c r="J96" s="153"/>
      <c r="K96" s="153"/>
      <c r="L96" s="153"/>
      <c r="M96" s="153"/>
      <c r="N96" s="153"/>
      <c r="O96" s="153"/>
      <c r="P96" s="149"/>
      <c r="Q96" s="149"/>
      <c r="R96" s="149"/>
      <c r="S96" s="149"/>
      <c r="T96" s="149"/>
      <c r="U96" s="149"/>
      <c r="V96" s="149"/>
      <c r="W96" s="149"/>
      <c r="X96" s="149"/>
      <c r="Y96" s="149"/>
      <c r="Z96" s="149"/>
    </row>
    <row r="97" ht="11.25" customHeight="1">
      <c r="A97" s="149"/>
      <c r="B97" s="149"/>
      <c r="C97" s="149"/>
      <c r="D97" s="149"/>
      <c r="E97" s="149"/>
      <c r="F97" s="149"/>
      <c r="G97" s="149"/>
      <c r="H97" s="153"/>
      <c r="I97" s="153"/>
      <c r="J97" s="153"/>
      <c r="K97" s="153"/>
      <c r="L97" s="153"/>
      <c r="M97" s="153"/>
      <c r="N97" s="153"/>
      <c r="O97" s="153"/>
      <c r="P97" s="149"/>
      <c r="Q97" s="149"/>
      <c r="R97" s="149"/>
      <c r="S97" s="149"/>
      <c r="T97" s="149"/>
      <c r="U97" s="149"/>
      <c r="V97" s="149"/>
      <c r="W97" s="149"/>
      <c r="X97" s="149"/>
      <c r="Y97" s="149"/>
      <c r="Z97" s="149"/>
    </row>
    <row r="98" ht="11.25" customHeight="1">
      <c r="A98" s="149"/>
      <c r="B98" s="149"/>
      <c r="C98" s="149"/>
      <c r="D98" s="149"/>
      <c r="E98" s="149"/>
      <c r="F98" s="149"/>
      <c r="G98" s="149"/>
      <c r="H98" s="153"/>
      <c r="I98" s="153"/>
      <c r="J98" s="153"/>
      <c r="K98" s="153"/>
      <c r="L98" s="153"/>
      <c r="M98" s="153"/>
      <c r="N98" s="153"/>
      <c r="O98" s="153"/>
      <c r="P98" s="149"/>
      <c r="Q98" s="149"/>
      <c r="R98" s="149"/>
      <c r="S98" s="149"/>
      <c r="T98" s="149"/>
      <c r="U98" s="149"/>
      <c r="V98" s="149"/>
      <c r="W98" s="149"/>
      <c r="X98" s="149"/>
      <c r="Y98" s="149"/>
      <c r="Z98" s="149"/>
    </row>
    <row r="99" ht="11.25" customHeight="1">
      <c r="A99" s="149"/>
      <c r="B99" s="149"/>
      <c r="C99" s="149"/>
      <c r="D99" s="149"/>
      <c r="E99" s="149"/>
      <c r="F99" s="149"/>
      <c r="G99" s="149"/>
      <c r="H99" s="153"/>
      <c r="I99" s="153"/>
      <c r="J99" s="153"/>
      <c r="K99" s="153"/>
      <c r="L99" s="153"/>
      <c r="M99" s="153"/>
      <c r="N99" s="153"/>
      <c r="O99" s="153"/>
      <c r="P99" s="149"/>
      <c r="Q99" s="149"/>
      <c r="R99" s="149"/>
      <c r="S99" s="149"/>
      <c r="T99" s="149"/>
      <c r="U99" s="149"/>
      <c r="V99" s="149"/>
      <c r="W99" s="149"/>
      <c r="X99" s="149"/>
      <c r="Y99" s="149"/>
      <c r="Z99" s="149"/>
    </row>
    <row r="100" ht="11.25" customHeight="1">
      <c r="A100" s="149"/>
      <c r="B100" s="149"/>
      <c r="C100" s="149"/>
      <c r="D100" s="149"/>
      <c r="E100" s="149"/>
      <c r="F100" s="149"/>
      <c r="G100" s="149"/>
      <c r="H100" s="153"/>
      <c r="I100" s="153"/>
      <c r="J100" s="153"/>
      <c r="K100" s="153"/>
      <c r="L100" s="153"/>
      <c r="M100" s="153"/>
      <c r="N100" s="153"/>
      <c r="O100" s="153"/>
      <c r="P100" s="149"/>
      <c r="Q100" s="149"/>
      <c r="R100" s="149"/>
      <c r="S100" s="149"/>
      <c r="T100" s="149"/>
      <c r="U100" s="149"/>
      <c r="V100" s="149"/>
      <c r="W100" s="149"/>
      <c r="X100" s="149"/>
      <c r="Y100" s="149"/>
      <c r="Z100" s="149"/>
    </row>
    <row r="101" ht="11.25" customHeight="1">
      <c r="A101" s="149"/>
      <c r="B101" s="149"/>
      <c r="C101" s="149"/>
      <c r="D101" s="149"/>
      <c r="E101" s="149"/>
      <c r="F101" s="149"/>
      <c r="G101" s="149"/>
      <c r="H101" s="153"/>
      <c r="I101" s="153"/>
      <c r="J101" s="153"/>
      <c r="K101" s="153"/>
      <c r="L101" s="153"/>
      <c r="M101" s="153"/>
      <c r="N101" s="153"/>
      <c r="O101" s="153"/>
      <c r="P101" s="149"/>
      <c r="Q101" s="149"/>
      <c r="R101" s="149"/>
      <c r="S101" s="149"/>
      <c r="T101" s="149"/>
      <c r="U101" s="149"/>
      <c r="V101" s="149"/>
      <c r="W101" s="149"/>
      <c r="X101" s="149"/>
      <c r="Y101" s="149"/>
      <c r="Z101" s="149"/>
    </row>
    <row r="102" ht="11.25" customHeight="1">
      <c r="A102" s="149"/>
      <c r="B102" s="149"/>
      <c r="C102" s="149"/>
      <c r="D102" s="149"/>
      <c r="E102" s="149"/>
      <c r="F102" s="149"/>
      <c r="G102" s="149"/>
      <c r="H102" s="153"/>
      <c r="I102" s="153"/>
      <c r="J102" s="153"/>
      <c r="K102" s="153"/>
      <c r="L102" s="153"/>
      <c r="M102" s="153"/>
      <c r="N102" s="153"/>
      <c r="O102" s="153"/>
      <c r="P102" s="149"/>
      <c r="Q102" s="149"/>
      <c r="R102" s="149"/>
      <c r="S102" s="149"/>
      <c r="T102" s="149"/>
      <c r="U102" s="149"/>
      <c r="V102" s="149"/>
      <c r="W102" s="149"/>
      <c r="X102" s="149"/>
      <c r="Y102" s="149"/>
      <c r="Z102" s="149"/>
    </row>
    <row r="103" ht="11.25" customHeight="1">
      <c r="A103" s="149"/>
      <c r="B103" s="149"/>
      <c r="C103" s="149"/>
      <c r="D103" s="149"/>
      <c r="E103" s="149"/>
      <c r="F103" s="149"/>
      <c r="G103" s="149"/>
      <c r="H103" s="153"/>
      <c r="I103" s="153"/>
      <c r="J103" s="153"/>
      <c r="K103" s="153"/>
      <c r="L103" s="153"/>
      <c r="M103" s="153"/>
      <c r="N103" s="153"/>
      <c r="O103" s="153"/>
      <c r="P103" s="149"/>
      <c r="Q103" s="149"/>
      <c r="R103" s="149"/>
      <c r="S103" s="149"/>
      <c r="T103" s="149"/>
      <c r="U103" s="149"/>
      <c r="V103" s="149"/>
      <c r="W103" s="149"/>
      <c r="X103" s="149"/>
      <c r="Y103" s="149"/>
      <c r="Z103" s="149"/>
    </row>
    <row r="104" ht="11.25" customHeight="1">
      <c r="A104" s="149"/>
      <c r="B104" s="149"/>
      <c r="C104" s="149"/>
      <c r="D104" s="149"/>
      <c r="E104" s="149"/>
      <c r="F104" s="149"/>
      <c r="G104" s="149"/>
      <c r="H104" s="153"/>
      <c r="I104" s="153"/>
      <c r="J104" s="153"/>
      <c r="K104" s="153"/>
      <c r="L104" s="153"/>
      <c r="M104" s="153"/>
      <c r="N104" s="153"/>
      <c r="O104" s="153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</row>
    <row r="105" ht="11.25" customHeight="1">
      <c r="A105" s="149"/>
      <c r="B105" s="149"/>
      <c r="C105" s="149"/>
      <c r="D105" s="149"/>
      <c r="E105" s="149"/>
      <c r="F105" s="149"/>
      <c r="G105" s="149"/>
      <c r="H105" s="153"/>
      <c r="I105" s="153"/>
      <c r="J105" s="153"/>
      <c r="K105" s="153"/>
      <c r="L105" s="153"/>
      <c r="M105" s="153"/>
      <c r="N105" s="153"/>
      <c r="O105" s="153"/>
      <c r="P105" s="149"/>
      <c r="Q105" s="149"/>
      <c r="R105" s="149"/>
      <c r="S105" s="149"/>
      <c r="T105" s="149"/>
      <c r="U105" s="149"/>
      <c r="V105" s="149"/>
      <c r="W105" s="149"/>
      <c r="X105" s="149"/>
      <c r="Y105" s="149"/>
      <c r="Z105" s="149"/>
    </row>
    <row r="106" ht="11.25" customHeight="1">
      <c r="A106" s="149"/>
      <c r="B106" s="149"/>
      <c r="C106" s="149"/>
      <c r="D106" s="149"/>
      <c r="E106" s="149"/>
      <c r="F106" s="149"/>
      <c r="G106" s="149"/>
      <c r="H106" s="153"/>
      <c r="I106" s="153"/>
      <c r="J106" s="153"/>
      <c r="K106" s="153"/>
      <c r="L106" s="153"/>
      <c r="M106" s="153"/>
      <c r="N106" s="153"/>
      <c r="O106" s="153"/>
      <c r="P106" s="149"/>
      <c r="Q106" s="149"/>
      <c r="R106" s="149"/>
      <c r="S106" s="149"/>
      <c r="T106" s="149"/>
      <c r="U106" s="149"/>
      <c r="V106" s="149"/>
      <c r="W106" s="149"/>
      <c r="X106" s="149"/>
      <c r="Y106" s="149"/>
      <c r="Z106" s="149"/>
    </row>
    <row r="107" ht="11.25" customHeight="1">
      <c r="A107" s="149"/>
      <c r="B107" s="149"/>
      <c r="C107" s="149"/>
      <c r="D107" s="149"/>
      <c r="E107" s="149"/>
      <c r="F107" s="149"/>
      <c r="G107" s="149"/>
      <c r="H107" s="153"/>
      <c r="I107" s="153"/>
      <c r="J107" s="153"/>
      <c r="K107" s="153"/>
      <c r="L107" s="153"/>
      <c r="M107" s="153"/>
      <c r="N107" s="153"/>
      <c r="O107" s="153"/>
      <c r="P107" s="149"/>
      <c r="Q107" s="149"/>
      <c r="R107" s="149"/>
      <c r="S107" s="149"/>
      <c r="T107" s="149"/>
      <c r="U107" s="149"/>
      <c r="V107" s="149"/>
      <c r="W107" s="149"/>
      <c r="X107" s="149"/>
      <c r="Y107" s="149"/>
      <c r="Z107" s="149"/>
    </row>
    <row r="108" ht="11.25" customHeight="1">
      <c r="A108" s="149"/>
      <c r="B108" s="149"/>
      <c r="C108" s="149"/>
      <c r="D108" s="149"/>
      <c r="E108" s="149"/>
      <c r="F108" s="149"/>
      <c r="G108" s="149"/>
      <c r="H108" s="153"/>
      <c r="I108" s="153"/>
      <c r="J108" s="153"/>
      <c r="K108" s="153"/>
      <c r="L108" s="153"/>
      <c r="M108" s="153"/>
      <c r="N108" s="153"/>
      <c r="O108" s="153"/>
      <c r="P108" s="149"/>
      <c r="Q108" s="149"/>
      <c r="R108" s="149"/>
      <c r="S108" s="149"/>
      <c r="T108" s="149"/>
      <c r="U108" s="149"/>
      <c r="V108" s="149"/>
      <c r="W108" s="149"/>
      <c r="X108" s="149"/>
      <c r="Y108" s="149"/>
      <c r="Z108" s="149"/>
    </row>
    <row r="109" ht="11.25" customHeight="1">
      <c r="A109" s="149"/>
      <c r="B109" s="149"/>
      <c r="C109" s="149"/>
      <c r="D109" s="149"/>
      <c r="E109" s="149"/>
      <c r="F109" s="149"/>
      <c r="G109" s="149"/>
      <c r="H109" s="153"/>
      <c r="I109" s="153"/>
      <c r="J109" s="153"/>
      <c r="K109" s="153"/>
      <c r="L109" s="153"/>
      <c r="M109" s="153"/>
      <c r="N109" s="153"/>
      <c r="O109" s="153"/>
      <c r="P109" s="149"/>
      <c r="Q109" s="149"/>
      <c r="R109" s="149"/>
      <c r="S109" s="149"/>
      <c r="T109" s="149"/>
      <c r="U109" s="149"/>
      <c r="V109" s="149"/>
      <c r="W109" s="149"/>
      <c r="X109" s="149"/>
      <c r="Y109" s="149"/>
      <c r="Z109" s="149"/>
    </row>
    <row r="110" ht="11.25" customHeight="1">
      <c r="A110" s="149"/>
      <c r="B110" s="149"/>
      <c r="C110" s="149"/>
      <c r="D110" s="149"/>
      <c r="E110" s="149"/>
      <c r="F110" s="149"/>
      <c r="G110" s="149"/>
      <c r="H110" s="153"/>
      <c r="I110" s="153"/>
      <c r="J110" s="153"/>
      <c r="K110" s="153"/>
      <c r="L110" s="153"/>
      <c r="M110" s="153"/>
      <c r="N110" s="153"/>
      <c r="O110" s="153"/>
      <c r="P110" s="149"/>
      <c r="Q110" s="149"/>
      <c r="R110" s="149"/>
      <c r="S110" s="149"/>
      <c r="T110" s="149"/>
      <c r="U110" s="149"/>
      <c r="V110" s="149"/>
      <c r="W110" s="149"/>
      <c r="X110" s="149"/>
      <c r="Y110" s="149"/>
      <c r="Z110" s="149"/>
    </row>
    <row r="111" ht="11.25" customHeight="1">
      <c r="A111" s="149"/>
      <c r="B111" s="149"/>
      <c r="C111" s="149"/>
      <c r="D111" s="149"/>
      <c r="E111" s="149"/>
      <c r="F111" s="149"/>
      <c r="G111" s="149"/>
      <c r="H111" s="153"/>
      <c r="I111" s="153"/>
      <c r="J111" s="153"/>
      <c r="K111" s="153"/>
      <c r="L111" s="153"/>
      <c r="M111" s="153"/>
      <c r="N111" s="153"/>
      <c r="O111" s="153"/>
      <c r="P111" s="149"/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</row>
    <row r="112" ht="11.25" customHeight="1">
      <c r="A112" s="149"/>
      <c r="B112" s="149"/>
      <c r="C112" s="149"/>
      <c r="D112" s="149"/>
      <c r="E112" s="149"/>
      <c r="F112" s="149"/>
      <c r="G112" s="149"/>
      <c r="H112" s="153"/>
      <c r="I112" s="153"/>
      <c r="J112" s="153"/>
      <c r="K112" s="153"/>
      <c r="L112" s="153"/>
      <c r="M112" s="153"/>
      <c r="N112" s="153"/>
      <c r="O112" s="153"/>
      <c r="P112" s="149"/>
      <c r="Q112" s="149"/>
      <c r="R112" s="149"/>
      <c r="S112" s="149"/>
      <c r="T112" s="149"/>
      <c r="U112" s="149"/>
      <c r="V112" s="149"/>
      <c r="W112" s="149"/>
      <c r="X112" s="149"/>
      <c r="Y112" s="149"/>
      <c r="Z112" s="149"/>
    </row>
    <row r="113" ht="11.25" customHeight="1">
      <c r="A113" s="149"/>
      <c r="B113" s="149"/>
      <c r="C113" s="149"/>
      <c r="D113" s="149"/>
      <c r="E113" s="149"/>
      <c r="F113" s="149"/>
      <c r="G113" s="149"/>
      <c r="H113" s="153"/>
      <c r="I113" s="153"/>
      <c r="J113" s="153"/>
      <c r="K113" s="153"/>
      <c r="L113" s="153"/>
      <c r="M113" s="153"/>
      <c r="N113" s="153"/>
      <c r="O113" s="153"/>
      <c r="P113" s="149"/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</row>
    <row r="114" ht="11.25" customHeight="1">
      <c r="A114" s="149"/>
      <c r="B114" s="149"/>
      <c r="C114" s="149"/>
      <c r="D114" s="149"/>
      <c r="E114" s="149"/>
      <c r="F114" s="149"/>
      <c r="G114" s="149"/>
      <c r="H114" s="153"/>
      <c r="I114" s="153"/>
      <c r="J114" s="153"/>
      <c r="K114" s="153"/>
      <c r="L114" s="153"/>
      <c r="M114" s="153"/>
      <c r="N114" s="153"/>
      <c r="O114" s="153"/>
      <c r="P114" s="149"/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</row>
    <row r="115" ht="11.25" customHeight="1">
      <c r="A115" s="149"/>
      <c r="B115" s="149"/>
      <c r="C115" s="149"/>
      <c r="D115" s="149"/>
      <c r="E115" s="149"/>
      <c r="F115" s="149"/>
      <c r="G115" s="149"/>
      <c r="H115" s="153"/>
      <c r="I115" s="153"/>
      <c r="J115" s="153"/>
      <c r="K115" s="153"/>
      <c r="L115" s="153"/>
      <c r="M115" s="153"/>
      <c r="N115" s="153"/>
      <c r="O115" s="153"/>
      <c r="P115" s="149"/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</row>
    <row r="116" ht="11.25" customHeight="1">
      <c r="A116" s="149"/>
      <c r="B116" s="149"/>
      <c r="C116" s="149"/>
      <c r="D116" s="149"/>
      <c r="E116" s="149"/>
      <c r="F116" s="149"/>
      <c r="G116" s="149"/>
      <c r="H116" s="153"/>
      <c r="I116" s="153"/>
      <c r="J116" s="153"/>
      <c r="K116" s="153"/>
      <c r="L116" s="153"/>
      <c r="M116" s="153"/>
      <c r="N116" s="153"/>
      <c r="O116" s="153"/>
      <c r="P116" s="149"/>
      <c r="Q116" s="149"/>
      <c r="R116" s="149"/>
      <c r="S116" s="149"/>
      <c r="T116" s="149"/>
      <c r="U116" s="149"/>
      <c r="V116" s="149"/>
      <c r="W116" s="149"/>
      <c r="X116" s="149"/>
      <c r="Y116" s="149"/>
      <c r="Z116" s="149"/>
    </row>
    <row r="117" ht="11.25" customHeight="1">
      <c r="A117" s="149"/>
      <c r="B117" s="149"/>
      <c r="C117" s="149"/>
      <c r="D117" s="149"/>
      <c r="E117" s="149"/>
      <c r="F117" s="149"/>
      <c r="G117" s="149"/>
      <c r="H117" s="153"/>
      <c r="I117" s="153"/>
      <c r="J117" s="153"/>
      <c r="K117" s="153"/>
      <c r="L117" s="153"/>
      <c r="M117" s="153"/>
      <c r="N117" s="153"/>
      <c r="O117" s="153"/>
      <c r="P117" s="149"/>
      <c r="Q117" s="149"/>
      <c r="R117" s="149"/>
      <c r="S117" s="149"/>
      <c r="T117" s="149"/>
      <c r="U117" s="149"/>
      <c r="V117" s="149"/>
      <c r="W117" s="149"/>
      <c r="X117" s="149"/>
      <c r="Y117" s="149"/>
      <c r="Z117" s="149"/>
    </row>
    <row r="118" ht="11.25" customHeight="1">
      <c r="A118" s="149"/>
      <c r="B118" s="149"/>
      <c r="C118" s="149"/>
      <c r="D118" s="149"/>
      <c r="E118" s="149"/>
      <c r="F118" s="149"/>
      <c r="G118" s="149"/>
      <c r="H118" s="153"/>
      <c r="I118" s="153"/>
      <c r="J118" s="153"/>
      <c r="K118" s="153"/>
      <c r="L118" s="153"/>
      <c r="M118" s="153"/>
      <c r="N118" s="153"/>
      <c r="O118" s="153"/>
      <c r="P118" s="149"/>
      <c r="Q118" s="149"/>
      <c r="R118" s="149"/>
      <c r="S118" s="149"/>
      <c r="T118" s="149"/>
      <c r="U118" s="149"/>
      <c r="V118" s="149"/>
      <c r="W118" s="149"/>
      <c r="X118" s="149"/>
      <c r="Y118" s="149"/>
      <c r="Z118" s="149"/>
    </row>
    <row r="119" ht="11.25" customHeight="1">
      <c r="A119" s="149"/>
      <c r="B119" s="149"/>
      <c r="C119" s="149"/>
      <c r="D119" s="149"/>
      <c r="E119" s="149"/>
      <c r="F119" s="149"/>
      <c r="G119" s="149"/>
      <c r="H119" s="153"/>
      <c r="I119" s="153"/>
      <c r="J119" s="153"/>
      <c r="K119" s="153"/>
      <c r="L119" s="153"/>
      <c r="M119" s="153"/>
      <c r="N119" s="153"/>
      <c r="O119" s="153"/>
      <c r="P119" s="149"/>
      <c r="Q119" s="149"/>
      <c r="R119" s="149"/>
      <c r="S119" s="149"/>
      <c r="T119" s="149"/>
      <c r="U119" s="149"/>
      <c r="V119" s="149"/>
      <c r="W119" s="149"/>
      <c r="X119" s="149"/>
      <c r="Y119" s="149"/>
      <c r="Z119" s="149"/>
    </row>
    <row r="120" ht="11.25" customHeight="1">
      <c r="A120" s="149"/>
      <c r="B120" s="149"/>
      <c r="C120" s="149"/>
      <c r="D120" s="149"/>
      <c r="E120" s="149"/>
      <c r="F120" s="149"/>
      <c r="G120" s="149"/>
      <c r="H120" s="153"/>
      <c r="I120" s="153"/>
      <c r="J120" s="153"/>
      <c r="K120" s="153"/>
      <c r="L120" s="153"/>
      <c r="M120" s="153"/>
      <c r="N120" s="153"/>
      <c r="O120" s="153"/>
      <c r="P120" s="149"/>
      <c r="Q120" s="149"/>
      <c r="R120" s="149"/>
      <c r="S120" s="149"/>
      <c r="T120" s="149"/>
      <c r="U120" s="149"/>
      <c r="V120" s="149"/>
      <c r="W120" s="149"/>
      <c r="X120" s="149"/>
      <c r="Y120" s="149"/>
      <c r="Z120" s="149"/>
    </row>
    <row r="121" ht="11.25" customHeight="1">
      <c r="A121" s="149"/>
      <c r="B121" s="149"/>
      <c r="C121" s="149"/>
      <c r="D121" s="149"/>
      <c r="E121" s="149"/>
      <c r="F121" s="149"/>
      <c r="G121" s="149"/>
      <c r="H121" s="153"/>
      <c r="I121" s="153"/>
      <c r="J121" s="153"/>
      <c r="K121" s="153"/>
      <c r="L121" s="153"/>
      <c r="M121" s="153"/>
      <c r="N121" s="153"/>
      <c r="O121" s="153"/>
      <c r="P121" s="149"/>
      <c r="Q121" s="149"/>
      <c r="R121" s="149"/>
      <c r="S121" s="149"/>
      <c r="T121" s="149"/>
      <c r="U121" s="149"/>
      <c r="V121" s="149"/>
      <c r="W121" s="149"/>
      <c r="X121" s="149"/>
      <c r="Y121" s="149"/>
      <c r="Z121" s="149"/>
    </row>
    <row r="122" ht="11.25" customHeight="1">
      <c r="A122" s="149"/>
      <c r="B122" s="149"/>
      <c r="C122" s="149"/>
      <c r="D122" s="149"/>
      <c r="E122" s="149"/>
      <c r="F122" s="149"/>
      <c r="G122" s="149"/>
      <c r="H122" s="153"/>
      <c r="I122" s="153"/>
      <c r="J122" s="153"/>
      <c r="K122" s="153"/>
      <c r="L122" s="153"/>
      <c r="M122" s="153"/>
      <c r="N122" s="153"/>
      <c r="O122" s="153"/>
      <c r="P122" s="149"/>
      <c r="Q122" s="149"/>
      <c r="R122" s="149"/>
      <c r="S122" s="149"/>
      <c r="T122" s="149"/>
      <c r="U122" s="149"/>
      <c r="V122" s="149"/>
      <c r="W122" s="149"/>
      <c r="X122" s="149"/>
      <c r="Y122" s="149"/>
      <c r="Z122" s="149"/>
    </row>
    <row r="123" ht="11.25" customHeight="1">
      <c r="A123" s="149"/>
      <c r="B123" s="149"/>
      <c r="C123" s="149"/>
      <c r="D123" s="149"/>
      <c r="E123" s="149"/>
      <c r="F123" s="149"/>
      <c r="G123" s="149"/>
      <c r="H123" s="153"/>
      <c r="I123" s="153"/>
      <c r="J123" s="153"/>
      <c r="K123" s="153"/>
      <c r="L123" s="153"/>
      <c r="M123" s="153"/>
      <c r="N123" s="153"/>
      <c r="O123" s="153"/>
      <c r="P123" s="149"/>
      <c r="Q123" s="149"/>
      <c r="R123" s="149"/>
      <c r="S123" s="149"/>
      <c r="T123" s="149"/>
      <c r="U123" s="149"/>
      <c r="V123" s="149"/>
      <c r="W123" s="149"/>
      <c r="X123" s="149"/>
      <c r="Y123" s="149"/>
      <c r="Z123" s="149"/>
    </row>
    <row r="124" ht="11.25" customHeight="1">
      <c r="A124" s="149"/>
      <c r="B124" s="149"/>
      <c r="C124" s="149"/>
      <c r="D124" s="149"/>
      <c r="E124" s="149"/>
      <c r="F124" s="149"/>
      <c r="G124" s="149"/>
      <c r="H124" s="153"/>
      <c r="I124" s="153"/>
      <c r="J124" s="153"/>
      <c r="K124" s="153"/>
      <c r="L124" s="153"/>
      <c r="M124" s="153"/>
      <c r="N124" s="153"/>
      <c r="O124" s="153"/>
      <c r="P124" s="149"/>
      <c r="Q124" s="149"/>
      <c r="R124" s="149"/>
      <c r="S124" s="149"/>
      <c r="T124" s="149"/>
      <c r="U124" s="149"/>
      <c r="V124" s="149"/>
      <c r="W124" s="149"/>
      <c r="X124" s="149"/>
      <c r="Y124" s="149"/>
      <c r="Z124" s="149"/>
    </row>
    <row r="125" ht="11.25" customHeight="1">
      <c r="A125" s="149"/>
      <c r="B125" s="149"/>
      <c r="C125" s="149"/>
      <c r="D125" s="149"/>
      <c r="E125" s="149"/>
      <c r="F125" s="149"/>
      <c r="G125" s="149"/>
      <c r="H125" s="153"/>
      <c r="I125" s="153"/>
      <c r="J125" s="153"/>
      <c r="K125" s="153"/>
      <c r="L125" s="153"/>
      <c r="M125" s="153"/>
      <c r="N125" s="153"/>
      <c r="O125" s="153"/>
      <c r="P125" s="149"/>
      <c r="Q125" s="149"/>
      <c r="R125" s="149"/>
      <c r="S125" s="149"/>
      <c r="T125" s="149"/>
      <c r="U125" s="149"/>
      <c r="V125" s="149"/>
      <c r="W125" s="149"/>
      <c r="X125" s="149"/>
      <c r="Y125" s="149"/>
      <c r="Z125" s="149"/>
    </row>
    <row r="126" ht="11.25" customHeight="1">
      <c r="A126" s="149"/>
      <c r="B126" s="149"/>
      <c r="C126" s="149"/>
      <c r="D126" s="149"/>
      <c r="E126" s="149"/>
      <c r="F126" s="149"/>
      <c r="G126" s="149"/>
      <c r="H126" s="153"/>
      <c r="I126" s="153"/>
      <c r="J126" s="153"/>
      <c r="K126" s="153"/>
      <c r="L126" s="153"/>
      <c r="M126" s="153"/>
      <c r="N126" s="153"/>
      <c r="O126" s="153"/>
      <c r="P126" s="149"/>
      <c r="Q126" s="149"/>
      <c r="R126" s="149"/>
      <c r="S126" s="149"/>
      <c r="T126" s="149"/>
      <c r="U126" s="149"/>
      <c r="V126" s="149"/>
      <c r="W126" s="149"/>
      <c r="X126" s="149"/>
      <c r="Y126" s="149"/>
      <c r="Z126" s="149"/>
    </row>
    <row r="127" ht="11.25" customHeight="1">
      <c r="A127" s="149"/>
      <c r="B127" s="149"/>
      <c r="C127" s="149"/>
      <c r="D127" s="149"/>
      <c r="E127" s="149"/>
      <c r="F127" s="149"/>
      <c r="G127" s="149"/>
      <c r="H127" s="153"/>
      <c r="I127" s="153"/>
      <c r="J127" s="153"/>
      <c r="K127" s="153"/>
      <c r="L127" s="153"/>
      <c r="M127" s="153"/>
      <c r="N127" s="153"/>
      <c r="O127" s="153"/>
      <c r="P127" s="149"/>
      <c r="Q127" s="149"/>
      <c r="R127" s="149"/>
      <c r="S127" s="149"/>
      <c r="T127" s="149"/>
      <c r="U127" s="149"/>
      <c r="V127" s="149"/>
      <c r="W127" s="149"/>
      <c r="X127" s="149"/>
      <c r="Y127" s="149"/>
      <c r="Z127" s="149"/>
    </row>
    <row r="128" ht="11.25" customHeight="1">
      <c r="A128" s="149"/>
      <c r="B128" s="149"/>
      <c r="C128" s="149"/>
      <c r="D128" s="149"/>
      <c r="E128" s="149"/>
      <c r="F128" s="149"/>
      <c r="G128" s="149"/>
      <c r="H128" s="153"/>
      <c r="I128" s="153"/>
      <c r="J128" s="153"/>
      <c r="K128" s="153"/>
      <c r="L128" s="153"/>
      <c r="M128" s="153"/>
      <c r="N128" s="153"/>
      <c r="O128" s="153"/>
      <c r="P128" s="149"/>
      <c r="Q128" s="149"/>
      <c r="R128" s="149"/>
      <c r="S128" s="149"/>
      <c r="T128" s="149"/>
      <c r="U128" s="149"/>
      <c r="V128" s="149"/>
      <c r="W128" s="149"/>
      <c r="X128" s="149"/>
      <c r="Y128" s="149"/>
      <c r="Z128" s="149"/>
    </row>
    <row r="129" ht="11.25" customHeight="1">
      <c r="A129" s="149"/>
      <c r="B129" s="149"/>
      <c r="C129" s="149"/>
      <c r="D129" s="149"/>
      <c r="E129" s="149"/>
      <c r="F129" s="149"/>
      <c r="G129" s="149"/>
      <c r="H129" s="153"/>
      <c r="I129" s="153"/>
      <c r="J129" s="153"/>
      <c r="K129" s="153"/>
      <c r="L129" s="153"/>
      <c r="M129" s="153"/>
      <c r="N129" s="153"/>
      <c r="O129" s="153"/>
      <c r="P129" s="149"/>
      <c r="Q129" s="149"/>
      <c r="R129" s="149"/>
      <c r="S129" s="149"/>
      <c r="T129" s="149"/>
      <c r="U129" s="149"/>
      <c r="V129" s="149"/>
      <c r="W129" s="149"/>
      <c r="X129" s="149"/>
      <c r="Y129" s="149"/>
      <c r="Z129" s="149"/>
    </row>
    <row r="130" ht="11.25" customHeight="1">
      <c r="A130" s="149"/>
      <c r="B130" s="149"/>
      <c r="C130" s="149"/>
      <c r="D130" s="149"/>
      <c r="E130" s="149"/>
      <c r="F130" s="149"/>
      <c r="G130" s="149"/>
      <c r="H130" s="153"/>
      <c r="I130" s="153"/>
      <c r="J130" s="153"/>
      <c r="K130" s="153"/>
      <c r="L130" s="153"/>
      <c r="M130" s="153"/>
      <c r="N130" s="153"/>
      <c r="O130" s="153"/>
      <c r="P130" s="149"/>
      <c r="Q130" s="149"/>
      <c r="R130" s="149"/>
      <c r="S130" s="149"/>
      <c r="T130" s="149"/>
      <c r="U130" s="149"/>
      <c r="V130" s="149"/>
      <c r="W130" s="149"/>
      <c r="X130" s="149"/>
      <c r="Y130" s="149"/>
      <c r="Z130" s="149"/>
    </row>
    <row r="131" ht="11.25" customHeight="1">
      <c r="A131" s="149"/>
      <c r="B131" s="149"/>
      <c r="C131" s="149"/>
      <c r="D131" s="149"/>
      <c r="E131" s="149"/>
      <c r="F131" s="149"/>
      <c r="G131" s="149"/>
      <c r="H131" s="153"/>
      <c r="I131" s="153"/>
      <c r="J131" s="153"/>
      <c r="K131" s="153"/>
      <c r="L131" s="153"/>
      <c r="M131" s="153"/>
      <c r="N131" s="153"/>
      <c r="O131" s="153"/>
      <c r="P131" s="149"/>
      <c r="Q131" s="149"/>
      <c r="R131" s="149"/>
      <c r="S131" s="149"/>
      <c r="T131" s="149"/>
      <c r="U131" s="149"/>
      <c r="V131" s="149"/>
      <c r="W131" s="149"/>
      <c r="X131" s="149"/>
      <c r="Y131" s="149"/>
      <c r="Z131" s="149"/>
    </row>
    <row r="132" ht="11.25" customHeight="1">
      <c r="A132" s="149"/>
      <c r="B132" s="149"/>
      <c r="C132" s="149"/>
      <c r="D132" s="149"/>
      <c r="E132" s="149"/>
      <c r="F132" s="149"/>
      <c r="G132" s="149"/>
      <c r="H132" s="153"/>
      <c r="I132" s="153"/>
      <c r="J132" s="153"/>
      <c r="K132" s="153"/>
      <c r="L132" s="153"/>
      <c r="M132" s="153"/>
      <c r="N132" s="153"/>
      <c r="O132" s="153"/>
      <c r="P132" s="149"/>
      <c r="Q132" s="149"/>
      <c r="R132" s="149"/>
      <c r="S132" s="149"/>
      <c r="T132" s="149"/>
      <c r="U132" s="149"/>
      <c r="V132" s="149"/>
      <c r="W132" s="149"/>
      <c r="X132" s="149"/>
      <c r="Y132" s="149"/>
      <c r="Z132" s="149"/>
    </row>
    <row r="133" ht="11.25" customHeight="1">
      <c r="A133" s="149"/>
      <c r="B133" s="149"/>
      <c r="C133" s="149"/>
      <c r="D133" s="149"/>
      <c r="E133" s="149"/>
      <c r="F133" s="149"/>
      <c r="G133" s="149"/>
      <c r="H133" s="153"/>
      <c r="I133" s="153"/>
      <c r="J133" s="153"/>
      <c r="K133" s="153"/>
      <c r="L133" s="153"/>
      <c r="M133" s="153"/>
      <c r="N133" s="153"/>
      <c r="O133" s="153"/>
      <c r="P133" s="149"/>
      <c r="Q133" s="149"/>
      <c r="R133" s="149"/>
      <c r="S133" s="149"/>
      <c r="T133" s="149"/>
      <c r="U133" s="149"/>
      <c r="V133" s="149"/>
      <c r="W133" s="149"/>
      <c r="X133" s="149"/>
      <c r="Y133" s="149"/>
      <c r="Z133" s="149"/>
    </row>
    <row r="134" ht="11.25" customHeight="1">
      <c r="A134" s="149"/>
      <c r="B134" s="149"/>
      <c r="C134" s="149"/>
      <c r="D134" s="149"/>
      <c r="E134" s="149"/>
      <c r="F134" s="149"/>
      <c r="G134" s="149"/>
      <c r="H134" s="153"/>
      <c r="I134" s="153"/>
      <c r="J134" s="153"/>
      <c r="K134" s="153"/>
      <c r="L134" s="153"/>
      <c r="M134" s="153"/>
      <c r="N134" s="153"/>
      <c r="O134" s="153"/>
      <c r="P134" s="149"/>
      <c r="Q134" s="149"/>
      <c r="R134" s="149"/>
      <c r="S134" s="149"/>
      <c r="T134" s="149"/>
      <c r="U134" s="149"/>
      <c r="V134" s="149"/>
      <c r="W134" s="149"/>
      <c r="X134" s="149"/>
      <c r="Y134" s="149"/>
      <c r="Z134" s="149"/>
    </row>
    <row r="135" ht="11.25" customHeight="1">
      <c r="A135" s="149"/>
      <c r="B135" s="149"/>
      <c r="C135" s="149"/>
      <c r="D135" s="149"/>
      <c r="E135" s="149"/>
      <c r="F135" s="149"/>
      <c r="G135" s="149"/>
      <c r="H135" s="153"/>
      <c r="I135" s="153"/>
      <c r="J135" s="153"/>
      <c r="K135" s="153"/>
      <c r="L135" s="153"/>
      <c r="M135" s="153"/>
      <c r="N135" s="153"/>
      <c r="O135" s="153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</row>
    <row r="136" ht="11.25" customHeight="1">
      <c r="A136" s="149"/>
      <c r="B136" s="149"/>
      <c r="C136" s="149"/>
      <c r="D136" s="149"/>
      <c r="E136" s="149"/>
      <c r="F136" s="149"/>
      <c r="G136" s="149"/>
      <c r="H136" s="153"/>
      <c r="I136" s="153"/>
      <c r="J136" s="153"/>
      <c r="K136" s="153"/>
      <c r="L136" s="153"/>
      <c r="M136" s="153"/>
      <c r="N136" s="153"/>
      <c r="O136" s="153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</row>
    <row r="137" ht="11.25" customHeight="1">
      <c r="A137" s="149"/>
      <c r="B137" s="149"/>
      <c r="C137" s="149"/>
      <c r="D137" s="149"/>
      <c r="E137" s="149"/>
      <c r="F137" s="149"/>
      <c r="G137" s="149"/>
      <c r="H137" s="153"/>
      <c r="I137" s="153"/>
      <c r="J137" s="153"/>
      <c r="K137" s="153"/>
      <c r="L137" s="153"/>
      <c r="M137" s="153"/>
      <c r="N137" s="153"/>
      <c r="O137" s="153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</row>
    <row r="138" ht="11.25" customHeight="1">
      <c r="A138" s="149"/>
      <c r="B138" s="149"/>
      <c r="C138" s="149"/>
      <c r="D138" s="149"/>
      <c r="E138" s="149"/>
      <c r="F138" s="149"/>
      <c r="G138" s="149"/>
      <c r="H138" s="153"/>
      <c r="I138" s="153"/>
      <c r="J138" s="153"/>
      <c r="K138" s="153"/>
      <c r="L138" s="153"/>
      <c r="M138" s="153"/>
      <c r="N138" s="153"/>
      <c r="O138" s="153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</row>
    <row r="139" ht="11.25" customHeight="1">
      <c r="A139" s="149"/>
      <c r="B139" s="149"/>
      <c r="C139" s="149"/>
      <c r="D139" s="149"/>
      <c r="E139" s="149"/>
      <c r="F139" s="149"/>
      <c r="G139" s="149"/>
      <c r="H139" s="153"/>
      <c r="I139" s="153"/>
      <c r="J139" s="153"/>
      <c r="K139" s="153"/>
      <c r="L139" s="153"/>
      <c r="M139" s="153"/>
      <c r="N139" s="153"/>
      <c r="O139" s="153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</row>
    <row r="140" ht="11.25" customHeight="1">
      <c r="A140" s="149"/>
      <c r="B140" s="149"/>
      <c r="C140" s="149"/>
      <c r="D140" s="149"/>
      <c r="E140" s="149"/>
      <c r="F140" s="149"/>
      <c r="G140" s="149"/>
      <c r="H140" s="153"/>
      <c r="I140" s="153"/>
      <c r="J140" s="153"/>
      <c r="K140" s="153"/>
      <c r="L140" s="153"/>
      <c r="M140" s="153"/>
      <c r="N140" s="153"/>
      <c r="O140" s="153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</row>
    <row r="141" ht="11.25" customHeight="1">
      <c r="A141" s="149"/>
      <c r="B141" s="149"/>
      <c r="C141" s="149"/>
      <c r="D141" s="149"/>
      <c r="E141" s="149"/>
      <c r="F141" s="149"/>
      <c r="G141" s="149"/>
      <c r="H141" s="153"/>
      <c r="I141" s="153"/>
      <c r="J141" s="153"/>
      <c r="K141" s="153"/>
      <c r="L141" s="153"/>
      <c r="M141" s="153"/>
      <c r="N141" s="153"/>
      <c r="O141" s="153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</row>
    <row r="142" ht="11.25" customHeight="1">
      <c r="A142" s="149"/>
      <c r="B142" s="149"/>
      <c r="C142" s="149"/>
      <c r="D142" s="149"/>
      <c r="E142" s="149"/>
      <c r="F142" s="149"/>
      <c r="G142" s="149"/>
      <c r="H142" s="153"/>
      <c r="I142" s="153"/>
      <c r="J142" s="153"/>
      <c r="K142" s="153"/>
      <c r="L142" s="153"/>
      <c r="M142" s="153"/>
      <c r="N142" s="153"/>
      <c r="O142" s="153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</row>
    <row r="143" ht="11.25" customHeight="1">
      <c r="A143" s="149"/>
      <c r="B143" s="149"/>
      <c r="C143" s="149"/>
      <c r="D143" s="149"/>
      <c r="E143" s="149"/>
      <c r="F143" s="149"/>
      <c r="G143" s="149"/>
      <c r="H143" s="153"/>
      <c r="I143" s="153"/>
      <c r="J143" s="153"/>
      <c r="K143" s="153"/>
      <c r="L143" s="153"/>
      <c r="M143" s="153"/>
      <c r="N143" s="153"/>
      <c r="O143" s="153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</row>
    <row r="144" ht="11.25" customHeight="1">
      <c r="A144" s="149"/>
      <c r="B144" s="149"/>
      <c r="C144" s="149"/>
      <c r="D144" s="149"/>
      <c r="E144" s="149"/>
      <c r="F144" s="149"/>
      <c r="G144" s="149"/>
      <c r="H144" s="153"/>
      <c r="I144" s="153"/>
      <c r="J144" s="153"/>
      <c r="K144" s="153"/>
      <c r="L144" s="153"/>
      <c r="M144" s="153"/>
      <c r="N144" s="153"/>
      <c r="O144" s="153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</row>
    <row r="145" ht="11.25" customHeight="1">
      <c r="A145" s="149"/>
      <c r="B145" s="149"/>
      <c r="C145" s="149"/>
      <c r="D145" s="149"/>
      <c r="E145" s="149"/>
      <c r="F145" s="149"/>
      <c r="G145" s="149"/>
      <c r="H145" s="153"/>
      <c r="I145" s="153"/>
      <c r="J145" s="153"/>
      <c r="K145" s="153"/>
      <c r="L145" s="153"/>
      <c r="M145" s="153"/>
      <c r="N145" s="153"/>
      <c r="O145" s="153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</row>
    <row r="146" ht="11.25" customHeight="1">
      <c r="A146" s="149"/>
      <c r="B146" s="149"/>
      <c r="C146" s="149"/>
      <c r="D146" s="149"/>
      <c r="E146" s="149"/>
      <c r="F146" s="149"/>
      <c r="G146" s="149"/>
      <c r="H146" s="153"/>
      <c r="I146" s="153"/>
      <c r="J146" s="153"/>
      <c r="K146" s="153"/>
      <c r="L146" s="153"/>
      <c r="M146" s="153"/>
      <c r="N146" s="153"/>
      <c r="O146" s="153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</row>
    <row r="147" ht="11.25" customHeight="1">
      <c r="A147" s="149"/>
      <c r="B147" s="149"/>
      <c r="C147" s="149"/>
      <c r="D147" s="149"/>
      <c r="E147" s="149"/>
      <c r="F147" s="149"/>
      <c r="G147" s="149"/>
      <c r="H147" s="153"/>
      <c r="I147" s="153"/>
      <c r="J147" s="153"/>
      <c r="K147" s="153"/>
      <c r="L147" s="153"/>
      <c r="M147" s="153"/>
      <c r="N147" s="153"/>
      <c r="O147" s="153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</row>
    <row r="148" ht="11.25" customHeight="1">
      <c r="A148" s="149"/>
      <c r="B148" s="149"/>
      <c r="C148" s="149"/>
      <c r="D148" s="149"/>
      <c r="E148" s="149"/>
      <c r="F148" s="149"/>
      <c r="G148" s="149"/>
      <c r="H148" s="153"/>
      <c r="I148" s="153"/>
      <c r="J148" s="153"/>
      <c r="K148" s="153"/>
      <c r="L148" s="153"/>
      <c r="M148" s="153"/>
      <c r="N148" s="153"/>
      <c r="O148" s="153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</row>
    <row r="149" ht="11.25" customHeight="1">
      <c r="A149" s="149"/>
      <c r="B149" s="149"/>
      <c r="C149" s="149"/>
      <c r="D149" s="149"/>
      <c r="E149" s="149"/>
      <c r="F149" s="149"/>
      <c r="G149" s="149"/>
      <c r="H149" s="153"/>
      <c r="I149" s="153"/>
      <c r="J149" s="153"/>
      <c r="K149" s="153"/>
      <c r="L149" s="153"/>
      <c r="M149" s="153"/>
      <c r="N149" s="153"/>
      <c r="O149" s="153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</row>
    <row r="150" ht="11.25" customHeight="1">
      <c r="A150" s="149"/>
      <c r="B150" s="149"/>
      <c r="C150" s="149"/>
      <c r="D150" s="149"/>
      <c r="E150" s="149"/>
      <c r="F150" s="149"/>
      <c r="G150" s="149"/>
      <c r="H150" s="153"/>
      <c r="I150" s="153"/>
      <c r="J150" s="153"/>
      <c r="K150" s="153"/>
      <c r="L150" s="153"/>
      <c r="M150" s="153"/>
      <c r="N150" s="153"/>
      <c r="O150" s="153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</row>
    <row r="151" ht="11.25" customHeight="1">
      <c r="A151" s="149"/>
      <c r="B151" s="149"/>
      <c r="C151" s="149"/>
      <c r="D151" s="149"/>
      <c r="E151" s="149"/>
      <c r="F151" s="149"/>
      <c r="G151" s="149"/>
      <c r="H151" s="153"/>
      <c r="I151" s="153"/>
      <c r="J151" s="153"/>
      <c r="K151" s="153"/>
      <c r="L151" s="153"/>
      <c r="M151" s="153"/>
      <c r="N151" s="153"/>
      <c r="O151" s="153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</row>
    <row r="152" ht="11.25" customHeight="1">
      <c r="A152" s="149"/>
      <c r="B152" s="149"/>
      <c r="C152" s="149"/>
      <c r="D152" s="149"/>
      <c r="E152" s="149"/>
      <c r="F152" s="149"/>
      <c r="G152" s="149"/>
      <c r="H152" s="153"/>
      <c r="I152" s="153"/>
      <c r="J152" s="153"/>
      <c r="K152" s="153"/>
      <c r="L152" s="153"/>
      <c r="M152" s="153"/>
      <c r="N152" s="153"/>
      <c r="O152" s="153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</row>
    <row r="153" ht="11.25" customHeight="1">
      <c r="A153" s="149"/>
      <c r="B153" s="149"/>
      <c r="C153" s="149"/>
      <c r="D153" s="149"/>
      <c r="E153" s="149"/>
      <c r="F153" s="149"/>
      <c r="G153" s="149"/>
      <c r="H153" s="153"/>
      <c r="I153" s="153"/>
      <c r="J153" s="153"/>
      <c r="K153" s="153"/>
      <c r="L153" s="153"/>
      <c r="M153" s="153"/>
      <c r="N153" s="153"/>
      <c r="O153" s="153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</row>
    <row r="154" ht="11.25" customHeight="1">
      <c r="A154" s="149"/>
      <c r="B154" s="149"/>
      <c r="C154" s="149"/>
      <c r="D154" s="149"/>
      <c r="E154" s="149"/>
      <c r="F154" s="149"/>
      <c r="G154" s="149"/>
      <c r="H154" s="153"/>
      <c r="I154" s="153"/>
      <c r="J154" s="153"/>
      <c r="K154" s="153"/>
      <c r="L154" s="153"/>
      <c r="M154" s="153"/>
      <c r="N154" s="153"/>
      <c r="O154" s="153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</row>
    <row r="155" ht="11.25" customHeight="1">
      <c r="A155" s="149"/>
      <c r="B155" s="149"/>
      <c r="C155" s="149"/>
      <c r="D155" s="149"/>
      <c r="E155" s="149"/>
      <c r="F155" s="149"/>
      <c r="G155" s="149"/>
      <c r="H155" s="153"/>
      <c r="I155" s="153"/>
      <c r="J155" s="153"/>
      <c r="K155" s="153"/>
      <c r="L155" s="153"/>
      <c r="M155" s="153"/>
      <c r="N155" s="153"/>
      <c r="O155" s="153"/>
      <c r="P155" s="149"/>
      <c r="Q155" s="149"/>
      <c r="R155" s="149"/>
      <c r="S155" s="149"/>
      <c r="T155" s="149"/>
      <c r="U155" s="149"/>
      <c r="V155" s="149"/>
      <c r="W155" s="149"/>
      <c r="X155" s="149"/>
      <c r="Y155" s="149"/>
      <c r="Z155" s="149"/>
    </row>
    <row r="156" ht="11.25" customHeight="1">
      <c r="A156" s="149"/>
      <c r="B156" s="149"/>
      <c r="C156" s="149"/>
      <c r="D156" s="149"/>
      <c r="E156" s="149"/>
      <c r="F156" s="149"/>
      <c r="G156" s="149"/>
      <c r="H156" s="153"/>
      <c r="I156" s="153"/>
      <c r="J156" s="153"/>
      <c r="K156" s="153"/>
      <c r="L156" s="153"/>
      <c r="M156" s="153"/>
      <c r="N156" s="153"/>
      <c r="O156" s="153"/>
      <c r="P156" s="149"/>
      <c r="Q156" s="149"/>
      <c r="R156" s="149"/>
      <c r="S156" s="149"/>
      <c r="T156" s="149"/>
      <c r="U156" s="149"/>
      <c r="V156" s="149"/>
      <c r="W156" s="149"/>
      <c r="X156" s="149"/>
      <c r="Y156" s="149"/>
      <c r="Z156" s="149"/>
    </row>
    <row r="157" ht="11.25" customHeight="1">
      <c r="A157" s="149"/>
      <c r="B157" s="149"/>
      <c r="C157" s="149"/>
      <c r="D157" s="149"/>
      <c r="E157" s="149"/>
      <c r="F157" s="149"/>
      <c r="G157" s="149"/>
      <c r="H157" s="153"/>
      <c r="I157" s="153"/>
      <c r="J157" s="153"/>
      <c r="K157" s="153"/>
      <c r="L157" s="153"/>
      <c r="M157" s="153"/>
      <c r="N157" s="153"/>
      <c r="O157" s="153"/>
      <c r="P157" s="149"/>
      <c r="Q157" s="149"/>
      <c r="R157" s="149"/>
      <c r="S157" s="149"/>
      <c r="T157" s="149"/>
      <c r="U157" s="149"/>
      <c r="V157" s="149"/>
      <c r="W157" s="149"/>
      <c r="X157" s="149"/>
      <c r="Y157" s="149"/>
      <c r="Z157" s="149"/>
    </row>
    <row r="158" ht="11.25" customHeight="1">
      <c r="A158" s="149"/>
      <c r="B158" s="149"/>
      <c r="C158" s="149"/>
      <c r="D158" s="149"/>
      <c r="E158" s="149"/>
      <c r="F158" s="149"/>
      <c r="G158" s="149"/>
      <c r="H158" s="153"/>
      <c r="I158" s="153"/>
      <c r="J158" s="153"/>
      <c r="K158" s="153"/>
      <c r="L158" s="153"/>
      <c r="M158" s="153"/>
      <c r="N158" s="153"/>
      <c r="O158" s="153"/>
      <c r="P158" s="149"/>
      <c r="Q158" s="149"/>
      <c r="R158" s="149"/>
      <c r="S158" s="149"/>
      <c r="T158" s="149"/>
      <c r="U158" s="149"/>
      <c r="V158" s="149"/>
      <c r="W158" s="149"/>
      <c r="X158" s="149"/>
      <c r="Y158" s="149"/>
      <c r="Z158" s="149"/>
    </row>
    <row r="159" ht="11.25" customHeight="1">
      <c r="A159" s="149"/>
      <c r="B159" s="149"/>
      <c r="C159" s="149"/>
      <c r="D159" s="149"/>
      <c r="E159" s="149"/>
      <c r="F159" s="149"/>
      <c r="G159" s="149"/>
      <c r="H159" s="153"/>
      <c r="I159" s="153"/>
      <c r="J159" s="153"/>
      <c r="K159" s="153"/>
      <c r="L159" s="153"/>
      <c r="M159" s="153"/>
      <c r="N159" s="153"/>
      <c r="O159" s="153"/>
      <c r="P159" s="149"/>
      <c r="Q159" s="149"/>
      <c r="R159" s="149"/>
      <c r="S159" s="149"/>
      <c r="T159" s="149"/>
      <c r="U159" s="149"/>
      <c r="V159" s="149"/>
      <c r="W159" s="149"/>
      <c r="X159" s="149"/>
      <c r="Y159" s="149"/>
      <c r="Z159" s="149"/>
    </row>
    <row r="160" ht="11.25" customHeight="1">
      <c r="A160" s="149"/>
      <c r="B160" s="149"/>
      <c r="C160" s="149"/>
      <c r="D160" s="149"/>
      <c r="E160" s="149"/>
      <c r="F160" s="149"/>
      <c r="G160" s="149"/>
      <c r="H160" s="153"/>
      <c r="I160" s="153"/>
      <c r="J160" s="153"/>
      <c r="K160" s="153"/>
      <c r="L160" s="153"/>
      <c r="M160" s="153"/>
      <c r="N160" s="153"/>
      <c r="O160" s="153"/>
      <c r="P160" s="149"/>
      <c r="Q160" s="149"/>
      <c r="R160" s="149"/>
      <c r="S160" s="149"/>
      <c r="T160" s="149"/>
      <c r="U160" s="149"/>
      <c r="V160" s="149"/>
      <c r="W160" s="149"/>
      <c r="X160" s="149"/>
      <c r="Y160" s="149"/>
      <c r="Z160" s="149"/>
    </row>
    <row r="161" ht="11.25" customHeight="1">
      <c r="A161" s="149"/>
      <c r="B161" s="149"/>
      <c r="C161" s="149"/>
      <c r="D161" s="149"/>
      <c r="E161" s="149"/>
      <c r="F161" s="149"/>
      <c r="G161" s="149"/>
      <c r="H161" s="153"/>
      <c r="I161" s="153"/>
      <c r="J161" s="153"/>
      <c r="K161" s="153"/>
      <c r="L161" s="153"/>
      <c r="M161" s="153"/>
      <c r="N161" s="153"/>
      <c r="O161" s="153"/>
      <c r="P161" s="149"/>
      <c r="Q161" s="149"/>
      <c r="R161" s="149"/>
      <c r="S161" s="149"/>
      <c r="T161" s="149"/>
      <c r="U161" s="149"/>
      <c r="V161" s="149"/>
      <c r="W161" s="149"/>
      <c r="X161" s="149"/>
      <c r="Y161" s="149"/>
      <c r="Z161" s="149"/>
    </row>
    <row r="162" ht="11.25" customHeight="1">
      <c r="A162" s="149"/>
      <c r="B162" s="149"/>
      <c r="C162" s="149"/>
      <c r="D162" s="149"/>
      <c r="E162" s="149"/>
      <c r="F162" s="149"/>
      <c r="G162" s="149"/>
      <c r="H162" s="153"/>
      <c r="I162" s="153"/>
      <c r="J162" s="153"/>
      <c r="K162" s="153"/>
      <c r="L162" s="153"/>
      <c r="M162" s="153"/>
      <c r="N162" s="153"/>
      <c r="O162" s="153"/>
      <c r="P162" s="149"/>
      <c r="Q162" s="149"/>
      <c r="R162" s="149"/>
      <c r="S162" s="149"/>
      <c r="T162" s="149"/>
      <c r="U162" s="149"/>
      <c r="V162" s="149"/>
      <c r="W162" s="149"/>
      <c r="X162" s="149"/>
      <c r="Y162" s="149"/>
      <c r="Z162" s="149"/>
    </row>
    <row r="163" ht="11.25" customHeight="1">
      <c r="A163" s="149"/>
      <c r="B163" s="149"/>
      <c r="C163" s="149"/>
      <c r="D163" s="149"/>
      <c r="E163" s="149"/>
      <c r="F163" s="149"/>
      <c r="G163" s="149"/>
      <c r="H163" s="153"/>
      <c r="I163" s="153"/>
      <c r="J163" s="153"/>
      <c r="K163" s="153"/>
      <c r="L163" s="153"/>
      <c r="M163" s="153"/>
      <c r="N163" s="153"/>
      <c r="O163" s="153"/>
      <c r="P163" s="149"/>
      <c r="Q163" s="149"/>
      <c r="R163" s="149"/>
      <c r="S163" s="149"/>
      <c r="T163" s="149"/>
      <c r="U163" s="149"/>
      <c r="V163" s="149"/>
      <c r="W163" s="149"/>
      <c r="X163" s="149"/>
      <c r="Y163" s="149"/>
      <c r="Z163" s="149"/>
    </row>
    <row r="164" ht="11.25" customHeight="1">
      <c r="A164" s="149"/>
      <c r="B164" s="149"/>
      <c r="C164" s="149"/>
      <c r="D164" s="149"/>
      <c r="E164" s="149"/>
      <c r="F164" s="149"/>
      <c r="G164" s="149"/>
      <c r="H164" s="153"/>
      <c r="I164" s="153"/>
      <c r="J164" s="153"/>
      <c r="K164" s="153"/>
      <c r="L164" s="153"/>
      <c r="M164" s="153"/>
      <c r="N164" s="153"/>
      <c r="O164" s="153"/>
      <c r="P164" s="149"/>
      <c r="Q164" s="149"/>
      <c r="R164" s="149"/>
      <c r="S164" s="149"/>
      <c r="T164" s="149"/>
      <c r="U164" s="149"/>
      <c r="V164" s="149"/>
      <c r="W164" s="149"/>
      <c r="X164" s="149"/>
      <c r="Y164" s="149"/>
      <c r="Z164" s="149"/>
    </row>
    <row r="165" ht="11.25" customHeight="1">
      <c r="A165" s="149"/>
      <c r="B165" s="149"/>
      <c r="C165" s="149"/>
      <c r="D165" s="149"/>
      <c r="E165" s="149"/>
      <c r="F165" s="149"/>
      <c r="G165" s="149"/>
      <c r="H165" s="153"/>
      <c r="I165" s="153"/>
      <c r="J165" s="153"/>
      <c r="K165" s="153"/>
      <c r="L165" s="153"/>
      <c r="M165" s="153"/>
      <c r="N165" s="153"/>
      <c r="O165" s="153"/>
      <c r="P165" s="149"/>
      <c r="Q165" s="149"/>
      <c r="R165" s="149"/>
      <c r="S165" s="149"/>
      <c r="T165" s="149"/>
      <c r="U165" s="149"/>
      <c r="V165" s="149"/>
      <c r="W165" s="149"/>
      <c r="X165" s="149"/>
      <c r="Y165" s="149"/>
      <c r="Z165" s="149"/>
    </row>
    <row r="166" ht="11.25" customHeight="1">
      <c r="A166" s="149"/>
      <c r="B166" s="149"/>
      <c r="C166" s="149"/>
      <c r="D166" s="149"/>
      <c r="E166" s="149"/>
      <c r="F166" s="149"/>
      <c r="G166" s="149"/>
      <c r="H166" s="153"/>
      <c r="I166" s="153"/>
      <c r="J166" s="153"/>
      <c r="K166" s="153"/>
      <c r="L166" s="153"/>
      <c r="M166" s="153"/>
      <c r="N166" s="153"/>
      <c r="O166" s="153"/>
      <c r="P166" s="149"/>
      <c r="Q166" s="149"/>
      <c r="R166" s="149"/>
      <c r="S166" s="149"/>
      <c r="T166" s="149"/>
      <c r="U166" s="149"/>
      <c r="V166" s="149"/>
      <c r="W166" s="149"/>
      <c r="X166" s="149"/>
      <c r="Y166" s="149"/>
      <c r="Z166" s="149"/>
    </row>
    <row r="167" ht="11.25" customHeight="1">
      <c r="A167" s="149"/>
      <c r="B167" s="149"/>
      <c r="C167" s="149"/>
      <c r="D167" s="149"/>
      <c r="E167" s="149"/>
      <c r="F167" s="149"/>
      <c r="G167" s="149"/>
      <c r="H167" s="153"/>
      <c r="I167" s="153"/>
      <c r="J167" s="153"/>
      <c r="K167" s="153"/>
      <c r="L167" s="153"/>
      <c r="M167" s="153"/>
      <c r="N167" s="153"/>
      <c r="O167" s="153"/>
      <c r="P167" s="149"/>
      <c r="Q167" s="149"/>
      <c r="R167" s="149"/>
      <c r="S167" s="149"/>
      <c r="T167" s="149"/>
      <c r="U167" s="149"/>
      <c r="V167" s="149"/>
      <c r="W167" s="149"/>
      <c r="X167" s="149"/>
      <c r="Y167" s="149"/>
      <c r="Z167" s="149"/>
    </row>
    <row r="168" ht="11.25" customHeight="1">
      <c r="A168" s="149"/>
      <c r="B168" s="149"/>
      <c r="C168" s="149"/>
      <c r="D168" s="149"/>
      <c r="E168" s="149"/>
      <c r="F168" s="149"/>
      <c r="G168" s="149"/>
      <c r="H168" s="153"/>
      <c r="I168" s="153"/>
      <c r="J168" s="153"/>
      <c r="K168" s="153"/>
      <c r="L168" s="153"/>
      <c r="M168" s="153"/>
      <c r="N168" s="153"/>
      <c r="O168" s="153"/>
      <c r="P168" s="149"/>
      <c r="Q168" s="149"/>
      <c r="R168" s="149"/>
      <c r="S168" s="149"/>
      <c r="T168" s="149"/>
      <c r="U168" s="149"/>
      <c r="V168" s="149"/>
      <c r="W168" s="149"/>
      <c r="X168" s="149"/>
      <c r="Y168" s="149"/>
      <c r="Z168" s="149"/>
    </row>
    <row r="169" ht="11.25" customHeight="1">
      <c r="A169" s="149"/>
      <c r="B169" s="149"/>
      <c r="C169" s="149"/>
      <c r="D169" s="149"/>
      <c r="E169" s="149"/>
      <c r="F169" s="149"/>
      <c r="G169" s="149"/>
      <c r="H169" s="153"/>
      <c r="I169" s="153"/>
      <c r="J169" s="153"/>
      <c r="K169" s="153"/>
      <c r="L169" s="153"/>
      <c r="M169" s="153"/>
      <c r="N169" s="153"/>
      <c r="O169" s="153"/>
      <c r="P169" s="149"/>
      <c r="Q169" s="149"/>
      <c r="R169" s="149"/>
      <c r="S169" s="149"/>
      <c r="T169" s="149"/>
      <c r="U169" s="149"/>
      <c r="V169" s="149"/>
      <c r="W169" s="149"/>
      <c r="X169" s="149"/>
      <c r="Y169" s="149"/>
      <c r="Z169" s="149"/>
    </row>
    <row r="170" ht="11.25" customHeight="1">
      <c r="A170" s="149"/>
      <c r="B170" s="149"/>
      <c r="C170" s="149"/>
      <c r="D170" s="149"/>
      <c r="E170" s="149"/>
      <c r="F170" s="149"/>
      <c r="G170" s="149"/>
      <c r="H170" s="153"/>
      <c r="I170" s="153"/>
      <c r="J170" s="153"/>
      <c r="K170" s="153"/>
      <c r="L170" s="153"/>
      <c r="M170" s="153"/>
      <c r="N170" s="153"/>
      <c r="O170" s="153"/>
      <c r="P170" s="149"/>
      <c r="Q170" s="149"/>
      <c r="R170" s="149"/>
      <c r="S170" s="149"/>
      <c r="T170" s="149"/>
      <c r="U170" s="149"/>
      <c r="V170" s="149"/>
      <c r="W170" s="149"/>
      <c r="X170" s="149"/>
      <c r="Y170" s="149"/>
      <c r="Z170" s="149"/>
    </row>
    <row r="171" ht="11.25" customHeight="1">
      <c r="A171" s="149"/>
      <c r="B171" s="149"/>
      <c r="C171" s="149"/>
      <c r="D171" s="149"/>
      <c r="E171" s="149"/>
      <c r="F171" s="149"/>
      <c r="G171" s="149"/>
      <c r="H171" s="153"/>
      <c r="I171" s="153"/>
      <c r="J171" s="153"/>
      <c r="K171" s="153"/>
      <c r="L171" s="153"/>
      <c r="M171" s="153"/>
      <c r="N171" s="153"/>
      <c r="O171" s="153"/>
      <c r="P171" s="149"/>
      <c r="Q171" s="149"/>
      <c r="R171" s="149"/>
      <c r="S171" s="149"/>
      <c r="T171" s="149"/>
      <c r="U171" s="149"/>
      <c r="V171" s="149"/>
      <c r="W171" s="149"/>
      <c r="X171" s="149"/>
      <c r="Y171" s="149"/>
      <c r="Z171" s="149"/>
    </row>
    <row r="172" ht="11.25" customHeight="1">
      <c r="A172" s="149"/>
      <c r="B172" s="149"/>
      <c r="C172" s="149"/>
      <c r="D172" s="149"/>
      <c r="E172" s="149"/>
      <c r="F172" s="149"/>
      <c r="G172" s="149"/>
      <c r="H172" s="153"/>
      <c r="I172" s="153"/>
      <c r="J172" s="153"/>
      <c r="K172" s="153"/>
      <c r="L172" s="153"/>
      <c r="M172" s="153"/>
      <c r="N172" s="153"/>
      <c r="O172" s="153"/>
      <c r="P172" s="149"/>
      <c r="Q172" s="149"/>
      <c r="R172" s="149"/>
      <c r="S172" s="149"/>
      <c r="T172" s="149"/>
      <c r="U172" s="149"/>
      <c r="V172" s="149"/>
      <c r="W172" s="149"/>
      <c r="X172" s="149"/>
      <c r="Y172" s="149"/>
      <c r="Z172" s="149"/>
    </row>
    <row r="173" ht="11.25" customHeight="1">
      <c r="A173" s="149"/>
      <c r="B173" s="149"/>
      <c r="C173" s="149"/>
      <c r="D173" s="149"/>
      <c r="E173" s="149"/>
      <c r="F173" s="149"/>
      <c r="G173" s="149"/>
      <c r="H173" s="153"/>
      <c r="I173" s="153"/>
      <c r="J173" s="153"/>
      <c r="K173" s="153"/>
      <c r="L173" s="153"/>
      <c r="M173" s="153"/>
      <c r="N173" s="153"/>
      <c r="O173" s="153"/>
      <c r="P173" s="149"/>
      <c r="Q173" s="149"/>
      <c r="R173" s="149"/>
      <c r="S173" s="149"/>
      <c r="T173" s="149"/>
      <c r="U173" s="149"/>
      <c r="V173" s="149"/>
      <c r="W173" s="149"/>
      <c r="X173" s="149"/>
      <c r="Y173" s="149"/>
      <c r="Z173" s="149"/>
    </row>
    <row r="174" ht="11.25" customHeight="1">
      <c r="A174" s="149"/>
      <c r="B174" s="149"/>
      <c r="C174" s="149"/>
      <c r="D174" s="149"/>
      <c r="E174" s="149"/>
      <c r="F174" s="149"/>
      <c r="G174" s="149"/>
      <c r="H174" s="153"/>
      <c r="I174" s="153"/>
      <c r="J174" s="153"/>
      <c r="K174" s="153"/>
      <c r="L174" s="153"/>
      <c r="M174" s="153"/>
      <c r="N174" s="153"/>
      <c r="O174" s="153"/>
      <c r="P174" s="149"/>
      <c r="Q174" s="149"/>
      <c r="R174" s="149"/>
      <c r="S174" s="149"/>
      <c r="T174" s="149"/>
      <c r="U174" s="149"/>
      <c r="V174" s="149"/>
      <c r="W174" s="149"/>
      <c r="X174" s="149"/>
      <c r="Y174" s="149"/>
      <c r="Z174" s="149"/>
    </row>
    <row r="175" ht="11.25" customHeight="1">
      <c r="A175" s="149"/>
      <c r="B175" s="149"/>
      <c r="C175" s="149"/>
      <c r="D175" s="149"/>
      <c r="E175" s="149"/>
      <c r="F175" s="149"/>
      <c r="G175" s="149"/>
      <c r="H175" s="153"/>
      <c r="I175" s="153"/>
      <c r="J175" s="153"/>
      <c r="K175" s="153"/>
      <c r="L175" s="153"/>
      <c r="M175" s="153"/>
      <c r="N175" s="153"/>
      <c r="O175" s="153"/>
      <c r="P175" s="149"/>
      <c r="Q175" s="149"/>
      <c r="R175" s="149"/>
      <c r="S175" s="149"/>
      <c r="T175" s="149"/>
      <c r="U175" s="149"/>
      <c r="V175" s="149"/>
      <c r="W175" s="149"/>
      <c r="X175" s="149"/>
      <c r="Y175" s="149"/>
      <c r="Z175" s="149"/>
    </row>
    <row r="176" ht="11.25" customHeight="1">
      <c r="A176" s="149"/>
      <c r="B176" s="149"/>
      <c r="C176" s="149"/>
      <c r="D176" s="149"/>
      <c r="E176" s="149"/>
      <c r="F176" s="149"/>
      <c r="G176" s="149"/>
      <c r="H176" s="153"/>
      <c r="I176" s="153"/>
      <c r="J176" s="153"/>
      <c r="K176" s="153"/>
      <c r="L176" s="153"/>
      <c r="M176" s="153"/>
      <c r="N176" s="153"/>
      <c r="O176" s="153"/>
      <c r="P176" s="149"/>
      <c r="Q176" s="149"/>
      <c r="R176" s="149"/>
      <c r="S176" s="149"/>
      <c r="T176" s="149"/>
      <c r="U176" s="149"/>
      <c r="V176" s="149"/>
      <c r="W176" s="149"/>
      <c r="X176" s="149"/>
      <c r="Y176" s="149"/>
      <c r="Z176" s="149"/>
    </row>
    <row r="177" ht="11.25" customHeight="1">
      <c r="A177" s="149"/>
      <c r="B177" s="149"/>
      <c r="C177" s="149"/>
      <c r="D177" s="149"/>
      <c r="E177" s="149"/>
      <c r="F177" s="149"/>
      <c r="G177" s="149"/>
      <c r="H177" s="153"/>
      <c r="I177" s="153"/>
      <c r="J177" s="153"/>
      <c r="K177" s="153"/>
      <c r="L177" s="153"/>
      <c r="M177" s="153"/>
      <c r="N177" s="153"/>
      <c r="O177" s="153"/>
      <c r="P177" s="149"/>
      <c r="Q177" s="149"/>
      <c r="R177" s="149"/>
      <c r="S177" s="149"/>
      <c r="T177" s="149"/>
      <c r="U177" s="149"/>
      <c r="V177" s="149"/>
      <c r="W177" s="149"/>
      <c r="X177" s="149"/>
      <c r="Y177" s="149"/>
      <c r="Z177" s="149"/>
    </row>
    <row r="178" ht="11.25" customHeight="1">
      <c r="A178" s="149"/>
      <c r="B178" s="149"/>
      <c r="C178" s="149"/>
      <c r="D178" s="149"/>
      <c r="E178" s="149"/>
      <c r="F178" s="149"/>
      <c r="G178" s="149"/>
      <c r="H178" s="153"/>
      <c r="I178" s="153"/>
      <c r="J178" s="153"/>
      <c r="K178" s="153"/>
      <c r="L178" s="153"/>
      <c r="M178" s="153"/>
      <c r="N178" s="153"/>
      <c r="O178" s="153"/>
      <c r="P178" s="149"/>
      <c r="Q178" s="149"/>
      <c r="R178" s="149"/>
      <c r="S178" s="149"/>
      <c r="T178" s="149"/>
      <c r="U178" s="149"/>
      <c r="V178" s="149"/>
      <c r="W178" s="149"/>
      <c r="X178" s="149"/>
      <c r="Y178" s="149"/>
      <c r="Z178" s="149"/>
    </row>
    <row r="179" ht="11.25" customHeight="1">
      <c r="A179" s="149"/>
      <c r="B179" s="149"/>
      <c r="C179" s="149"/>
      <c r="D179" s="149"/>
      <c r="E179" s="149"/>
      <c r="F179" s="149"/>
      <c r="G179" s="149"/>
      <c r="H179" s="153"/>
      <c r="I179" s="153"/>
      <c r="J179" s="153"/>
      <c r="K179" s="153"/>
      <c r="L179" s="153"/>
      <c r="M179" s="153"/>
      <c r="N179" s="153"/>
      <c r="O179" s="153"/>
      <c r="P179" s="149"/>
      <c r="Q179" s="149"/>
      <c r="R179" s="149"/>
      <c r="S179" s="149"/>
      <c r="T179" s="149"/>
      <c r="U179" s="149"/>
      <c r="V179" s="149"/>
      <c r="W179" s="149"/>
      <c r="X179" s="149"/>
      <c r="Y179" s="149"/>
      <c r="Z179" s="149"/>
    </row>
    <row r="180" ht="11.25" customHeight="1">
      <c r="A180" s="149"/>
      <c r="B180" s="149"/>
      <c r="C180" s="149"/>
      <c r="D180" s="149"/>
      <c r="E180" s="149"/>
      <c r="F180" s="149"/>
      <c r="G180" s="149"/>
      <c r="H180" s="153"/>
      <c r="I180" s="153"/>
      <c r="J180" s="153"/>
      <c r="K180" s="153"/>
      <c r="L180" s="153"/>
      <c r="M180" s="153"/>
      <c r="N180" s="153"/>
      <c r="O180" s="153"/>
      <c r="P180" s="149"/>
      <c r="Q180" s="149"/>
      <c r="R180" s="149"/>
      <c r="S180" s="149"/>
      <c r="T180" s="149"/>
      <c r="U180" s="149"/>
      <c r="V180" s="149"/>
      <c r="W180" s="149"/>
      <c r="X180" s="149"/>
      <c r="Y180" s="149"/>
      <c r="Z180" s="149"/>
    </row>
    <row r="181" ht="11.25" customHeight="1">
      <c r="A181" s="149"/>
      <c r="B181" s="149"/>
      <c r="C181" s="149"/>
      <c r="D181" s="149"/>
      <c r="E181" s="149"/>
      <c r="F181" s="149"/>
      <c r="G181" s="149"/>
      <c r="H181" s="153"/>
      <c r="I181" s="153"/>
      <c r="J181" s="153"/>
      <c r="K181" s="153"/>
      <c r="L181" s="153"/>
      <c r="M181" s="153"/>
      <c r="N181" s="153"/>
      <c r="O181" s="153"/>
      <c r="P181" s="149"/>
      <c r="Q181" s="149"/>
      <c r="R181" s="149"/>
      <c r="S181" s="149"/>
      <c r="T181" s="149"/>
      <c r="U181" s="149"/>
      <c r="V181" s="149"/>
      <c r="W181" s="149"/>
      <c r="X181" s="149"/>
      <c r="Y181" s="149"/>
      <c r="Z181" s="149"/>
    </row>
    <row r="182" ht="11.25" customHeight="1">
      <c r="A182" s="149"/>
      <c r="B182" s="149"/>
      <c r="C182" s="149"/>
      <c r="D182" s="149"/>
      <c r="E182" s="149"/>
      <c r="F182" s="149"/>
      <c r="G182" s="149"/>
      <c r="H182" s="153"/>
      <c r="I182" s="153"/>
      <c r="J182" s="153"/>
      <c r="K182" s="153"/>
      <c r="L182" s="153"/>
      <c r="M182" s="153"/>
      <c r="N182" s="153"/>
      <c r="O182" s="153"/>
      <c r="P182" s="149"/>
      <c r="Q182" s="149"/>
      <c r="R182" s="149"/>
      <c r="S182" s="149"/>
      <c r="T182" s="149"/>
      <c r="U182" s="149"/>
      <c r="V182" s="149"/>
      <c r="W182" s="149"/>
      <c r="X182" s="149"/>
      <c r="Y182" s="149"/>
      <c r="Z182" s="149"/>
    </row>
    <row r="183" ht="11.25" customHeight="1">
      <c r="A183" s="149"/>
      <c r="B183" s="149"/>
      <c r="C183" s="149"/>
      <c r="D183" s="149"/>
      <c r="E183" s="149"/>
      <c r="F183" s="149"/>
      <c r="G183" s="149"/>
      <c r="H183" s="153"/>
      <c r="I183" s="153"/>
      <c r="J183" s="153"/>
      <c r="K183" s="153"/>
      <c r="L183" s="153"/>
      <c r="M183" s="153"/>
      <c r="N183" s="153"/>
      <c r="O183" s="153"/>
      <c r="P183" s="149"/>
      <c r="Q183" s="149"/>
      <c r="R183" s="149"/>
      <c r="S183" s="149"/>
      <c r="T183" s="149"/>
      <c r="U183" s="149"/>
      <c r="V183" s="149"/>
      <c r="W183" s="149"/>
      <c r="X183" s="149"/>
      <c r="Y183" s="149"/>
      <c r="Z183" s="149"/>
    </row>
    <row r="184" ht="11.25" customHeight="1">
      <c r="A184" s="149"/>
      <c r="B184" s="149"/>
      <c r="C184" s="149"/>
      <c r="D184" s="149"/>
      <c r="E184" s="149"/>
      <c r="F184" s="149"/>
      <c r="G184" s="149"/>
      <c r="H184" s="153"/>
      <c r="I184" s="153"/>
      <c r="J184" s="153"/>
      <c r="K184" s="153"/>
      <c r="L184" s="153"/>
      <c r="M184" s="153"/>
      <c r="N184" s="153"/>
      <c r="O184" s="153"/>
      <c r="P184" s="149"/>
      <c r="Q184" s="149"/>
      <c r="R184" s="149"/>
      <c r="S184" s="149"/>
      <c r="T184" s="149"/>
      <c r="U184" s="149"/>
      <c r="V184" s="149"/>
      <c r="W184" s="149"/>
      <c r="X184" s="149"/>
      <c r="Y184" s="149"/>
      <c r="Z184" s="149"/>
    </row>
    <row r="185" ht="11.25" customHeight="1">
      <c r="A185" s="149"/>
      <c r="B185" s="149"/>
      <c r="C185" s="149"/>
      <c r="D185" s="149"/>
      <c r="E185" s="149"/>
      <c r="F185" s="149"/>
      <c r="G185" s="149"/>
      <c r="H185" s="153"/>
      <c r="I185" s="153"/>
      <c r="J185" s="153"/>
      <c r="K185" s="153"/>
      <c r="L185" s="153"/>
      <c r="M185" s="153"/>
      <c r="N185" s="153"/>
      <c r="O185" s="153"/>
      <c r="P185" s="149"/>
      <c r="Q185" s="149"/>
      <c r="R185" s="149"/>
      <c r="S185" s="149"/>
      <c r="T185" s="149"/>
      <c r="U185" s="149"/>
      <c r="V185" s="149"/>
      <c r="W185" s="149"/>
      <c r="X185" s="149"/>
      <c r="Y185" s="149"/>
      <c r="Z185" s="149"/>
    </row>
    <row r="186" ht="11.25" customHeight="1">
      <c r="A186" s="149"/>
      <c r="B186" s="149"/>
      <c r="C186" s="149"/>
      <c r="D186" s="149"/>
      <c r="E186" s="149"/>
      <c r="F186" s="149"/>
      <c r="G186" s="149"/>
      <c r="H186" s="153"/>
      <c r="I186" s="153"/>
      <c r="J186" s="153"/>
      <c r="K186" s="153"/>
      <c r="L186" s="153"/>
      <c r="M186" s="153"/>
      <c r="N186" s="153"/>
      <c r="O186" s="153"/>
      <c r="P186" s="149"/>
      <c r="Q186" s="149"/>
      <c r="R186" s="149"/>
      <c r="S186" s="149"/>
      <c r="T186" s="149"/>
      <c r="U186" s="149"/>
      <c r="V186" s="149"/>
      <c r="W186" s="149"/>
      <c r="X186" s="149"/>
      <c r="Y186" s="149"/>
      <c r="Z186" s="149"/>
    </row>
    <row r="187" ht="11.25" customHeight="1">
      <c r="A187" s="149"/>
      <c r="B187" s="149"/>
      <c r="C187" s="149"/>
      <c r="D187" s="149"/>
      <c r="E187" s="149"/>
      <c r="F187" s="149"/>
      <c r="G187" s="149"/>
      <c r="H187" s="153"/>
      <c r="I187" s="153"/>
      <c r="J187" s="153"/>
      <c r="K187" s="153"/>
      <c r="L187" s="153"/>
      <c r="M187" s="153"/>
      <c r="N187" s="153"/>
      <c r="O187" s="153"/>
      <c r="P187" s="149"/>
      <c r="Q187" s="149"/>
      <c r="R187" s="149"/>
      <c r="S187" s="149"/>
      <c r="T187" s="149"/>
      <c r="U187" s="149"/>
      <c r="V187" s="149"/>
      <c r="W187" s="149"/>
      <c r="X187" s="149"/>
      <c r="Y187" s="149"/>
      <c r="Z187" s="149"/>
    </row>
    <row r="188" ht="11.25" customHeight="1">
      <c r="A188" s="149"/>
      <c r="B188" s="149"/>
      <c r="C188" s="149"/>
      <c r="D188" s="149"/>
      <c r="E188" s="149"/>
      <c r="F188" s="149"/>
      <c r="G188" s="149"/>
      <c r="H188" s="153"/>
      <c r="I188" s="153"/>
      <c r="J188" s="153"/>
      <c r="K188" s="153"/>
      <c r="L188" s="153"/>
      <c r="M188" s="153"/>
      <c r="N188" s="153"/>
      <c r="O188" s="153"/>
      <c r="P188" s="149"/>
      <c r="Q188" s="149"/>
      <c r="R188" s="149"/>
      <c r="S188" s="149"/>
      <c r="T188" s="149"/>
      <c r="U188" s="149"/>
      <c r="V188" s="149"/>
      <c r="W188" s="149"/>
      <c r="X188" s="149"/>
      <c r="Y188" s="149"/>
      <c r="Z188" s="149"/>
    </row>
    <row r="189" ht="11.25" customHeight="1">
      <c r="A189" s="149"/>
      <c r="B189" s="149"/>
      <c r="C189" s="149"/>
      <c r="D189" s="149"/>
      <c r="E189" s="149"/>
      <c r="F189" s="149"/>
      <c r="G189" s="149"/>
      <c r="H189" s="153"/>
      <c r="I189" s="153"/>
      <c r="J189" s="153"/>
      <c r="K189" s="153"/>
      <c r="L189" s="153"/>
      <c r="M189" s="153"/>
      <c r="N189" s="153"/>
      <c r="O189" s="153"/>
      <c r="P189" s="149"/>
      <c r="Q189" s="149"/>
      <c r="R189" s="149"/>
      <c r="S189" s="149"/>
      <c r="T189" s="149"/>
      <c r="U189" s="149"/>
      <c r="V189" s="149"/>
      <c r="W189" s="149"/>
      <c r="X189" s="149"/>
      <c r="Y189" s="149"/>
      <c r="Z189" s="149"/>
    </row>
    <row r="190" ht="11.25" customHeight="1">
      <c r="A190" s="149"/>
      <c r="B190" s="149"/>
      <c r="C190" s="149"/>
      <c r="D190" s="149"/>
      <c r="E190" s="149"/>
      <c r="F190" s="149"/>
      <c r="G190" s="149"/>
      <c r="H190" s="153"/>
      <c r="I190" s="153"/>
      <c r="J190" s="153"/>
      <c r="K190" s="153"/>
      <c r="L190" s="153"/>
      <c r="M190" s="153"/>
      <c r="N190" s="153"/>
      <c r="O190" s="153"/>
      <c r="P190" s="149"/>
      <c r="Q190" s="149"/>
      <c r="R190" s="149"/>
      <c r="S190" s="149"/>
      <c r="T190" s="149"/>
      <c r="U190" s="149"/>
      <c r="V190" s="149"/>
      <c r="W190" s="149"/>
      <c r="X190" s="149"/>
      <c r="Y190" s="149"/>
      <c r="Z190" s="149"/>
    </row>
    <row r="191" ht="11.25" customHeight="1">
      <c r="A191" s="149"/>
      <c r="B191" s="149"/>
      <c r="C191" s="149"/>
      <c r="D191" s="149"/>
      <c r="E191" s="149"/>
      <c r="F191" s="149"/>
      <c r="G191" s="149"/>
      <c r="H191" s="153"/>
      <c r="I191" s="153"/>
      <c r="J191" s="153"/>
      <c r="K191" s="153"/>
      <c r="L191" s="153"/>
      <c r="M191" s="153"/>
      <c r="N191" s="153"/>
      <c r="O191" s="153"/>
      <c r="P191" s="149"/>
      <c r="Q191" s="149"/>
      <c r="R191" s="149"/>
      <c r="S191" s="149"/>
      <c r="T191" s="149"/>
      <c r="U191" s="149"/>
      <c r="V191" s="149"/>
      <c r="W191" s="149"/>
      <c r="X191" s="149"/>
      <c r="Y191" s="149"/>
      <c r="Z191" s="149"/>
    </row>
    <row r="192" ht="11.25" customHeight="1">
      <c r="A192" s="149"/>
      <c r="B192" s="149"/>
      <c r="C192" s="149"/>
      <c r="D192" s="149"/>
      <c r="E192" s="149"/>
      <c r="F192" s="149"/>
      <c r="G192" s="149"/>
      <c r="H192" s="153"/>
      <c r="I192" s="153"/>
      <c r="J192" s="153"/>
      <c r="K192" s="153"/>
      <c r="L192" s="153"/>
      <c r="M192" s="153"/>
      <c r="N192" s="153"/>
      <c r="O192" s="153"/>
      <c r="P192" s="149"/>
      <c r="Q192" s="149"/>
      <c r="R192" s="149"/>
      <c r="S192" s="149"/>
      <c r="T192" s="149"/>
      <c r="U192" s="149"/>
      <c r="V192" s="149"/>
      <c r="W192" s="149"/>
      <c r="X192" s="149"/>
      <c r="Y192" s="149"/>
      <c r="Z192" s="149"/>
    </row>
    <row r="193" ht="11.25" customHeight="1">
      <c r="A193" s="149"/>
      <c r="B193" s="149"/>
      <c r="C193" s="149"/>
      <c r="D193" s="149"/>
      <c r="E193" s="149"/>
      <c r="F193" s="149"/>
      <c r="G193" s="149"/>
      <c r="H193" s="153"/>
      <c r="I193" s="153"/>
      <c r="J193" s="153"/>
      <c r="K193" s="153"/>
      <c r="L193" s="153"/>
      <c r="M193" s="153"/>
      <c r="N193" s="153"/>
      <c r="O193" s="153"/>
      <c r="P193" s="149"/>
      <c r="Q193" s="149"/>
      <c r="R193" s="149"/>
      <c r="S193" s="149"/>
      <c r="T193" s="149"/>
      <c r="U193" s="149"/>
      <c r="V193" s="149"/>
      <c r="W193" s="149"/>
      <c r="X193" s="149"/>
      <c r="Y193" s="149"/>
      <c r="Z193" s="149"/>
    </row>
    <row r="194" ht="11.25" customHeight="1">
      <c r="A194" s="149"/>
      <c r="B194" s="149"/>
      <c r="C194" s="149"/>
      <c r="D194" s="149"/>
      <c r="E194" s="149"/>
      <c r="F194" s="149"/>
      <c r="G194" s="149"/>
      <c r="H194" s="153"/>
      <c r="I194" s="153"/>
      <c r="J194" s="153"/>
      <c r="K194" s="153"/>
      <c r="L194" s="153"/>
      <c r="M194" s="153"/>
      <c r="N194" s="153"/>
      <c r="O194" s="153"/>
      <c r="P194" s="149"/>
      <c r="Q194" s="149"/>
      <c r="R194" s="149"/>
      <c r="S194" s="149"/>
      <c r="T194" s="149"/>
      <c r="U194" s="149"/>
      <c r="V194" s="149"/>
      <c r="W194" s="149"/>
      <c r="X194" s="149"/>
      <c r="Y194" s="149"/>
      <c r="Z194" s="149"/>
    </row>
    <row r="195" ht="11.25" customHeight="1">
      <c r="A195" s="149"/>
      <c r="B195" s="149"/>
      <c r="C195" s="149"/>
      <c r="D195" s="149"/>
      <c r="E195" s="149"/>
      <c r="F195" s="149"/>
      <c r="G195" s="149"/>
      <c r="H195" s="153"/>
      <c r="I195" s="153"/>
      <c r="J195" s="153"/>
      <c r="K195" s="153"/>
      <c r="L195" s="153"/>
      <c r="M195" s="153"/>
      <c r="N195" s="153"/>
      <c r="O195" s="153"/>
      <c r="P195" s="149"/>
      <c r="Q195" s="149"/>
      <c r="R195" s="149"/>
      <c r="S195" s="149"/>
      <c r="T195" s="149"/>
      <c r="U195" s="149"/>
      <c r="V195" s="149"/>
      <c r="W195" s="149"/>
      <c r="X195" s="149"/>
      <c r="Y195" s="149"/>
      <c r="Z195" s="149"/>
    </row>
    <row r="196" ht="11.25" customHeight="1">
      <c r="A196" s="149"/>
      <c r="B196" s="149"/>
      <c r="C196" s="149"/>
      <c r="D196" s="149"/>
      <c r="E196" s="149"/>
      <c r="F196" s="149"/>
      <c r="G196" s="149"/>
      <c r="H196" s="153"/>
      <c r="I196" s="153"/>
      <c r="J196" s="153"/>
      <c r="K196" s="153"/>
      <c r="L196" s="153"/>
      <c r="M196" s="153"/>
      <c r="N196" s="153"/>
      <c r="O196" s="153"/>
      <c r="P196" s="149"/>
      <c r="Q196" s="149"/>
      <c r="R196" s="149"/>
      <c r="S196" s="149"/>
      <c r="T196" s="149"/>
      <c r="U196" s="149"/>
      <c r="V196" s="149"/>
      <c r="W196" s="149"/>
      <c r="X196" s="149"/>
      <c r="Y196" s="149"/>
      <c r="Z196" s="149"/>
    </row>
    <row r="197" ht="11.25" customHeight="1">
      <c r="A197" s="149"/>
      <c r="B197" s="149"/>
      <c r="C197" s="149"/>
      <c r="D197" s="149"/>
      <c r="E197" s="149"/>
      <c r="F197" s="149"/>
      <c r="G197" s="149"/>
      <c r="H197" s="153"/>
      <c r="I197" s="153"/>
      <c r="J197" s="153"/>
      <c r="K197" s="153"/>
      <c r="L197" s="153"/>
      <c r="M197" s="153"/>
      <c r="N197" s="153"/>
      <c r="O197" s="153"/>
      <c r="P197" s="149"/>
      <c r="Q197" s="149"/>
      <c r="R197" s="149"/>
      <c r="S197" s="149"/>
      <c r="T197" s="149"/>
      <c r="U197" s="149"/>
      <c r="V197" s="149"/>
      <c r="W197" s="149"/>
      <c r="X197" s="149"/>
      <c r="Y197" s="149"/>
      <c r="Z197" s="149"/>
    </row>
    <row r="198" ht="11.25" customHeight="1">
      <c r="A198" s="149"/>
      <c r="B198" s="149"/>
      <c r="C198" s="149"/>
      <c r="D198" s="149"/>
      <c r="E198" s="149"/>
      <c r="F198" s="149"/>
      <c r="G198" s="149"/>
      <c r="H198" s="153"/>
      <c r="I198" s="153"/>
      <c r="J198" s="153"/>
      <c r="K198" s="153"/>
      <c r="L198" s="153"/>
      <c r="M198" s="153"/>
      <c r="N198" s="153"/>
      <c r="O198" s="153"/>
      <c r="P198" s="149"/>
      <c r="Q198" s="149"/>
      <c r="R198" s="149"/>
      <c r="S198" s="149"/>
      <c r="T198" s="149"/>
      <c r="U198" s="149"/>
      <c r="V198" s="149"/>
      <c r="W198" s="149"/>
      <c r="X198" s="149"/>
      <c r="Y198" s="149"/>
      <c r="Z198" s="149"/>
    </row>
    <row r="199" ht="11.25" customHeight="1">
      <c r="A199" s="149"/>
      <c r="B199" s="149"/>
      <c r="C199" s="149"/>
      <c r="D199" s="149"/>
      <c r="E199" s="149"/>
      <c r="F199" s="149"/>
      <c r="G199" s="149"/>
      <c r="H199" s="153"/>
      <c r="I199" s="153"/>
      <c r="J199" s="153"/>
      <c r="K199" s="153"/>
      <c r="L199" s="153"/>
      <c r="M199" s="153"/>
      <c r="N199" s="153"/>
      <c r="O199" s="153"/>
      <c r="P199" s="149"/>
      <c r="Q199" s="149"/>
      <c r="R199" s="149"/>
      <c r="S199" s="149"/>
      <c r="T199" s="149"/>
      <c r="U199" s="149"/>
      <c r="V199" s="149"/>
      <c r="W199" s="149"/>
      <c r="X199" s="149"/>
      <c r="Y199" s="149"/>
      <c r="Z199" s="149"/>
    </row>
    <row r="200" ht="11.25" customHeight="1">
      <c r="A200" s="149"/>
      <c r="B200" s="149"/>
      <c r="C200" s="149"/>
      <c r="D200" s="149"/>
      <c r="E200" s="149"/>
      <c r="F200" s="149"/>
      <c r="G200" s="149"/>
      <c r="H200" s="153"/>
      <c r="I200" s="153"/>
      <c r="J200" s="153"/>
      <c r="K200" s="153"/>
      <c r="L200" s="153"/>
      <c r="M200" s="153"/>
      <c r="N200" s="153"/>
      <c r="O200" s="153"/>
      <c r="P200" s="149"/>
      <c r="Q200" s="149"/>
      <c r="R200" s="149"/>
      <c r="S200" s="149"/>
      <c r="T200" s="149"/>
      <c r="U200" s="149"/>
      <c r="V200" s="149"/>
      <c r="W200" s="149"/>
      <c r="X200" s="149"/>
      <c r="Y200" s="149"/>
      <c r="Z200" s="149"/>
    </row>
    <row r="201" ht="11.25" customHeight="1">
      <c r="A201" s="149"/>
      <c r="B201" s="149"/>
      <c r="C201" s="149"/>
      <c r="D201" s="149"/>
      <c r="E201" s="149"/>
      <c r="F201" s="149"/>
      <c r="G201" s="149"/>
      <c r="H201" s="153"/>
      <c r="I201" s="153"/>
      <c r="J201" s="153"/>
      <c r="K201" s="153"/>
      <c r="L201" s="153"/>
      <c r="M201" s="153"/>
      <c r="N201" s="153"/>
      <c r="O201" s="153"/>
      <c r="P201" s="149"/>
      <c r="Q201" s="149"/>
      <c r="R201" s="149"/>
      <c r="S201" s="149"/>
      <c r="T201" s="149"/>
      <c r="U201" s="149"/>
      <c r="V201" s="149"/>
      <c r="W201" s="149"/>
      <c r="X201" s="149"/>
      <c r="Y201" s="149"/>
      <c r="Z201" s="149"/>
    </row>
    <row r="202" ht="11.25" customHeight="1">
      <c r="A202" s="149"/>
      <c r="B202" s="149"/>
      <c r="C202" s="149"/>
      <c r="D202" s="149"/>
      <c r="E202" s="149"/>
      <c r="F202" s="149"/>
      <c r="G202" s="149"/>
      <c r="H202" s="153"/>
      <c r="I202" s="153"/>
      <c r="J202" s="153"/>
      <c r="K202" s="153"/>
      <c r="L202" s="153"/>
      <c r="M202" s="153"/>
      <c r="N202" s="153"/>
      <c r="O202" s="153"/>
      <c r="P202" s="149"/>
      <c r="Q202" s="149"/>
      <c r="R202" s="149"/>
      <c r="S202" s="149"/>
      <c r="T202" s="149"/>
      <c r="U202" s="149"/>
      <c r="V202" s="149"/>
      <c r="W202" s="149"/>
      <c r="X202" s="149"/>
      <c r="Y202" s="149"/>
      <c r="Z202" s="149"/>
    </row>
    <row r="203" ht="11.25" customHeight="1">
      <c r="A203" s="149"/>
      <c r="B203" s="149"/>
      <c r="C203" s="149"/>
      <c r="D203" s="149"/>
      <c r="E203" s="149"/>
      <c r="F203" s="149"/>
      <c r="G203" s="149"/>
      <c r="H203" s="153"/>
      <c r="I203" s="153"/>
      <c r="J203" s="153"/>
      <c r="K203" s="153"/>
      <c r="L203" s="153"/>
      <c r="M203" s="153"/>
      <c r="N203" s="153"/>
      <c r="O203" s="153"/>
      <c r="P203" s="149"/>
      <c r="Q203" s="149"/>
      <c r="R203" s="149"/>
      <c r="S203" s="149"/>
      <c r="T203" s="149"/>
      <c r="U203" s="149"/>
      <c r="V203" s="149"/>
      <c r="W203" s="149"/>
      <c r="X203" s="149"/>
      <c r="Y203" s="149"/>
      <c r="Z203" s="149"/>
    </row>
    <row r="204" ht="11.25" customHeight="1">
      <c r="A204" s="149"/>
      <c r="B204" s="149"/>
      <c r="C204" s="149"/>
      <c r="D204" s="149"/>
      <c r="E204" s="149"/>
      <c r="F204" s="149"/>
      <c r="G204" s="149"/>
      <c r="H204" s="153"/>
      <c r="I204" s="153"/>
      <c r="J204" s="153"/>
      <c r="K204" s="153"/>
      <c r="L204" s="153"/>
      <c r="M204" s="153"/>
      <c r="N204" s="153"/>
      <c r="O204" s="153"/>
      <c r="P204" s="149"/>
      <c r="Q204" s="149"/>
      <c r="R204" s="149"/>
      <c r="S204" s="149"/>
      <c r="T204" s="149"/>
      <c r="U204" s="149"/>
      <c r="V204" s="149"/>
      <c r="W204" s="149"/>
      <c r="X204" s="149"/>
      <c r="Y204" s="149"/>
      <c r="Z204" s="149"/>
    </row>
    <row r="205" ht="11.25" customHeight="1">
      <c r="A205" s="149"/>
      <c r="B205" s="149"/>
      <c r="C205" s="149"/>
      <c r="D205" s="149"/>
      <c r="E205" s="149"/>
      <c r="F205" s="149"/>
      <c r="G205" s="149"/>
      <c r="H205" s="153"/>
      <c r="I205" s="153"/>
      <c r="J205" s="153"/>
      <c r="K205" s="153"/>
      <c r="L205" s="153"/>
      <c r="M205" s="153"/>
      <c r="N205" s="153"/>
      <c r="O205" s="153"/>
      <c r="P205" s="149"/>
      <c r="Q205" s="149"/>
      <c r="R205" s="149"/>
      <c r="S205" s="149"/>
      <c r="T205" s="149"/>
      <c r="U205" s="149"/>
      <c r="V205" s="149"/>
      <c r="W205" s="149"/>
      <c r="X205" s="149"/>
      <c r="Y205" s="149"/>
      <c r="Z205" s="149"/>
    </row>
    <row r="206" ht="11.25" customHeight="1">
      <c r="A206" s="149"/>
      <c r="B206" s="149"/>
      <c r="C206" s="149"/>
      <c r="D206" s="149"/>
      <c r="E206" s="149"/>
      <c r="F206" s="149"/>
      <c r="G206" s="149"/>
      <c r="H206" s="153"/>
      <c r="I206" s="153"/>
      <c r="J206" s="153"/>
      <c r="K206" s="153"/>
      <c r="L206" s="153"/>
      <c r="M206" s="153"/>
      <c r="N206" s="153"/>
      <c r="O206" s="153"/>
      <c r="P206" s="149"/>
      <c r="Q206" s="149"/>
      <c r="R206" s="149"/>
      <c r="S206" s="149"/>
      <c r="T206" s="149"/>
      <c r="U206" s="149"/>
      <c r="V206" s="149"/>
      <c r="W206" s="149"/>
      <c r="X206" s="149"/>
      <c r="Y206" s="149"/>
      <c r="Z206" s="149"/>
    </row>
    <row r="207" ht="11.25" customHeight="1">
      <c r="A207" s="149"/>
      <c r="B207" s="149"/>
      <c r="C207" s="149"/>
      <c r="D207" s="149"/>
      <c r="E207" s="149"/>
      <c r="F207" s="149"/>
      <c r="G207" s="149"/>
      <c r="H207" s="153"/>
      <c r="I207" s="153"/>
      <c r="J207" s="153"/>
      <c r="K207" s="153"/>
      <c r="L207" s="153"/>
      <c r="M207" s="153"/>
      <c r="N207" s="153"/>
      <c r="O207" s="153"/>
      <c r="P207" s="149"/>
      <c r="Q207" s="149"/>
      <c r="R207" s="149"/>
      <c r="S207" s="149"/>
      <c r="T207" s="149"/>
      <c r="U207" s="149"/>
      <c r="V207" s="149"/>
      <c r="W207" s="149"/>
      <c r="X207" s="149"/>
      <c r="Y207" s="149"/>
      <c r="Z207" s="149"/>
    </row>
    <row r="208" ht="11.25" customHeight="1">
      <c r="A208" s="149"/>
      <c r="B208" s="149"/>
      <c r="C208" s="149"/>
      <c r="D208" s="149"/>
      <c r="E208" s="149"/>
      <c r="F208" s="149"/>
      <c r="G208" s="149"/>
      <c r="H208" s="153"/>
      <c r="I208" s="153"/>
      <c r="J208" s="153"/>
      <c r="K208" s="153"/>
      <c r="L208" s="153"/>
      <c r="M208" s="153"/>
      <c r="N208" s="153"/>
      <c r="O208" s="153"/>
      <c r="P208" s="149"/>
      <c r="Q208" s="149"/>
      <c r="R208" s="149"/>
      <c r="S208" s="149"/>
      <c r="T208" s="149"/>
      <c r="U208" s="149"/>
      <c r="V208" s="149"/>
      <c r="W208" s="149"/>
      <c r="X208" s="149"/>
      <c r="Y208" s="149"/>
      <c r="Z208" s="149"/>
    </row>
    <row r="209" ht="11.25" customHeight="1">
      <c r="A209" s="149"/>
      <c r="B209" s="149"/>
      <c r="C209" s="149"/>
      <c r="D209" s="149"/>
      <c r="E209" s="149"/>
      <c r="F209" s="149"/>
      <c r="G209" s="149"/>
      <c r="H209" s="153"/>
      <c r="I209" s="153"/>
      <c r="J209" s="153"/>
      <c r="K209" s="153"/>
      <c r="L209" s="153"/>
      <c r="M209" s="153"/>
      <c r="N209" s="153"/>
      <c r="O209" s="153"/>
      <c r="P209" s="149"/>
      <c r="Q209" s="149"/>
      <c r="R209" s="149"/>
      <c r="S209" s="149"/>
      <c r="T209" s="149"/>
      <c r="U209" s="149"/>
      <c r="V209" s="149"/>
      <c r="W209" s="149"/>
      <c r="X209" s="149"/>
      <c r="Y209" s="149"/>
      <c r="Z209" s="149"/>
    </row>
    <row r="210" ht="11.25" customHeight="1">
      <c r="A210" s="149"/>
      <c r="B210" s="149"/>
      <c r="C210" s="149"/>
      <c r="D210" s="149"/>
      <c r="E210" s="149"/>
      <c r="F210" s="149"/>
      <c r="G210" s="149"/>
      <c r="H210" s="153"/>
      <c r="I210" s="153"/>
      <c r="J210" s="153"/>
      <c r="K210" s="153"/>
      <c r="L210" s="153"/>
      <c r="M210" s="153"/>
      <c r="N210" s="153"/>
      <c r="O210" s="153"/>
      <c r="P210" s="149"/>
      <c r="Q210" s="149"/>
      <c r="R210" s="149"/>
      <c r="S210" s="149"/>
      <c r="T210" s="149"/>
      <c r="U210" s="149"/>
      <c r="V210" s="149"/>
      <c r="W210" s="149"/>
      <c r="X210" s="149"/>
      <c r="Y210" s="149"/>
      <c r="Z210" s="149"/>
    </row>
    <row r="211" ht="11.25" customHeight="1">
      <c r="A211" s="149"/>
      <c r="B211" s="149"/>
      <c r="C211" s="149"/>
      <c r="D211" s="149"/>
      <c r="E211" s="149"/>
      <c r="F211" s="149"/>
      <c r="G211" s="149"/>
      <c r="H211" s="153"/>
      <c r="I211" s="153"/>
      <c r="J211" s="153"/>
      <c r="K211" s="153"/>
      <c r="L211" s="153"/>
      <c r="M211" s="153"/>
      <c r="N211" s="153"/>
      <c r="O211" s="153"/>
      <c r="P211" s="149"/>
      <c r="Q211" s="149"/>
      <c r="R211" s="149"/>
      <c r="S211" s="149"/>
      <c r="T211" s="149"/>
      <c r="U211" s="149"/>
      <c r="V211" s="149"/>
      <c r="W211" s="149"/>
      <c r="X211" s="149"/>
      <c r="Y211" s="149"/>
      <c r="Z211" s="149"/>
    </row>
    <row r="212" ht="11.25" customHeight="1">
      <c r="A212" s="149"/>
      <c r="B212" s="149"/>
      <c r="C212" s="149"/>
      <c r="D212" s="149"/>
      <c r="E212" s="149"/>
      <c r="F212" s="149"/>
      <c r="G212" s="149"/>
      <c r="H212" s="153"/>
      <c r="I212" s="153"/>
      <c r="J212" s="153"/>
      <c r="K212" s="153"/>
      <c r="L212" s="153"/>
      <c r="M212" s="153"/>
      <c r="N212" s="153"/>
      <c r="O212" s="153"/>
      <c r="P212" s="149"/>
      <c r="Q212" s="149"/>
      <c r="R212" s="149"/>
      <c r="S212" s="149"/>
      <c r="T212" s="149"/>
      <c r="U212" s="149"/>
      <c r="V212" s="149"/>
      <c r="W212" s="149"/>
      <c r="X212" s="149"/>
      <c r="Y212" s="149"/>
      <c r="Z212" s="149"/>
    </row>
    <row r="213" ht="11.25" customHeight="1">
      <c r="A213" s="149"/>
      <c r="B213" s="149"/>
      <c r="C213" s="149"/>
      <c r="D213" s="149"/>
      <c r="E213" s="149"/>
      <c r="F213" s="149"/>
      <c r="G213" s="149"/>
      <c r="H213" s="153"/>
      <c r="I213" s="153"/>
      <c r="J213" s="153"/>
      <c r="K213" s="153"/>
      <c r="L213" s="153"/>
      <c r="M213" s="153"/>
      <c r="N213" s="153"/>
      <c r="O213" s="153"/>
      <c r="P213" s="149"/>
      <c r="Q213" s="149"/>
      <c r="R213" s="149"/>
      <c r="S213" s="149"/>
      <c r="T213" s="149"/>
      <c r="U213" s="149"/>
      <c r="V213" s="149"/>
      <c r="W213" s="149"/>
      <c r="X213" s="149"/>
      <c r="Y213" s="149"/>
      <c r="Z213" s="149"/>
    </row>
    <row r="214" ht="11.25" customHeight="1">
      <c r="A214" s="149"/>
      <c r="B214" s="149"/>
      <c r="C214" s="149"/>
      <c r="D214" s="149"/>
      <c r="E214" s="149"/>
      <c r="F214" s="149"/>
      <c r="G214" s="149"/>
      <c r="H214" s="153"/>
      <c r="I214" s="153"/>
      <c r="J214" s="153"/>
      <c r="K214" s="153"/>
      <c r="L214" s="153"/>
      <c r="M214" s="153"/>
      <c r="N214" s="153"/>
      <c r="O214" s="153"/>
      <c r="P214" s="149"/>
      <c r="Q214" s="149"/>
      <c r="R214" s="149"/>
      <c r="S214" s="149"/>
      <c r="T214" s="149"/>
      <c r="U214" s="149"/>
      <c r="V214" s="149"/>
      <c r="W214" s="149"/>
      <c r="X214" s="149"/>
      <c r="Y214" s="149"/>
      <c r="Z214" s="149"/>
    </row>
    <row r="215" ht="11.25" customHeight="1">
      <c r="A215" s="149"/>
      <c r="B215" s="149"/>
      <c r="C215" s="149"/>
      <c r="D215" s="149"/>
      <c r="E215" s="149"/>
      <c r="F215" s="149"/>
      <c r="G215" s="149"/>
      <c r="H215" s="153"/>
      <c r="I215" s="153"/>
      <c r="J215" s="153"/>
      <c r="K215" s="153"/>
      <c r="L215" s="153"/>
      <c r="M215" s="153"/>
      <c r="N215" s="153"/>
      <c r="O215" s="153"/>
      <c r="P215" s="149"/>
      <c r="Q215" s="149"/>
      <c r="R215" s="149"/>
      <c r="S215" s="149"/>
      <c r="T215" s="149"/>
      <c r="U215" s="149"/>
      <c r="V215" s="149"/>
      <c r="W215" s="149"/>
      <c r="X215" s="149"/>
      <c r="Y215" s="149"/>
      <c r="Z215" s="149"/>
    </row>
    <row r="216" ht="11.25" customHeight="1">
      <c r="A216" s="149"/>
      <c r="B216" s="149"/>
      <c r="C216" s="149"/>
      <c r="D216" s="149"/>
      <c r="E216" s="149"/>
      <c r="F216" s="149"/>
      <c r="G216" s="149"/>
      <c r="H216" s="153"/>
      <c r="I216" s="153"/>
      <c r="J216" s="153"/>
      <c r="K216" s="153"/>
      <c r="L216" s="153"/>
      <c r="M216" s="153"/>
      <c r="N216" s="153"/>
      <c r="O216" s="153"/>
      <c r="P216" s="149"/>
      <c r="Q216" s="149"/>
      <c r="R216" s="149"/>
      <c r="S216" s="149"/>
      <c r="T216" s="149"/>
      <c r="U216" s="149"/>
      <c r="V216" s="149"/>
      <c r="W216" s="149"/>
      <c r="X216" s="149"/>
      <c r="Y216" s="149"/>
      <c r="Z216" s="149"/>
    </row>
    <row r="217" ht="11.25" customHeight="1">
      <c r="A217" s="149"/>
      <c r="B217" s="149"/>
      <c r="C217" s="149"/>
      <c r="D217" s="149"/>
      <c r="E217" s="149"/>
      <c r="F217" s="149"/>
      <c r="G217" s="149"/>
      <c r="H217" s="153"/>
      <c r="I217" s="153"/>
      <c r="J217" s="153"/>
      <c r="K217" s="153"/>
      <c r="L217" s="153"/>
      <c r="M217" s="153"/>
      <c r="N217" s="153"/>
      <c r="O217" s="153"/>
      <c r="P217" s="149"/>
      <c r="Q217" s="149"/>
      <c r="R217" s="149"/>
      <c r="S217" s="149"/>
      <c r="T217" s="149"/>
      <c r="U217" s="149"/>
      <c r="V217" s="149"/>
      <c r="W217" s="149"/>
      <c r="X217" s="149"/>
      <c r="Y217" s="149"/>
      <c r="Z217" s="149"/>
    </row>
    <row r="218" ht="11.25" customHeight="1">
      <c r="A218" s="149"/>
      <c r="B218" s="149"/>
      <c r="C218" s="149"/>
      <c r="D218" s="149"/>
      <c r="E218" s="149"/>
      <c r="F218" s="149"/>
      <c r="G218" s="149"/>
      <c r="H218" s="153"/>
      <c r="I218" s="153"/>
      <c r="J218" s="153"/>
      <c r="K218" s="153"/>
      <c r="L218" s="153"/>
      <c r="M218" s="153"/>
      <c r="N218" s="153"/>
      <c r="O218" s="153"/>
      <c r="P218" s="149"/>
      <c r="Q218" s="149"/>
      <c r="R218" s="149"/>
      <c r="S218" s="149"/>
      <c r="T218" s="149"/>
      <c r="U218" s="149"/>
      <c r="V218" s="149"/>
      <c r="W218" s="149"/>
      <c r="X218" s="149"/>
      <c r="Y218" s="149"/>
      <c r="Z218" s="149"/>
    </row>
    <row r="219" ht="11.25" customHeight="1">
      <c r="A219" s="149"/>
      <c r="B219" s="149"/>
      <c r="C219" s="149"/>
      <c r="D219" s="149"/>
      <c r="E219" s="149"/>
      <c r="F219" s="149"/>
      <c r="G219" s="149"/>
      <c r="H219" s="153"/>
      <c r="I219" s="153"/>
      <c r="J219" s="153"/>
      <c r="K219" s="153"/>
      <c r="L219" s="153"/>
      <c r="M219" s="153"/>
      <c r="N219" s="153"/>
      <c r="O219" s="153"/>
      <c r="P219" s="149"/>
      <c r="Q219" s="149"/>
      <c r="R219" s="149"/>
      <c r="S219" s="149"/>
      <c r="T219" s="149"/>
      <c r="U219" s="149"/>
      <c r="V219" s="149"/>
      <c r="W219" s="149"/>
      <c r="X219" s="149"/>
      <c r="Y219" s="149"/>
      <c r="Z219" s="149"/>
    </row>
    <row r="220" ht="11.25" customHeight="1">
      <c r="A220" s="149"/>
      <c r="B220" s="149"/>
      <c r="C220" s="149"/>
      <c r="D220" s="149"/>
      <c r="E220" s="149"/>
      <c r="F220" s="149"/>
      <c r="G220" s="149"/>
      <c r="H220" s="153"/>
      <c r="I220" s="153"/>
      <c r="J220" s="153"/>
      <c r="K220" s="153"/>
      <c r="L220" s="153"/>
      <c r="M220" s="153"/>
      <c r="N220" s="153"/>
      <c r="O220" s="153"/>
      <c r="P220" s="149"/>
      <c r="Q220" s="149"/>
      <c r="R220" s="149"/>
      <c r="S220" s="149"/>
      <c r="T220" s="149"/>
      <c r="U220" s="149"/>
      <c r="V220" s="149"/>
      <c r="W220" s="149"/>
      <c r="X220" s="149"/>
      <c r="Y220" s="149"/>
      <c r="Z220" s="149"/>
    </row>
    <row r="221" ht="11.25" customHeight="1">
      <c r="A221" s="149"/>
      <c r="B221" s="149"/>
      <c r="C221" s="149"/>
      <c r="D221" s="149"/>
      <c r="E221" s="149"/>
      <c r="F221" s="149"/>
      <c r="G221" s="149"/>
      <c r="H221" s="153"/>
      <c r="I221" s="153"/>
      <c r="J221" s="153"/>
      <c r="K221" s="153"/>
      <c r="L221" s="153"/>
      <c r="M221" s="153"/>
      <c r="N221" s="153"/>
      <c r="O221" s="153"/>
      <c r="P221" s="149"/>
      <c r="Q221" s="149"/>
      <c r="R221" s="149"/>
      <c r="S221" s="149"/>
      <c r="T221" s="149"/>
      <c r="U221" s="149"/>
      <c r="V221" s="149"/>
      <c r="W221" s="149"/>
      <c r="X221" s="149"/>
      <c r="Y221" s="149"/>
      <c r="Z221" s="149"/>
    </row>
    <row r="222" ht="11.25" customHeight="1">
      <c r="A222" s="149"/>
      <c r="B222" s="149"/>
      <c r="C222" s="149"/>
      <c r="D222" s="149"/>
      <c r="E222" s="149"/>
      <c r="F222" s="149"/>
      <c r="G222" s="149"/>
      <c r="H222" s="153"/>
      <c r="I222" s="153"/>
      <c r="J222" s="153"/>
      <c r="K222" s="153"/>
      <c r="L222" s="153"/>
      <c r="M222" s="153"/>
      <c r="N222" s="153"/>
      <c r="O222" s="153"/>
      <c r="P222" s="149"/>
      <c r="Q222" s="149"/>
      <c r="R222" s="149"/>
      <c r="S222" s="149"/>
      <c r="T222" s="149"/>
      <c r="U222" s="149"/>
      <c r="V222" s="149"/>
      <c r="W222" s="149"/>
      <c r="X222" s="149"/>
      <c r="Y222" s="149"/>
      <c r="Z222" s="149"/>
    </row>
    <row r="223" ht="11.25" customHeight="1">
      <c r="A223" s="149"/>
      <c r="B223" s="149"/>
      <c r="C223" s="149"/>
      <c r="D223" s="149"/>
      <c r="E223" s="149"/>
      <c r="F223" s="149"/>
      <c r="G223" s="149"/>
      <c r="H223" s="153"/>
      <c r="I223" s="153"/>
      <c r="J223" s="153"/>
      <c r="K223" s="153"/>
      <c r="L223" s="153"/>
      <c r="M223" s="153"/>
      <c r="N223" s="153"/>
      <c r="O223" s="153"/>
      <c r="P223" s="149"/>
      <c r="Q223" s="149"/>
      <c r="R223" s="149"/>
      <c r="S223" s="149"/>
      <c r="T223" s="149"/>
      <c r="U223" s="149"/>
      <c r="V223" s="149"/>
      <c r="W223" s="149"/>
      <c r="X223" s="149"/>
      <c r="Y223" s="149"/>
      <c r="Z223" s="149"/>
    </row>
    <row r="224" ht="11.25" customHeight="1">
      <c r="A224" s="149"/>
      <c r="B224" s="149"/>
      <c r="C224" s="149"/>
      <c r="D224" s="149"/>
      <c r="E224" s="149"/>
      <c r="F224" s="149"/>
      <c r="G224" s="149"/>
      <c r="H224" s="153"/>
      <c r="I224" s="153"/>
      <c r="J224" s="153"/>
      <c r="K224" s="153"/>
      <c r="L224" s="153"/>
      <c r="M224" s="153"/>
      <c r="N224" s="153"/>
      <c r="O224" s="153"/>
      <c r="P224" s="149"/>
      <c r="Q224" s="149"/>
      <c r="R224" s="149"/>
      <c r="S224" s="149"/>
      <c r="T224" s="149"/>
      <c r="U224" s="149"/>
      <c r="V224" s="149"/>
      <c r="W224" s="149"/>
      <c r="X224" s="149"/>
      <c r="Y224" s="149"/>
      <c r="Z224" s="149"/>
    </row>
    <row r="225" ht="11.25" customHeight="1">
      <c r="A225" s="149"/>
      <c r="B225" s="149"/>
      <c r="C225" s="149"/>
      <c r="D225" s="149"/>
      <c r="E225" s="149"/>
      <c r="F225" s="149"/>
      <c r="G225" s="149"/>
      <c r="H225" s="153"/>
      <c r="I225" s="153"/>
      <c r="J225" s="153"/>
      <c r="K225" s="153"/>
      <c r="L225" s="153"/>
      <c r="M225" s="153"/>
      <c r="N225" s="153"/>
      <c r="O225" s="153"/>
      <c r="P225" s="149"/>
      <c r="Q225" s="149"/>
      <c r="R225" s="149"/>
      <c r="S225" s="149"/>
      <c r="T225" s="149"/>
      <c r="U225" s="149"/>
      <c r="V225" s="149"/>
      <c r="W225" s="149"/>
      <c r="X225" s="149"/>
      <c r="Y225" s="149"/>
      <c r="Z225" s="149"/>
    </row>
    <row r="226" ht="11.25" customHeight="1">
      <c r="A226" s="149"/>
      <c r="B226" s="149"/>
      <c r="C226" s="149"/>
      <c r="D226" s="149"/>
      <c r="E226" s="149"/>
      <c r="F226" s="149"/>
      <c r="G226" s="149"/>
      <c r="H226" s="153"/>
      <c r="I226" s="153"/>
      <c r="J226" s="153"/>
      <c r="K226" s="153"/>
      <c r="L226" s="153"/>
      <c r="M226" s="153"/>
      <c r="N226" s="153"/>
      <c r="O226" s="153"/>
      <c r="P226" s="149"/>
      <c r="Q226" s="149"/>
      <c r="R226" s="149"/>
      <c r="S226" s="149"/>
      <c r="T226" s="149"/>
      <c r="U226" s="149"/>
      <c r="V226" s="149"/>
      <c r="W226" s="149"/>
      <c r="X226" s="149"/>
      <c r="Y226" s="149"/>
      <c r="Z226" s="149"/>
    </row>
    <row r="227" ht="11.25" customHeight="1">
      <c r="A227" s="149"/>
      <c r="B227" s="149"/>
      <c r="C227" s="149"/>
      <c r="D227" s="149"/>
      <c r="E227" s="149"/>
      <c r="F227" s="149"/>
      <c r="G227" s="149"/>
      <c r="H227" s="153"/>
      <c r="I227" s="153"/>
      <c r="J227" s="153"/>
      <c r="K227" s="153"/>
      <c r="L227" s="153"/>
      <c r="M227" s="153"/>
      <c r="N227" s="153"/>
      <c r="O227" s="153"/>
      <c r="P227" s="149"/>
      <c r="Q227" s="149"/>
      <c r="R227" s="149"/>
      <c r="S227" s="149"/>
      <c r="T227" s="149"/>
      <c r="U227" s="149"/>
      <c r="V227" s="149"/>
      <c r="W227" s="149"/>
      <c r="X227" s="149"/>
      <c r="Y227" s="149"/>
      <c r="Z227" s="149"/>
    </row>
    <row r="228" ht="11.25" customHeight="1">
      <c r="A228" s="149"/>
      <c r="B228" s="149"/>
      <c r="C228" s="149"/>
      <c r="D228" s="149"/>
      <c r="E228" s="149"/>
      <c r="F228" s="149"/>
      <c r="G228" s="149"/>
      <c r="H228" s="153"/>
      <c r="I228" s="153"/>
      <c r="J228" s="153"/>
      <c r="K228" s="153"/>
      <c r="L228" s="153"/>
      <c r="M228" s="153"/>
      <c r="N228" s="153"/>
      <c r="O228" s="153"/>
      <c r="P228" s="149"/>
      <c r="Q228" s="149"/>
      <c r="R228" s="149"/>
      <c r="S228" s="149"/>
      <c r="T228" s="149"/>
      <c r="U228" s="149"/>
      <c r="V228" s="149"/>
      <c r="W228" s="149"/>
      <c r="X228" s="149"/>
      <c r="Y228" s="149"/>
      <c r="Z228" s="149"/>
    </row>
    <row r="229" ht="11.25" customHeight="1">
      <c r="A229" s="149"/>
      <c r="B229" s="149"/>
      <c r="C229" s="149"/>
      <c r="D229" s="149"/>
      <c r="E229" s="149"/>
      <c r="F229" s="149"/>
      <c r="G229" s="149"/>
      <c r="H229" s="153"/>
      <c r="I229" s="153"/>
      <c r="J229" s="153"/>
      <c r="K229" s="153"/>
      <c r="L229" s="153"/>
      <c r="M229" s="153"/>
      <c r="N229" s="153"/>
      <c r="O229" s="153"/>
      <c r="P229" s="149"/>
      <c r="Q229" s="149"/>
      <c r="R229" s="149"/>
      <c r="S229" s="149"/>
      <c r="T229" s="149"/>
      <c r="U229" s="149"/>
      <c r="V229" s="149"/>
      <c r="W229" s="149"/>
      <c r="X229" s="149"/>
      <c r="Y229" s="149"/>
      <c r="Z229" s="149"/>
    </row>
    <row r="230" ht="11.25" customHeight="1">
      <c r="A230" s="149"/>
      <c r="B230" s="149"/>
      <c r="C230" s="149"/>
      <c r="D230" s="149"/>
      <c r="E230" s="149"/>
      <c r="F230" s="149"/>
      <c r="G230" s="149"/>
      <c r="H230" s="153"/>
      <c r="I230" s="153"/>
      <c r="J230" s="153"/>
      <c r="K230" s="153"/>
      <c r="L230" s="153"/>
      <c r="M230" s="153"/>
      <c r="N230" s="153"/>
      <c r="O230" s="153"/>
      <c r="P230" s="149"/>
      <c r="Q230" s="149"/>
      <c r="R230" s="149"/>
      <c r="S230" s="149"/>
      <c r="T230" s="149"/>
      <c r="U230" s="149"/>
      <c r="V230" s="149"/>
      <c r="W230" s="149"/>
      <c r="X230" s="149"/>
      <c r="Y230" s="149"/>
      <c r="Z230" s="149"/>
    </row>
    <row r="231" ht="11.25" customHeight="1">
      <c r="A231" s="149"/>
      <c r="B231" s="149"/>
      <c r="C231" s="149"/>
      <c r="D231" s="149"/>
      <c r="E231" s="149"/>
      <c r="F231" s="149"/>
      <c r="G231" s="149"/>
      <c r="H231" s="153"/>
      <c r="I231" s="153"/>
      <c r="J231" s="153"/>
      <c r="K231" s="153"/>
      <c r="L231" s="153"/>
      <c r="M231" s="153"/>
      <c r="N231" s="153"/>
      <c r="O231" s="153"/>
      <c r="P231" s="149"/>
      <c r="Q231" s="149"/>
      <c r="R231" s="149"/>
      <c r="S231" s="149"/>
      <c r="T231" s="149"/>
      <c r="U231" s="149"/>
      <c r="V231" s="149"/>
      <c r="W231" s="149"/>
      <c r="X231" s="149"/>
      <c r="Y231" s="149"/>
      <c r="Z231" s="149"/>
    </row>
    <row r="232" ht="11.25" customHeight="1">
      <c r="A232" s="149"/>
      <c r="B232" s="149"/>
      <c r="C232" s="149"/>
      <c r="D232" s="149"/>
      <c r="E232" s="149"/>
      <c r="F232" s="149"/>
      <c r="G232" s="149"/>
      <c r="H232" s="153"/>
      <c r="I232" s="153"/>
      <c r="J232" s="153"/>
      <c r="K232" s="153"/>
      <c r="L232" s="153"/>
      <c r="M232" s="153"/>
      <c r="N232" s="153"/>
      <c r="O232" s="153"/>
      <c r="P232" s="149"/>
      <c r="Q232" s="149"/>
      <c r="R232" s="149"/>
      <c r="S232" s="149"/>
      <c r="T232" s="149"/>
      <c r="U232" s="149"/>
      <c r="V232" s="149"/>
      <c r="W232" s="149"/>
      <c r="X232" s="149"/>
      <c r="Y232" s="149"/>
      <c r="Z232" s="149"/>
    </row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/>
  <pageMargins bottom="0.77" footer="0.0" header="0.0" left="0.38" right="0.16" top="0.73"/>
  <pageSetup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8.75"/>
    <col customWidth="1" min="3" max="3" width="9.75"/>
    <col customWidth="1" min="4" max="4" width="9.13"/>
    <col customWidth="1" min="5" max="6" width="9.75"/>
    <col customWidth="1" min="7" max="7" width="10.13"/>
    <col customWidth="1" min="8" max="8" width="8.88"/>
    <col customWidth="1" min="9" max="9" width="9.63"/>
    <col customWidth="1" min="10" max="10" width="10.13"/>
    <col customWidth="1" min="11" max="26" width="9.13"/>
  </cols>
  <sheetData>
    <row r="1" ht="11.25" customHeight="1">
      <c r="A1" s="184" t="s">
        <v>12</v>
      </c>
      <c r="B1" s="184" t="s">
        <v>548</v>
      </c>
      <c r="C1" s="184" t="s">
        <v>549</v>
      </c>
      <c r="D1" s="184" t="s">
        <v>550</v>
      </c>
      <c r="E1" s="184" t="s">
        <v>551</v>
      </c>
      <c r="F1" s="184" t="s">
        <v>552</v>
      </c>
      <c r="G1" s="184" t="s">
        <v>553</v>
      </c>
      <c r="H1" s="184" t="s">
        <v>37</v>
      </c>
      <c r="I1" s="184" t="s">
        <v>554</v>
      </c>
      <c r="J1" s="149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</row>
    <row r="2" ht="11.25" customHeight="1">
      <c r="A2" s="186" t="s">
        <v>555</v>
      </c>
      <c r="B2" s="187"/>
      <c r="C2" s="187"/>
      <c r="D2" s="188"/>
      <c r="E2" s="187"/>
      <c r="F2" s="187"/>
      <c r="G2" s="187"/>
      <c r="H2" s="188"/>
      <c r="I2" s="187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</row>
    <row r="3" ht="11.25" customHeight="1">
      <c r="A3" s="186" t="s">
        <v>556</v>
      </c>
      <c r="B3" s="187"/>
      <c r="C3" s="187"/>
      <c r="D3" s="188"/>
      <c r="E3" s="187"/>
      <c r="F3" s="187"/>
      <c r="G3" s="187"/>
      <c r="H3" s="188"/>
      <c r="I3" s="187"/>
      <c r="J3" s="189"/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</row>
    <row r="4" ht="11.25" customHeight="1">
      <c r="A4" s="186" t="s">
        <v>557</v>
      </c>
      <c r="B4" s="187"/>
      <c r="C4" s="187"/>
      <c r="D4" s="188"/>
      <c r="E4" s="187"/>
      <c r="F4" s="187"/>
      <c r="G4" s="187"/>
      <c r="H4" s="188"/>
      <c r="I4" s="187"/>
      <c r="J4" s="189"/>
      <c r="K4" s="189"/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  <c r="X4" s="189"/>
      <c r="Y4" s="189"/>
      <c r="Z4" s="189"/>
    </row>
    <row r="5" ht="11.25" customHeight="1">
      <c r="A5" s="186" t="s">
        <v>558</v>
      </c>
      <c r="B5" s="187"/>
      <c r="C5" s="187"/>
      <c r="D5" s="188"/>
      <c r="E5" s="187"/>
      <c r="F5" s="187"/>
      <c r="G5" s="187"/>
      <c r="H5" s="188"/>
      <c r="I5" s="187"/>
      <c r="J5" s="189"/>
      <c r="K5" s="189"/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  <c r="X5" s="189"/>
      <c r="Y5" s="189"/>
      <c r="Z5" s="189"/>
    </row>
    <row r="6" ht="11.25" customHeight="1">
      <c r="A6" s="186" t="s">
        <v>559</v>
      </c>
      <c r="B6" s="187"/>
      <c r="C6" s="187"/>
      <c r="D6" s="188"/>
      <c r="E6" s="187"/>
      <c r="F6" s="187"/>
      <c r="G6" s="187"/>
      <c r="H6" s="188"/>
      <c r="I6" s="187"/>
      <c r="J6" s="189"/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  <c r="Y6" s="189"/>
      <c r="Z6" s="189"/>
    </row>
    <row r="7" ht="11.25" customHeight="1">
      <c r="A7" s="186" t="s">
        <v>560</v>
      </c>
      <c r="B7" s="187"/>
      <c r="C7" s="187"/>
      <c r="D7" s="188"/>
      <c r="E7" s="187"/>
      <c r="F7" s="187"/>
      <c r="G7" s="187"/>
      <c r="H7" s="188"/>
      <c r="I7" s="187"/>
      <c r="J7" s="189"/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89"/>
      <c r="X7" s="189"/>
      <c r="Y7" s="189"/>
      <c r="Z7" s="189"/>
    </row>
    <row r="8" ht="11.25" customHeight="1">
      <c r="A8" s="186" t="s">
        <v>561</v>
      </c>
      <c r="B8" s="187"/>
      <c r="C8" s="187"/>
      <c r="D8" s="188"/>
      <c r="E8" s="187"/>
      <c r="F8" s="187"/>
      <c r="G8" s="187"/>
      <c r="H8" s="188"/>
      <c r="I8" s="187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  <c r="X8" s="189"/>
      <c r="Y8" s="189"/>
      <c r="Z8" s="189"/>
    </row>
    <row r="9" ht="11.25" customHeight="1">
      <c r="A9" s="190" t="s">
        <v>541</v>
      </c>
      <c r="B9" s="191"/>
      <c r="C9" s="191"/>
      <c r="D9" s="188"/>
      <c r="E9" s="191"/>
      <c r="F9" s="191"/>
      <c r="G9" s="191"/>
      <c r="H9" s="188"/>
      <c r="I9" s="191"/>
      <c r="J9" s="189"/>
      <c r="K9" s="189"/>
      <c r="L9" s="192"/>
      <c r="M9" s="192"/>
      <c r="N9" s="192"/>
      <c r="O9" s="192"/>
      <c r="P9" s="192"/>
      <c r="Q9" s="192"/>
      <c r="R9" s="192"/>
      <c r="S9" s="192"/>
      <c r="T9" s="192"/>
      <c r="U9" s="192"/>
      <c r="V9" s="192"/>
      <c r="W9" s="192"/>
      <c r="X9" s="192"/>
      <c r="Y9" s="192"/>
      <c r="Z9" s="192"/>
    </row>
    <row r="10" ht="11.25" customHeight="1">
      <c r="A10" s="193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2"/>
      <c r="X10" s="192"/>
      <c r="Y10" s="192"/>
      <c r="Z10" s="192"/>
    </row>
    <row r="11" ht="11.25" customHeight="1">
      <c r="A11" s="193" t="s">
        <v>562</v>
      </c>
      <c r="B11" s="149"/>
      <c r="C11" s="149"/>
      <c r="D11" s="149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</row>
    <row r="12" ht="11.25" customHeight="1">
      <c r="A12" s="194"/>
      <c r="B12" s="195"/>
      <c r="C12" s="195"/>
      <c r="D12" s="195"/>
      <c r="E12" s="195"/>
      <c r="F12" s="195"/>
      <c r="G12" s="195"/>
      <c r="H12" s="195"/>
      <c r="I12" s="195"/>
      <c r="J12" s="149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  <c r="X12" s="149"/>
      <c r="Y12" s="149"/>
      <c r="Z12" s="149"/>
    </row>
    <row r="13" ht="11.25" customHeight="1">
      <c r="A13" s="149"/>
      <c r="B13" s="149"/>
      <c r="C13" s="149"/>
      <c r="D13" s="149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  <c r="Y13" s="149"/>
      <c r="Z13" s="149"/>
    </row>
    <row r="14" ht="11.25" customHeight="1">
      <c r="A14" s="149"/>
      <c r="B14" s="149"/>
      <c r="C14" s="149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149"/>
      <c r="Z14" s="149"/>
    </row>
    <row r="15" ht="11.25" customHeight="1">
      <c r="A15" s="149"/>
      <c r="B15" s="149"/>
      <c r="C15" s="149"/>
      <c r="D15" s="149"/>
      <c r="E15" s="149"/>
      <c r="F15" s="149"/>
      <c r="G15" s="149"/>
      <c r="H15" s="149"/>
      <c r="I15" s="149"/>
      <c r="J15" s="149"/>
      <c r="K15" s="149"/>
      <c r="L15" s="149"/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W15" s="149"/>
      <c r="X15" s="149"/>
      <c r="Y15" s="149"/>
      <c r="Z15" s="149"/>
    </row>
    <row r="16" ht="11.25" customHeight="1">
      <c r="A16" s="149"/>
      <c r="B16" s="149"/>
      <c r="C16" s="149"/>
      <c r="D16" s="149"/>
      <c r="E16" s="149"/>
      <c r="F16" s="149"/>
      <c r="G16" s="149"/>
      <c r="H16" s="149"/>
      <c r="I16" s="149"/>
      <c r="J16" s="149"/>
      <c r="K16" s="149"/>
      <c r="L16" s="149"/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W16" s="149"/>
      <c r="X16" s="149"/>
      <c r="Y16" s="149"/>
      <c r="Z16" s="149"/>
    </row>
    <row r="17" ht="11.25" customHeight="1">
      <c r="A17" s="149"/>
      <c r="B17" s="149"/>
      <c r="C17" s="149"/>
      <c r="D17" s="149"/>
      <c r="E17" s="149"/>
      <c r="F17" s="149"/>
      <c r="G17" s="149"/>
      <c r="H17" s="149"/>
      <c r="I17" s="149"/>
      <c r="J17" s="149"/>
      <c r="K17" s="149"/>
      <c r="L17" s="149"/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W17" s="149"/>
      <c r="X17" s="149"/>
      <c r="Y17" s="149"/>
      <c r="Z17" s="149"/>
    </row>
    <row r="18" ht="11.25" customHeight="1">
      <c r="A18" s="149"/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49"/>
      <c r="M18" s="149"/>
      <c r="N18" s="149"/>
      <c r="O18" s="149"/>
      <c r="P18" s="149"/>
      <c r="Q18" s="149"/>
      <c r="R18" s="149"/>
      <c r="S18" s="149"/>
      <c r="T18" s="149"/>
      <c r="U18" s="149"/>
      <c r="V18" s="149"/>
      <c r="W18" s="149"/>
      <c r="X18" s="149"/>
      <c r="Y18" s="149"/>
      <c r="Z18" s="149"/>
    </row>
    <row r="19" ht="11.25" customHeight="1">
      <c r="A19" s="149"/>
      <c r="B19" s="149"/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W19" s="149"/>
      <c r="X19" s="149"/>
      <c r="Y19" s="149"/>
      <c r="Z19" s="149"/>
    </row>
    <row r="20" ht="11.25" customHeight="1">
      <c r="A20" s="149"/>
      <c r="B20" s="149"/>
      <c r="C20" s="149"/>
      <c r="D20" s="149"/>
      <c r="E20" s="149"/>
      <c r="F20" s="149"/>
      <c r="G20" s="149"/>
      <c r="H20" s="149"/>
      <c r="I20" s="149"/>
      <c r="J20" s="149"/>
      <c r="K20" s="149"/>
      <c r="L20" s="149"/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W20" s="149"/>
      <c r="X20" s="149"/>
      <c r="Y20" s="149"/>
      <c r="Z20" s="149"/>
    </row>
    <row r="21" ht="11.25" customHeight="1">
      <c r="A21" s="149"/>
      <c r="B21" s="149"/>
      <c r="C21" s="149"/>
      <c r="D21" s="149"/>
      <c r="E21" s="149"/>
      <c r="F21" s="149"/>
      <c r="G21" s="149"/>
      <c r="H21" s="149"/>
      <c r="I21" s="149"/>
      <c r="J21" s="149"/>
      <c r="K21" s="149"/>
      <c r="L21" s="149"/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W21" s="149"/>
      <c r="X21" s="149"/>
      <c r="Y21" s="149"/>
      <c r="Z21" s="149"/>
    </row>
    <row r="22" ht="11.25" customHeight="1">
      <c r="A22" s="149"/>
      <c r="B22" s="149"/>
      <c r="C22" s="149"/>
      <c r="D22" s="149"/>
      <c r="E22" s="149"/>
      <c r="F22" s="149"/>
      <c r="G22" s="149"/>
      <c r="H22" s="149"/>
      <c r="I22" s="149"/>
      <c r="J22" s="149"/>
      <c r="K22" s="149"/>
      <c r="L22" s="149"/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W22" s="149"/>
      <c r="X22" s="149"/>
      <c r="Y22" s="149"/>
      <c r="Z22" s="149"/>
    </row>
    <row r="23" ht="11.25" customHeight="1">
      <c r="A23" s="149"/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</row>
    <row r="24" ht="11.25" customHeight="1">
      <c r="A24" s="149"/>
      <c r="B24" s="149"/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</row>
    <row r="25" ht="11.25" customHeight="1">
      <c r="A25" s="149"/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49"/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W25" s="149"/>
      <c r="X25" s="149"/>
      <c r="Y25" s="149"/>
      <c r="Z25" s="149"/>
    </row>
    <row r="26" ht="11.25" customHeight="1">
      <c r="A26" s="149"/>
      <c r="B26" s="149"/>
      <c r="C26" s="149"/>
      <c r="D26" s="149"/>
      <c r="E26" s="149"/>
      <c r="F26" s="149"/>
      <c r="G26" s="149"/>
      <c r="H26" s="149"/>
      <c r="I26" s="149"/>
      <c r="J26" s="149"/>
      <c r="K26" s="149"/>
      <c r="L26" s="149"/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W26" s="149"/>
      <c r="X26" s="149"/>
      <c r="Y26" s="149"/>
      <c r="Z26" s="149"/>
    </row>
    <row r="27" ht="11.25" customHeight="1">
      <c r="A27" s="149"/>
      <c r="B27" s="149"/>
      <c r="C27" s="149"/>
      <c r="D27" s="149"/>
      <c r="E27" s="149"/>
      <c r="F27" s="149"/>
      <c r="G27" s="149"/>
      <c r="H27" s="149"/>
      <c r="I27" s="149"/>
      <c r="J27" s="149"/>
      <c r="K27" s="149"/>
      <c r="L27" s="149"/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W27" s="149"/>
      <c r="X27" s="149"/>
      <c r="Y27" s="149"/>
      <c r="Z27" s="149"/>
    </row>
    <row r="28" ht="11.25" customHeight="1">
      <c r="A28" s="149"/>
      <c r="B28" s="149"/>
      <c r="C28" s="149"/>
      <c r="D28" s="149"/>
      <c r="E28" s="149"/>
      <c r="F28" s="149"/>
      <c r="G28" s="149"/>
      <c r="H28" s="149"/>
      <c r="I28" s="149"/>
      <c r="J28" s="149"/>
      <c r="K28" s="149"/>
      <c r="L28" s="149"/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W28" s="149"/>
      <c r="X28" s="149"/>
      <c r="Y28" s="149"/>
      <c r="Z28" s="149"/>
    </row>
    <row r="29" ht="11.25" customHeight="1">
      <c r="A29" s="149"/>
      <c r="B29" s="149"/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W29" s="149"/>
      <c r="X29" s="149"/>
      <c r="Y29" s="149"/>
      <c r="Z29" s="149"/>
    </row>
    <row r="30" ht="11.25" customHeight="1">
      <c r="A30" s="149"/>
      <c r="B30" s="149"/>
      <c r="C30" s="149"/>
      <c r="D30" s="149"/>
      <c r="E30" s="149"/>
      <c r="F30" s="149"/>
      <c r="G30" s="149"/>
      <c r="H30" s="149"/>
      <c r="I30" s="149"/>
      <c r="J30" s="149"/>
      <c r="K30" s="149"/>
      <c r="L30" s="149"/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W30" s="149"/>
      <c r="X30" s="149"/>
      <c r="Y30" s="149"/>
      <c r="Z30" s="149"/>
    </row>
    <row r="31" ht="11.25" customHeight="1">
      <c r="A31" s="149"/>
      <c r="B31" s="149"/>
      <c r="C31" s="149"/>
      <c r="D31" s="149"/>
      <c r="E31" s="149"/>
      <c r="F31" s="149"/>
      <c r="G31" s="149"/>
      <c r="H31" s="149"/>
      <c r="I31" s="149"/>
      <c r="J31" s="149"/>
      <c r="K31" s="149"/>
      <c r="L31" s="149"/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W31" s="149"/>
      <c r="X31" s="149"/>
      <c r="Y31" s="149"/>
      <c r="Z31" s="149"/>
    </row>
    <row r="32" ht="11.25" customHeight="1">
      <c r="A32" s="149"/>
      <c r="B32" s="149"/>
      <c r="C32" s="149"/>
      <c r="D32" s="149"/>
      <c r="E32" s="149"/>
      <c r="F32" s="149"/>
      <c r="G32" s="149"/>
      <c r="H32" s="149"/>
      <c r="I32" s="149"/>
      <c r="J32" s="149"/>
      <c r="K32" s="149"/>
      <c r="L32" s="149"/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W32" s="149"/>
      <c r="X32" s="149"/>
      <c r="Y32" s="149"/>
      <c r="Z32" s="149"/>
    </row>
    <row r="33" ht="11.25" customHeight="1">
      <c r="A33" s="149"/>
      <c r="B33" s="149"/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9"/>
      <c r="Y33" s="149"/>
      <c r="Z33" s="149"/>
    </row>
    <row r="34" ht="11.25" customHeight="1">
      <c r="A34" s="149"/>
      <c r="B34" s="149"/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W34" s="149"/>
      <c r="X34" s="149"/>
      <c r="Y34" s="149"/>
      <c r="Z34" s="149"/>
    </row>
    <row r="35" ht="11.25" customHeight="1">
      <c r="A35" s="149"/>
      <c r="B35" s="149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</row>
    <row r="36" ht="11.25" customHeight="1">
      <c r="A36" s="149"/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</row>
    <row r="37" ht="11.25" customHeight="1">
      <c r="A37" s="149"/>
      <c r="B37" s="149"/>
      <c r="C37" s="149"/>
      <c r="D37" s="149"/>
      <c r="E37" s="149"/>
      <c r="F37" s="149"/>
      <c r="G37" s="149"/>
      <c r="H37" s="149"/>
      <c r="I37" s="149"/>
      <c r="J37" s="149"/>
      <c r="K37" s="149"/>
      <c r="L37" s="149"/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W37" s="149"/>
      <c r="X37" s="149"/>
      <c r="Y37" s="149"/>
      <c r="Z37" s="149"/>
    </row>
    <row r="38" ht="11.25" customHeight="1">
      <c r="A38" s="149"/>
      <c r="B38" s="149"/>
      <c r="C38" s="149"/>
      <c r="D38" s="149"/>
      <c r="E38" s="149"/>
      <c r="F38" s="149"/>
      <c r="G38" s="149"/>
      <c r="H38" s="149"/>
      <c r="I38" s="149"/>
      <c r="J38" s="149"/>
      <c r="K38" s="149"/>
      <c r="L38" s="149"/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W38" s="149"/>
      <c r="X38" s="149"/>
      <c r="Y38" s="149"/>
      <c r="Z38" s="149"/>
    </row>
    <row r="39" ht="11.25" customHeight="1">
      <c r="A39" s="149"/>
      <c r="B39" s="149"/>
      <c r="C39" s="149"/>
      <c r="D39" s="149"/>
      <c r="E39" s="149"/>
      <c r="F39" s="149"/>
      <c r="G39" s="149"/>
      <c r="H39" s="149"/>
      <c r="I39" s="149"/>
      <c r="J39" s="149"/>
      <c r="K39" s="149"/>
      <c r="L39" s="149"/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W39" s="149"/>
      <c r="X39" s="149"/>
      <c r="Y39" s="149"/>
      <c r="Z39" s="149"/>
    </row>
    <row r="40" ht="11.25" customHeight="1">
      <c r="A40" s="149"/>
      <c r="B40" s="149"/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W40" s="149"/>
      <c r="X40" s="149"/>
      <c r="Y40" s="149"/>
      <c r="Z40" s="149"/>
    </row>
    <row r="41" ht="11.25" customHeight="1">
      <c r="A41" s="149"/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</row>
    <row r="42" ht="11.25" customHeight="1">
      <c r="A42" s="149"/>
      <c r="B42" s="149"/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49"/>
      <c r="Y42" s="149"/>
      <c r="Z42" s="149"/>
    </row>
    <row r="43" ht="11.25" customHeight="1">
      <c r="A43" s="149"/>
      <c r="B43" s="149"/>
      <c r="C43" s="149"/>
      <c r="D43" s="149"/>
      <c r="E43" s="149"/>
      <c r="F43" s="149"/>
      <c r="G43" s="149"/>
      <c r="H43" s="149"/>
      <c r="I43" s="149"/>
      <c r="J43" s="149"/>
      <c r="K43" s="149"/>
      <c r="L43" s="149"/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W43" s="149"/>
      <c r="X43" s="149"/>
      <c r="Y43" s="149"/>
      <c r="Z43" s="149"/>
    </row>
    <row r="44" ht="11.25" customHeight="1">
      <c r="A44" s="149"/>
      <c r="B44" s="149"/>
      <c r="C44" s="149"/>
      <c r="D44" s="149"/>
      <c r="E44" s="149"/>
      <c r="F44" s="149"/>
      <c r="G44" s="149"/>
      <c r="H44" s="149"/>
      <c r="I44" s="149"/>
      <c r="J44" s="149"/>
      <c r="K44" s="149"/>
      <c r="L44" s="149"/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W44" s="149"/>
      <c r="X44" s="149"/>
      <c r="Y44" s="149"/>
      <c r="Z44" s="149"/>
    </row>
    <row r="45" ht="11.25" customHeight="1">
      <c r="A45" s="149"/>
      <c r="B45" s="149"/>
      <c r="C45" s="149"/>
      <c r="D45" s="149"/>
      <c r="E45" s="149"/>
      <c r="F45" s="149"/>
      <c r="G45" s="149"/>
      <c r="H45" s="149"/>
      <c r="I45" s="149"/>
      <c r="J45" s="149"/>
      <c r="K45" s="149"/>
      <c r="L45" s="149"/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W45" s="149"/>
      <c r="X45" s="149"/>
      <c r="Y45" s="149"/>
      <c r="Z45" s="149"/>
    </row>
    <row r="46" ht="11.25" customHeight="1">
      <c r="A46" s="149"/>
      <c r="B46" s="149"/>
      <c r="C46" s="149"/>
      <c r="D46" s="149"/>
      <c r="E46" s="149"/>
      <c r="F46" s="149"/>
      <c r="G46" s="149"/>
      <c r="H46" s="149"/>
      <c r="I46" s="149"/>
      <c r="J46" s="149"/>
      <c r="K46" s="149"/>
      <c r="L46" s="149"/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W46" s="149"/>
      <c r="X46" s="149"/>
      <c r="Y46" s="149"/>
      <c r="Z46" s="149"/>
    </row>
    <row r="47" ht="11.25" customHeight="1">
      <c r="A47" s="149"/>
      <c r="B47" s="149"/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</row>
    <row r="48" ht="11.25" customHeight="1">
      <c r="A48" s="149"/>
      <c r="B48" s="149"/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</row>
    <row r="49" ht="11.25" customHeight="1">
      <c r="A49" s="149"/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  <c r="W49" s="149"/>
      <c r="X49" s="149"/>
      <c r="Y49" s="149"/>
      <c r="Z49" s="149"/>
    </row>
    <row r="50" ht="11.25" customHeight="1">
      <c r="A50" s="149"/>
      <c r="B50" s="149"/>
      <c r="C50" s="149"/>
      <c r="D50" s="149"/>
      <c r="E50" s="149"/>
      <c r="F50" s="149"/>
      <c r="G50" s="149"/>
      <c r="H50" s="149"/>
      <c r="I50" s="149"/>
      <c r="J50" s="149"/>
      <c r="K50" s="149"/>
      <c r="L50" s="149"/>
      <c r="M50" s="149"/>
      <c r="N50" s="149"/>
      <c r="O50" s="149"/>
      <c r="P50" s="149"/>
      <c r="Q50" s="149"/>
      <c r="R50" s="149"/>
      <c r="S50" s="149"/>
      <c r="T50" s="149"/>
      <c r="U50" s="149"/>
      <c r="V50" s="149"/>
      <c r="W50" s="149"/>
      <c r="X50" s="149"/>
      <c r="Y50" s="149"/>
      <c r="Z50" s="149"/>
    </row>
    <row r="51" ht="11.25" customHeight="1">
      <c r="A51" s="149"/>
      <c r="B51" s="149"/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</row>
    <row r="52" ht="11.25" customHeight="1">
      <c r="A52" s="149"/>
      <c r="B52" s="149"/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49"/>
      <c r="T52" s="149"/>
      <c r="U52" s="149"/>
      <c r="V52" s="149"/>
      <c r="W52" s="149"/>
      <c r="X52" s="149"/>
      <c r="Y52" s="149"/>
      <c r="Z52" s="149"/>
    </row>
    <row r="53" ht="11.25" customHeight="1">
      <c r="A53" s="149"/>
      <c r="B53" s="149"/>
      <c r="C53" s="149"/>
      <c r="D53" s="149"/>
      <c r="E53" s="149"/>
      <c r="F53" s="149"/>
      <c r="G53" s="149"/>
      <c r="H53" s="149"/>
      <c r="I53" s="149"/>
      <c r="J53" s="149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  <c r="W53" s="149"/>
      <c r="X53" s="149"/>
      <c r="Y53" s="149"/>
      <c r="Z53" s="149"/>
    </row>
    <row r="54" ht="11.25" customHeight="1">
      <c r="A54" s="149"/>
      <c r="B54" s="149"/>
      <c r="C54" s="149"/>
      <c r="D54" s="149"/>
      <c r="E54" s="149"/>
      <c r="F54" s="149"/>
      <c r="G54" s="149"/>
      <c r="H54" s="149"/>
      <c r="I54" s="149"/>
      <c r="J54" s="149"/>
      <c r="K54" s="149"/>
      <c r="L54" s="149"/>
      <c r="M54" s="149"/>
      <c r="N54" s="149"/>
      <c r="O54" s="149"/>
      <c r="P54" s="149"/>
      <c r="Q54" s="149"/>
      <c r="R54" s="149"/>
      <c r="S54" s="149"/>
      <c r="T54" s="149"/>
      <c r="U54" s="149"/>
      <c r="V54" s="149"/>
      <c r="W54" s="149"/>
      <c r="X54" s="149"/>
      <c r="Y54" s="149"/>
      <c r="Z54" s="149"/>
    </row>
    <row r="55" ht="11.25" customHeight="1">
      <c r="A55" s="149"/>
      <c r="B55" s="149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149"/>
      <c r="P55" s="149"/>
      <c r="Q55" s="149"/>
      <c r="R55" s="149"/>
      <c r="S55" s="149"/>
      <c r="T55" s="149"/>
      <c r="U55" s="149"/>
      <c r="V55" s="149"/>
      <c r="W55" s="149"/>
      <c r="X55" s="149"/>
      <c r="Y55" s="149"/>
      <c r="Z55" s="149"/>
    </row>
    <row r="56" ht="11.25" customHeight="1">
      <c r="A56" s="149"/>
      <c r="B56" s="149"/>
      <c r="C56" s="149"/>
      <c r="D56" s="149"/>
      <c r="E56" s="149"/>
      <c r="F56" s="149"/>
      <c r="G56" s="149"/>
      <c r="H56" s="149"/>
      <c r="I56" s="149"/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/>
      <c r="Y56" s="149"/>
      <c r="Z56" s="149"/>
    </row>
    <row r="57" ht="11.25" customHeight="1">
      <c r="A57" s="149"/>
      <c r="B57" s="149"/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  <c r="Y57" s="149"/>
      <c r="Z57" s="149"/>
    </row>
    <row r="58" ht="11.25" customHeight="1">
      <c r="A58" s="149"/>
      <c r="B58" s="149"/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  <c r="Q58" s="149"/>
      <c r="R58" s="149"/>
      <c r="S58" s="149"/>
      <c r="T58" s="149"/>
      <c r="U58" s="149"/>
      <c r="V58" s="149"/>
      <c r="W58" s="149"/>
      <c r="X58" s="149"/>
      <c r="Y58" s="149"/>
      <c r="Z58" s="149"/>
    </row>
    <row r="59" ht="11.25" customHeight="1">
      <c r="A59" s="149"/>
      <c r="B59" s="149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149"/>
      <c r="P59" s="149"/>
      <c r="Q59" s="149"/>
      <c r="R59" s="149"/>
      <c r="S59" s="149"/>
      <c r="T59" s="149"/>
      <c r="U59" s="149"/>
      <c r="V59" s="149"/>
      <c r="W59" s="149"/>
      <c r="X59" s="149"/>
      <c r="Y59" s="149"/>
      <c r="Z59" s="149"/>
    </row>
    <row r="60" ht="11.25" customHeight="1">
      <c r="A60" s="149"/>
      <c r="B60" s="149"/>
      <c r="C60" s="149"/>
      <c r="D60" s="149"/>
      <c r="E60" s="149"/>
      <c r="F60" s="149"/>
      <c r="G60" s="149"/>
      <c r="H60" s="149"/>
      <c r="I60" s="149"/>
      <c r="J60" s="149"/>
      <c r="K60" s="149"/>
      <c r="L60" s="149"/>
      <c r="M60" s="149"/>
      <c r="N60" s="149"/>
      <c r="O60" s="149"/>
      <c r="P60" s="149"/>
      <c r="Q60" s="149"/>
      <c r="R60" s="149"/>
      <c r="S60" s="149"/>
      <c r="T60" s="149"/>
      <c r="U60" s="149"/>
      <c r="V60" s="149"/>
      <c r="W60" s="149"/>
      <c r="X60" s="149"/>
      <c r="Y60" s="149"/>
      <c r="Z60" s="149"/>
    </row>
    <row r="61" ht="11.25" customHeight="1">
      <c r="A61" s="149"/>
      <c r="B61" s="149"/>
      <c r="C61" s="149"/>
      <c r="D61" s="149"/>
      <c r="E61" s="149"/>
      <c r="F61" s="149"/>
      <c r="G61" s="149"/>
      <c r="H61" s="149"/>
      <c r="I61" s="149"/>
      <c r="J61" s="149"/>
      <c r="K61" s="149"/>
      <c r="L61" s="149"/>
      <c r="M61" s="149"/>
      <c r="N61" s="149"/>
      <c r="O61" s="149"/>
      <c r="P61" s="149"/>
      <c r="Q61" s="149"/>
      <c r="R61" s="149"/>
      <c r="S61" s="149"/>
      <c r="T61" s="149"/>
      <c r="U61" s="149"/>
      <c r="V61" s="149"/>
      <c r="W61" s="149"/>
      <c r="X61" s="149"/>
      <c r="Y61" s="149"/>
      <c r="Z61" s="149"/>
    </row>
    <row r="62" ht="11.25" customHeight="1">
      <c r="A62" s="149"/>
      <c r="B62" s="149"/>
      <c r="C62" s="149"/>
      <c r="D62" s="149"/>
      <c r="E62" s="149"/>
      <c r="F62" s="149"/>
      <c r="G62" s="149"/>
      <c r="H62" s="149"/>
      <c r="I62" s="149"/>
      <c r="J62" s="149"/>
      <c r="K62" s="149"/>
      <c r="L62" s="149"/>
      <c r="M62" s="149"/>
      <c r="N62" s="149"/>
      <c r="O62" s="149"/>
      <c r="P62" s="149"/>
      <c r="Q62" s="149"/>
      <c r="R62" s="149"/>
      <c r="S62" s="149"/>
      <c r="T62" s="149"/>
      <c r="U62" s="149"/>
      <c r="V62" s="149"/>
      <c r="W62" s="149"/>
      <c r="X62" s="149"/>
      <c r="Y62" s="149"/>
      <c r="Z62" s="149"/>
    </row>
    <row r="63" ht="11.25" customHeight="1">
      <c r="A63" s="149"/>
      <c r="B63" s="149"/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</row>
    <row r="64" ht="11.25" customHeight="1">
      <c r="A64" s="149"/>
      <c r="B64" s="149"/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49"/>
      <c r="T64" s="149"/>
      <c r="U64" s="149"/>
      <c r="V64" s="149"/>
      <c r="W64" s="149"/>
      <c r="X64" s="149"/>
      <c r="Y64" s="149"/>
      <c r="Z64" s="149"/>
    </row>
    <row r="65" ht="11.25" customHeight="1">
      <c r="A65" s="149"/>
      <c r="B65" s="149"/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  <c r="Z65" s="149"/>
    </row>
    <row r="66" ht="11.25" customHeight="1">
      <c r="A66" s="149"/>
      <c r="B66" s="149"/>
      <c r="C66" s="149"/>
      <c r="D66" s="149"/>
      <c r="E66" s="149"/>
      <c r="F66" s="149"/>
      <c r="G66" s="149"/>
      <c r="H66" s="149"/>
      <c r="I66" s="149"/>
      <c r="J66" s="149"/>
      <c r="K66" s="149"/>
      <c r="L66" s="149"/>
      <c r="M66" s="149"/>
      <c r="N66" s="149"/>
      <c r="O66" s="149"/>
      <c r="P66" s="149"/>
      <c r="Q66" s="149"/>
      <c r="R66" s="149"/>
      <c r="S66" s="149"/>
      <c r="T66" s="149"/>
      <c r="U66" s="149"/>
      <c r="V66" s="149"/>
      <c r="W66" s="149"/>
      <c r="X66" s="149"/>
      <c r="Y66" s="149"/>
      <c r="Z66" s="149"/>
    </row>
    <row r="67" ht="11.25" customHeight="1">
      <c r="A67" s="149"/>
      <c r="B67" s="149"/>
      <c r="C67" s="149"/>
      <c r="D67" s="149"/>
      <c r="E67" s="149"/>
      <c r="F67" s="149"/>
      <c r="G67" s="149"/>
      <c r="H67" s="149"/>
      <c r="I67" s="149"/>
      <c r="J67" s="149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  <c r="V67" s="149"/>
      <c r="W67" s="149"/>
      <c r="X67" s="149"/>
      <c r="Y67" s="149"/>
      <c r="Z67" s="149"/>
    </row>
    <row r="68" ht="11.25" customHeight="1">
      <c r="A68" s="149"/>
      <c r="B68" s="149"/>
      <c r="C68" s="149"/>
      <c r="D68" s="149"/>
      <c r="E68" s="149"/>
      <c r="F68" s="149"/>
      <c r="G68" s="149"/>
      <c r="H68" s="149"/>
      <c r="I68" s="149"/>
      <c r="J68" s="149"/>
      <c r="K68" s="149"/>
      <c r="L68" s="149"/>
      <c r="M68" s="149"/>
      <c r="N68" s="149"/>
      <c r="O68" s="149"/>
      <c r="P68" s="149"/>
      <c r="Q68" s="149"/>
      <c r="R68" s="149"/>
      <c r="S68" s="149"/>
      <c r="T68" s="149"/>
      <c r="U68" s="149"/>
      <c r="V68" s="149"/>
      <c r="W68" s="149"/>
      <c r="X68" s="149"/>
      <c r="Y68" s="149"/>
      <c r="Z68" s="149"/>
    </row>
    <row r="69" ht="11.25" customHeight="1">
      <c r="A69" s="149"/>
      <c r="B69" s="149"/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49"/>
      <c r="Y69" s="149"/>
      <c r="Z69" s="149"/>
    </row>
    <row r="70" ht="11.25" customHeight="1">
      <c r="A70" s="149"/>
      <c r="B70" s="149"/>
      <c r="C70" s="149"/>
      <c r="D70" s="149"/>
      <c r="E70" s="149"/>
      <c r="F70" s="149"/>
      <c r="G70" s="149"/>
      <c r="H70" s="149"/>
      <c r="I70" s="149"/>
      <c r="J70" s="149"/>
      <c r="K70" s="149"/>
      <c r="L70" s="149"/>
      <c r="M70" s="149"/>
      <c r="N70" s="149"/>
      <c r="O70" s="149"/>
      <c r="P70" s="149"/>
      <c r="Q70" s="149"/>
      <c r="R70" s="149"/>
      <c r="S70" s="149"/>
      <c r="T70" s="149"/>
      <c r="U70" s="149"/>
      <c r="V70" s="149"/>
      <c r="W70" s="149"/>
      <c r="X70" s="149"/>
      <c r="Y70" s="149"/>
      <c r="Z70" s="149"/>
    </row>
    <row r="71" ht="11.25" customHeight="1">
      <c r="A71" s="149"/>
      <c r="B71" s="149"/>
      <c r="C71" s="149"/>
      <c r="D71" s="149"/>
      <c r="E71" s="149"/>
      <c r="F71" s="149"/>
      <c r="G71" s="149"/>
      <c r="H71" s="149"/>
      <c r="I71" s="149"/>
      <c r="J71" s="149"/>
      <c r="K71" s="149"/>
      <c r="L71" s="149"/>
      <c r="M71" s="149"/>
      <c r="N71" s="149"/>
      <c r="O71" s="149"/>
      <c r="P71" s="149"/>
      <c r="Q71" s="149"/>
      <c r="R71" s="149"/>
      <c r="S71" s="149"/>
      <c r="T71" s="149"/>
      <c r="U71" s="149"/>
      <c r="V71" s="149"/>
      <c r="W71" s="149"/>
      <c r="X71" s="149"/>
      <c r="Y71" s="149"/>
      <c r="Z71" s="149"/>
    </row>
    <row r="72" ht="11.25" customHeight="1">
      <c r="A72" s="149"/>
      <c r="B72" s="149"/>
      <c r="C72" s="149"/>
      <c r="D72" s="149"/>
      <c r="E72" s="149"/>
      <c r="F72" s="149"/>
      <c r="G72" s="149"/>
      <c r="H72" s="149"/>
      <c r="I72" s="149"/>
      <c r="J72" s="149"/>
      <c r="K72" s="149"/>
      <c r="L72" s="149"/>
      <c r="M72" s="149"/>
      <c r="N72" s="149"/>
      <c r="O72" s="149"/>
      <c r="P72" s="149"/>
      <c r="Q72" s="149"/>
      <c r="R72" s="149"/>
      <c r="S72" s="149"/>
      <c r="T72" s="149"/>
      <c r="U72" s="149"/>
      <c r="V72" s="149"/>
      <c r="W72" s="149"/>
      <c r="X72" s="149"/>
      <c r="Y72" s="149"/>
      <c r="Z72" s="149"/>
    </row>
    <row r="73" ht="11.25" customHeight="1">
      <c r="A73" s="149"/>
      <c r="B73" s="149"/>
      <c r="C73" s="149"/>
      <c r="D73" s="149"/>
      <c r="E73" s="149"/>
      <c r="F73" s="149"/>
      <c r="G73" s="149"/>
      <c r="H73" s="149"/>
      <c r="I73" s="149"/>
      <c r="J73" s="149"/>
      <c r="K73" s="149"/>
      <c r="L73" s="149"/>
      <c r="M73" s="149"/>
      <c r="N73" s="149"/>
      <c r="O73" s="149"/>
      <c r="P73" s="149"/>
      <c r="Q73" s="149"/>
      <c r="R73" s="149"/>
      <c r="S73" s="149"/>
      <c r="T73" s="149"/>
      <c r="U73" s="149"/>
      <c r="V73" s="149"/>
      <c r="W73" s="149"/>
      <c r="X73" s="149"/>
      <c r="Y73" s="149"/>
      <c r="Z73" s="149"/>
    </row>
    <row r="74" ht="11.25" customHeight="1">
      <c r="A74" s="149"/>
      <c r="B74" s="149"/>
      <c r="C74" s="149"/>
      <c r="D74" s="149"/>
      <c r="E74" s="149"/>
      <c r="F74" s="149"/>
      <c r="G74" s="149"/>
      <c r="H74" s="149"/>
      <c r="I74" s="149"/>
      <c r="J74" s="149"/>
      <c r="K74" s="149"/>
      <c r="L74" s="149"/>
      <c r="M74" s="149"/>
      <c r="N74" s="149"/>
      <c r="O74" s="149"/>
      <c r="P74" s="149"/>
      <c r="Q74" s="149"/>
      <c r="R74" s="149"/>
      <c r="S74" s="149"/>
      <c r="T74" s="149"/>
      <c r="U74" s="149"/>
      <c r="V74" s="149"/>
      <c r="W74" s="149"/>
      <c r="X74" s="149"/>
      <c r="Y74" s="149"/>
      <c r="Z74" s="149"/>
    </row>
    <row r="75" ht="11.25" customHeight="1">
      <c r="A75" s="149"/>
      <c r="B75" s="149"/>
      <c r="C75" s="149"/>
      <c r="D75" s="149"/>
      <c r="E75" s="149"/>
      <c r="F75" s="149"/>
      <c r="G75" s="149"/>
      <c r="H75" s="149"/>
      <c r="I75" s="149"/>
      <c r="J75" s="149"/>
      <c r="K75" s="149"/>
      <c r="L75" s="149"/>
      <c r="M75" s="149"/>
      <c r="N75" s="149"/>
      <c r="O75" s="149"/>
      <c r="P75" s="149"/>
      <c r="Q75" s="149"/>
      <c r="R75" s="149"/>
      <c r="S75" s="149"/>
      <c r="T75" s="149"/>
      <c r="U75" s="149"/>
      <c r="V75" s="149"/>
      <c r="W75" s="149"/>
      <c r="X75" s="149"/>
      <c r="Y75" s="149"/>
      <c r="Z75" s="149"/>
    </row>
    <row r="76" ht="11.25" customHeight="1">
      <c r="A76" s="149"/>
      <c r="B76" s="149"/>
      <c r="C76" s="149"/>
      <c r="D76" s="149"/>
      <c r="E76" s="149"/>
      <c r="F76" s="149"/>
      <c r="G76" s="149"/>
      <c r="H76" s="149"/>
      <c r="I76" s="149"/>
      <c r="J76" s="149"/>
      <c r="K76" s="149"/>
      <c r="L76" s="149"/>
      <c r="M76" s="149"/>
      <c r="N76" s="149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</row>
    <row r="77" ht="11.25" customHeight="1">
      <c r="A77" s="149"/>
      <c r="B77" s="149"/>
      <c r="C77" s="149"/>
      <c r="D77" s="149"/>
      <c r="E77" s="149"/>
      <c r="F77" s="149"/>
      <c r="G77" s="149"/>
      <c r="H77" s="149"/>
      <c r="I77" s="149"/>
      <c r="J77" s="149"/>
      <c r="K77" s="149"/>
      <c r="L77" s="149"/>
      <c r="M77" s="149"/>
      <c r="N77" s="149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</row>
    <row r="78" ht="11.25" customHeight="1">
      <c r="A78" s="149"/>
      <c r="B78" s="149"/>
      <c r="C78" s="149"/>
      <c r="D78" s="149"/>
      <c r="E78" s="149"/>
      <c r="F78" s="149"/>
      <c r="G78" s="149"/>
      <c r="H78" s="149"/>
      <c r="I78" s="149"/>
      <c r="J78" s="149"/>
      <c r="K78" s="149"/>
      <c r="L78" s="149"/>
      <c r="M78" s="149"/>
      <c r="N78" s="149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</row>
    <row r="79" ht="11.25" customHeight="1">
      <c r="A79" s="149"/>
      <c r="B79" s="149"/>
      <c r="C79" s="149"/>
      <c r="D79" s="149"/>
      <c r="E79" s="149"/>
      <c r="F79" s="149"/>
      <c r="G79" s="149"/>
      <c r="H79" s="149"/>
      <c r="I79" s="149"/>
      <c r="J79" s="149"/>
      <c r="K79" s="149"/>
      <c r="L79" s="149"/>
      <c r="M79" s="149"/>
      <c r="N79" s="149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</row>
    <row r="80" ht="11.25" customHeight="1">
      <c r="A80" s="149"/>
      <c r="B80" s="149"/>
      <c r="C80" s="149"/>
      <c r="D80" s="149"/>
      <c r="E80" s="149"/>
      <c r="F80" s="149"/>
      <c r="G80" s="149"/>
      <c r="H80" s="149"/>
      <c r="I80" s="149"/>
      <c r="J80" s="149"/>
      <c r="K80" s="149"/>
      <c r="L80" s="149"/>
      <c r="M80" s="149"/>
      <c r="N80" s="149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</row>
    <row r="81" ht="11.25" customHeight="1">
      <c r="A81" s="149"/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</row>
    <row r="82" ht="11.25" customHeight="1">
      <c r="A82" s="149"/>
      <c r="B82" s="149"/>
      <c r="C82" s="149"/>
      <c r="D82" s="149"/>
      <c r="E82" s="149"/>
      <c r="F82" s="149"/>
      <c r="G82" s="149"/>
      <c r="H82" s="149"/>
      <c r="I82" s="149"/>
      <c r="J82" s="149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</row>
    <row r="83" ht="11.25" customHeight="1">
      <c r="A83" s="149"/>
      <c r="B83" s="149"/>
      <c r="C83" s="149"/>
      <c r="D83" s="149"/>
      <c r="E83" s="149"/>
      <c r="F83" s="149"/>
      <c r="G83" s="149"/>
      <c r="H83" s="149"/>
      <c r="I83" s="149"/>
      <c r="J83" s="149"/>
      <c r="K83" s="149"/>
      <c r="L83" s="149"/>
      <c r="M83" s="149"/>
      <c r="N83" s="149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</row>
    <row r="84" ht="11.25" customHeight="1">
      <c r="A84" s="149"/>
      <c r="B84" s="149"/>
      <c r="C84" s="149"/>
      <c r="D84" s="149"/>
      <c r="E84" s="149"/>
      <c r="F84" s="149"/>
      <c r="G84" s="149"/>
      <c r="H84" s="149"/>
      <c r="I84" s="149"/>
      <c r="J84" s="149"/>
      <c r="K84" s="149"/>
      <c r="L84" s="149"/>
      <c r="M84" s="149"/>
      <c r="N84" s="149"/>
      <c r="O84" s="149"/>
      <c r="P84" s="149"/>
      <c r="Q84" s="149"/>
      <c r="R84" s="149"/>
      <c r="S84" s="149"/>
      <c r="T84" s="149"/>
      <c r="U84" s="149"/>
      <c r="V84" s="149"/>
      <c r="W84" s="149"/>
      <c r="X84" s="149"/>
      <c r="Y84" s="149"/>
      <c r="Z84" s="149"/>
    </row>
    <row r="85" ht="11.25" customHeight="1">
      <c r="A85" s="149"/>
      <c r="B85" s="149"/>
      <c r="C85" s="149"/>
      <c r="D85" s="149"/>
      <c r="E85" s="149"/>
      <c r="F85" s="149"/>
      <c r="G85" s="149"/>
      <c r="H85" s="149"/>
      <c r="I85" s="149"/>
      <c r="J85" s="149"/>
      <c r="K85" s="149"/>
      <c r="L85" s="149"/>
      <c r="M85" s="149"/>
      <c r="N85" s="149"/>
      <c r="O85" s="149"/>
      <c r="P85" s="149"/>
      <c r="Q85" s="149"/>
      <c r="R85" s="149"/>
      <c r="S85" s="149"/>
      <c r="T85" s="149"/>
      <c r="U85" s="149"/>
      <c r="V85" s="149"/>
      <c r="W85" s="149"/>
      <c r="X85" s="149"/>
      <c r="Y85" s="149"/>
      <c r="Z85" s="149"/>
    </row>
    <row r="86" ht="11.25" customHeight="1">
      <c r="A86" s="149"/>
      <c r="B86" s="149"/>
      <c r="C86" s="149"/>
      <c r="D86" s="149"/>
      <c r="E86" s="149"/>
      <c r="F86" s="149"/>
      <c r="G86" s="149"/>
      <c r="H86" s="149"/>
      <c r="I86" s="149"/>
      <c r="J86" s="149"/>
      <c r="K86" s="149"/>
      <c r="L86" s="149"/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</row>
    <row r="87" ht="11.25" customHeight="1">
      <c r="A87" s="149"/>
      <c r="B87" s="149"/>
      <c r="C87" s="149"/>
      <c r="D87" s="149"/>
      <c r="E87" s="149"/>
      <c r="F87" s="149"/>
      <c r="G87" s="149"/>
      <c r="H87" s="149"/>
      <c r="I87" s="149"/>
      <c r="J87" s="149"/>
      <c r="K87" s="149"/>
      <c r="L87" s="149"/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</row>
    <row r="88" ht="11.25" customHeight="1">
      <c r="A88" s="149"/>
      <c r="B88" s="149"/>
      <c r="C88" s="149"/>
      <c r="D88" s="149"/>
      <c r="E88" s="149"/>
      <c r="F88" s="149"/>
      <c r="G88" s="149"/>
      <c r="H88" s="149"/>
      <c r="I88" s="149"/>
      <c r="J88" s="149"/>
      <c r="K88" s="149"/>
      <c r="L88" s="149"/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W88" s="149"/>
      <c r="X88" s="149"/>
      <c r="Y88" s="149"/>
      <c r="Z88" s="149"/>
    </row>
    <row r="89" ht="11.25" customHeight="1">
      <c r="A89" s="149"/>
      <c r="B89" s="149"/>
      <c r="C89" s="149"/>
      <c r="D89" s="149"/>
      <c r="E89" s="149"/>
      <c r="F89" s="149"/>
      <c r="G89" s="149"/>
      <c r="H89" s="149"/>
      <c r="I89" s="149"/>
      <c r="J89" s="149"/>
      <c r="K89" s="149"/>
      <c r="L89" s="149"/>
      <c r="M89" s="149"/>
      <c r="N89" s="149"/>
      <c r="O89" s="149"/>
      <c r="P89" s="149"/>
      <c r="Q89" s="149"/>
      <c r="R89" s="149"/>
      <c r="S89" s="149"/>
      <c r="T89" s="149"/>
      <c r="U89" s="149"/>
      <c r="V89" s="149"/>
      <c r="W89" s="149"/>
      <c r="X89" s="149"/>
      <c r="Y89" s="149"/>
      <c r="Z89" s="149"/>
    </row>
    <row r="90" ht="11.25" customHeight="1">
      <c r="A90" s="149"/>
      <c r="B90" s="149"/>
      <c r="C90" s="149"/>
      <c r="D90" s="149"/>
      <c r="E90" s="149"/>
      <c r="F90" s="149"/>
      <c r="G90" s="149"/>
      <c r="H90" s="149"/>
      <c r="I90" s="149"/>
      <c r="J90" s="149"/>
      <c r="K90" s="149"/>
      <c r="L90" s="149"/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W90" s="149"/>
      <c r="X90" s="149"/>
      <c r="Y90" s="149"/>
      <c r="Z90" s="149"/>
    </row>
    <row r="91" ht="11.25" customHeight="1">
      <c r="A91" s="149"/>
      <c r="B91" s="149"/>
      <c r="C91" s="149"/>
      <c r="D91" s="149"/>
      <c r="E91" s="149"/>
      <c r="F91" s="149"/>
      <c r="G91" s="149"/>
      <c r="H91" s="149"/>
      <c r="I91" s="149"/>
      <c r="J91" s="149"/>
      <c r="K91" s="149"/>
      <c r="L91" s="149"/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W91" s="149"/>
      <c r="X91" s="149"/>
      <c r="Y91" s="149"/>
      <c r="Z91" s="149"/>
    </row>
    <row r="92" ht="11.25" customHeight="1">
      <c r="A92" s="149"/>
      <c r="B92" s="149"/>
      <c r="C92" s="149"/>
      <c r="D92" s="149"/>
      <c r="E92" s="149"/>
      <c r="F92" s="149"/>
      <c r="G92" s="149"/>
      <c r="H92" s="149"/>
      <c r="I92" s="149"/>
      <c r="J92" s="149"/>
      <c r="K92" s="149"/>
      <c r="L92" s="149"/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W92" s="149"/>
      <c r="X92" s="149"/>
      <c r="Y92" s="149"/>
      <c r="Z92" s="149"/>
    </row>
    <row r="93" ht="11.25" customHeight="1">
      <c r="A93" s="149"/>
      <c r="B93" s="149"/>
      <c r="C93" s="149"/>
      <c r="D93" s="149"/>
      <c r="E93" s="149"/>
      <c r="F93" s="149"/>
      <c r="G93" s="149"/>
      <c r="H93" s="149"/>
      <c r="I93" s="149"/>
      <c r="J93" s="149"/>
      <c r="K93" s="149"/>
      <c r="L93" s="149"/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W93" s="149"/>
      <c r="X93" s="149"/>
      <c r="Y93" s="149"/>
      <c r="Z93" s="149"/>
    </row>
    <row r="94" ht="11.25" customHeight="1">
      <c r="A94" s="149"/>
      <c r="B94" s="149"/>
      <c r="C94" s="149"/>
      <c r="D94" s="149"/>
      <c r="E94" s="149"/>
      <c r="F94" s="149"/>
      <c r="G94" s="149"/>
      <c r="H94" s="149"/>
      <c r="I94" s="149"/>
      <c r="J94" s="149"/>
      <c r="K94" s="149"/>
      <c r="L94" s="149"/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W94" s="149"/>
      <c r="X94" s="149"/>
      <c r="Y94" s="149"/>
      <c r="Z94" s="149"/>
    </row>
    <row r="95" ht="11.25" customHeight="1">
      <c r="A95" s="149"/>
      <c r="B95" s="149"/>
      <c r="C95" s="149"/>
      <c r="D95" s="149"/>
      <c r="E95" s="149"/>
      <c r="F95" s="149"/>
      <c r="G95" s="149"/>
      <c r="H95" s="149"/>
      <c r="I95" s="149"/>
      <c r="J95" s="149"/>
      <c r="K95" s="149"/>
      <c r="L95" s="149"/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W95" s="149"/>
      <c r="X95" s="149"/>
      <c r="Y95" s="149"/>
      <c r="Z95" s="149"/>
    </row>
    <row r="96" ht="11.25" customHeight="1">
      <c r="A96" s="149"/>
      <c r="B96" s="149"/>
      <c r="C96" s="149"/>
      <c r="D96" s="149"/>
      <c r="E96" s="149"/>
      <c r="F96" s="149"/>
      <c r="G96" s="149"/>
      <c r="H96" s="149"/>
      <c r="I96" s="149"/>
      <c r="J96" s="149"/>
      <c r="K96" s="149"/>
      <c r="L96" s="149"/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W96" s="149"/>
      <c r="X96" s="149"/>
      <c r="Y96" s="149"/>
      <c r="Z96" s="149"/>
    </row>
    <row r="97" ht="11.25" customHeight="1">
      <c r="A97" s="149"/>
      <c r="B97" s="149"/>
      <c r="C97" s="149"/>
      <c r="D97" s="149"/>
      <c r="E97" s="149"/>
      <c r="F97" s="149"/>
      <c r="G97" s="149"/>
      <c r="H97" s="149"/>
      <c r="I97" s="149"/>
      <c r="J97" s="149"/>
      <c r="K97" s="149"/>
      <c r="L97" s="149"/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W97" s="149"/>
      <c r="X97" s="149"/>
      <c r="Y97" s="149"/>
      <c r="Z97" s="149"/>
    </row>
    <row r="98" ht="11.25" customHeight="1">
      <c r="A98" s="149"/>
      <c r="B98" s="149"/>
      <c r="C98" s="149"/>
      <c r="D98" s="149"/>
      <c r="E98" s="149"/>
      <c r="F98" s="149"/>
      <c r="G98" s="149"/>
      <c r="H98" s="149"/>
      <c r="I98" s="149"/>
      <c r="J98" s="149"/>
      <c r="K98" s="149"/>
      <c r="L98" s="149"/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W98" s="149"/>
      <c r="X98" s="149"/>
      <c r="Y98" s="149"/>
      <c r="Z98" s="149"/>
    </row>
    <row r="99" ht="11.25" customHeight="1">
      <c r="A99" s="149"/>
      <c r="B99" s="149"/>
      <c r="C99" s="149"/>
      <c r="D99" s="149"/>
      <c r="E99" s="149"/>
      <c r="F99" s="149"/>
      <c r="G99" s="149"/>
      <c r="H99" s="149"/>
      <c r="I99" s="149"/>
      <c r="J99" s="149"/>
      <c r="K99" s="149"/>
      <c r="L99" s="149"/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W99" s="149"/>
      <c r="X99" s="149"/>
      <c r="Y99" s="149"/>
      <c r="Z99" s="149"/>
    </row>
    <row r="100" ht="11.25" customHeight="1">
      <c r="A100" s="149"/>
      <c r="B100" s="149"/>
      <c r="C100" s="149"/>
      <c r="D100" s="149"/>
      <c r="E100" s="149"/>
      <c r="F100" s="149"/>
      <c r="G100" s="149"/>
      <c r="H100" s="149"/>
      <c r="I100" s="149"/>
      <c r="J100" s="149"/>
      <c r="K100" s="149"/>
      <c r="L100" s="149"/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W100" s="149"/>
      <c r="X100" s="149"/>
      <c r="Y100" s="149"/>
      <c r="Z100" s="149"/>
    </row>
    <row r="101" ht="11.25" customHeight="1">
      <c r="A101" s="149"/>
      <c r="B101" s="149"/>
      <c r="C101" s="149"/>
      <c r="D101" s="149"/>
      <c r="E101" s="149"/>
      <c r="F101" s="149"/>
      <c r="G101" s="149"/>
      <c r="H101" s="149"/>
      <c r="I101" s="149"/>
      <c r="J101" s="149"/>
      <c r="K101" s="149"/>
      <c r="L101" s="149"/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W101" s="149"/>
      <c r="X101" s="149"/>
      <c r="Y101" s="149"/>
      <c r="Z101" s="149"/>
    </row>
    <row r="102" ht="11.25" customHeight="1">
      <c r="A102" s="149"/>
      <c r="B102" s="149"/>
      <c r="C102" s="149"/>
      <c r="D102" s="149"/>
      <c r="E102" s="149"/>
      <c r="F102" s="149"/>
      <c r="G102" s="149"/>
      <c r="H102" s="149"/>
      <c r="I102" s="149"/>
      <c r="J102" s="149"/>
      <c r="K102" s="149"/>
      <c r="L102" s="149"/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W102" s="149"/>
      <c r="X102" s="149"/>
      <c r="Y102" s="149"/>
      <c r="Z102" s="149"/>
    </row>
    <row r="103" ht="11.25" customHeight="1">
      <c r="A103" s="149"/>
      <c r="B103" s="149"/>
      <c r="C103" s="149"/>
      <c r="D103" s="149"/>
      <c r="E103" s="149"/>
      <c r="F103" s="149"/>
      <c r="G103" s="149"/>
      <c r="H103" s="149"/>
      <c r="I103" s="149"/>
      <c r="J103" s="149"/>
      <c r="K103" s="149"/>
      <c r="L103" s="149"/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W103" s="149"/>
      <c r="X103" s="149"/>
      <c r="Y103" s="149"/>
      <c r="Z103" s="149"/>
    </row>
    <row r="104" ht="11.25" customHeight="1">
      <c r="A104" s="149"/>
      <c r="B104" s="149"/>
      <c r="C104" s="149"/>
      <c r="D104" s="149"/>
      <c r="E104" s="149"/>
      <c r="F104" s="149"/>
      <c r="G104" s="149"/>
      <c r="H104" s="149"/>
      <c r="I104" s="149"/>
      <c r="J104" s="149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</row>
    <row r="105" ht="11.25" customHeight="1">
      <c r="A105" s="149"/>
      <c r="B105" s="149"/>
      <c r="C105" s="149"/>
      <c r="D105" s="149"/>
      <c r="E105" s="149"/>
      <c r="F105" s="149"/>
      <c r="G105" s="149"/>
      <c r="H105" s="149"/>
      <c r="I105" s="149"/>
      <c r="J105" s="149"/>
      <c r="K105" s="149"/>
      <c r="L105" s="149"/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W105" s="149"/>
      <c r="X105" s="149"/>
      <c r="Y105" s="149"/>
      <c r="Z105" s="149"/>
    </row>
    <row r="106" ht="11.25" customHeight="1">
      <c r="A106" s="149"/>
      <c r="B106" s="149"/>
      <c r="C106" s="149"/>
      <c r="D106" s="149"/>
      <c r="E106" s="149"/>
      <c r="F106" s="149"/>
      <c r="G106" s="149"/>
      <c r="H106" s="149"/>
      <c r="I106" s="149"/>
      <c r="J106" s="149"/>
      <c r="K106" s="149"/>
      <c r="L106" s="149"/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W106" s="149"/>
      <c r="X106" s="149"/>
      <c r="Y106" s="149"/>
      <c r="Z106" s="149"/>
    </row>
    <row r="107" ht="11.25" customHeight="1">
      <c r="A107" s="149"/>
      <c r="B107" s="149"/>
      <c r="C107" s="149"/>
      <c r="D107" s="149"/>
      <c r="E107" s="149"/>
      <c r="F107" s="149"/>
      <c r="G107" s="149"/>
      <c r="H107" s="149"/>
      <c r="I107" s="149"/>
      <c r="J107" s="149"/>
      <c r="K107" s="149"/>
      <c r="L107" s="149"/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W107" s="149"/>
      <c r="X107" s="149"/>
      <c r="Y107" s="149"/>
      <c r="Z107" s="149"/>
    </row>
    <row r="108" ht="11.25" customHeight="1">
      <c r="A108" s="149"/>
      <c r="B108" s="149"/>
      <c r="C108" s="149"/>
      <c r="D108" s="149"/>
      <c r="E108" s="149"/>
      <c r="F108" s="149"/>
      <c r="G108" s="149"/>
      <c r="H108" s="149"/>
      <c r="I108" s="149"/>
      <c r="J108" s="149"/>
      <c r="K108" s="149"/>
      <c r="L108" s="149"/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W108" s="149"/>
      <c r="X108" s="149"/>
      <c r="Y108" s="149"/>
      <c r="Z108" s="149"/>
    </row>
    <row r="109" ht="11.25" customHeight="1">
      <c r="A109" s="149"/>
      <c r="B109" s="149"/>
      <c r="C109" s="149"/>
      <c r="D109" s="149"/>
      <c r="E109" s="149"/>
      <c r="F109" s="149"/>
      <c r="G109" s="149"/>
      <c r="H109" s="149"/>
      <c r="I109" s="149"/>
      <c r="J109" s="149"/>
      <c r="K109" s="149"/>
      <c r="L109" s="149"/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W109" s="149"/>
      <c r="X109" s="149"/>
      <c r="Y109" s="149"/>
      <c r="Z109" s="149"/>
    </row>
    <row r="110" ht="11.25" customHeight="1">
      <c r="A110" s="149"/>
      <c r="B110" s="149"/>
      <c r="C110" s="149"/>
      <c r="D110" s="149"/>
      <c r="E110" s="149"/>
      <c r="F110" s="149"/>
      <c r="G110" s="149"/>
      <c r="H110" s="149"/>
      <c r="I110" s="149"/>
      <c r="J110" s="149"/>
      <c r="K110" s="149"/>
      <c r="L110" s="149"/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W110" s="149"/>
      <c r="X110" s="149"/>
      <c r="Y110" s="149"/>
      <c r="Z110" s="149"/>
    </row>
    <row r="111" ht="11.25" customHeight="1">
      <c r="A111" s="149"/>
      <c r="B111" s="149"/>
      <c r="C111" s="149"/>
      <c r="D111" s="149"/>
      <c r="E111" s="149"/>
      <c r="F111" s="149"/>
      <c r="G111" s="149"/>
      <c r="H111" s="149"/>
      <c r="I111" s="149"/>
      <c r="J111" s="149"/>
      <c r="K111" s="149"/>
      <c r="L111" s="149"/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</row>
    <row r="112" ht="11.25" customHeight="1">
      <c r="A112" s="149"/>
      <c r="B112" s="149"/>
      <c r="C112" s="149"/>
      <c r="D112" s="149"/>
      <c r="E112" s="149"/>
      <c r="F112" s="149"/>
      <c r="G112" s="149"/>
      <c r="H112" s="149"/>
      <c r="I112" s="149"/>
      <c r="J112" s="149"/>
      <c r="K112" s="149"/>
      <c r="L112" s="149"/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W112" s="149"/>
      <c r="X112" s="149"/>
      <c r="Y112" s="149"/>
      <c r="Z112" s="149"/>
    </row>
    <row r="113" ht="11.25" customHeight="1">
      <c r="A113" s="149"/>
      <c r="B113" s="149"/>
      <c r="C113" s="149"/>
      <c r="D113" s="149"/>
      <c r="E113" s="149"/>
      <c r="F113" s="149"/>
      <c r="G113" s="149"/>
      <c r="H113" s="149"/>
      <c r="I113" s="149"/>
      <c r="J113" s="149"/>
      <c r="K113" s="149"/>
      <c r="L113" s="149"/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</row>
    <row r="114" ht="11.25" customHeight="1">
      <c r="A114" s="149"/>
      <c r="B114" s="149"/>
      <c r="C114" s="149"/>
      <c r="D114" s="149"/>
      <c r="E114" s="149"/>
      <c r="F114" s="149"/>
      <c r="G114" s="149"/>
      <c r="H114" s="149"/>
      <c r="I114" s="149"/>
      <c r="J114" s="149"/>
      <c r="K114" s="149"/>
      <c r="L114" s="149"/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</row>
    <row r="115" ht="11.25" customHeight="1">
      <c r="A115" s="149"/>
      <c r="B115" s="149"/>
      <c r="C115" s="149"/>
      <c r="D115" s="149"/>
      <c r="E115" s="149"/>
      <c r="F115" s="149"/>
      <c r="G115" s="149"/>
      <c r="H115" s="149"/>
      <c r="I115" s="149"/>
      <c r="J115" s="149"/>
      <c r="K115" s="149"/>
      <c r="L115" s="149"/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</row>
    <row r="116" ht="11.25" customHeight="1">
      <c r="A116" s="149"/>
      <c r="B116" s="149"/>
      <c r="C116" s="149"/>
      <c r="D116" s="149"/>
      <c r="E116" s="149"/>
      <c r="F116" s="149"/>
      <c r="G116" s="149"/>
      <c r="H116" s="149"/>
      <c r="I116" s="149"/>
      <c r="J116" s="149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  <c r="X116" s="149"/>
      <c r="Y116" s="149"/>
      <c r="Z116" s="149"/>
    </row>
    <row r="117" ht="11.25" customHeight="1">
      <c r="A117" s="149"/>
      <c r="B117" s="149"/>
      <c r="C117" s="149"/>
      <c r="D117" s="149"/>
      <c r="E117" s="149"/>
      <c r="F117" s="149"/>
      <c r="G117" s="149"/>
      <c r="H117" s="149"/>
      <c r="I117" s="149"/>
      <c r="J117" s="149"/>
      <c r="K117" s="149"/>
      <c r="L117" s="149"/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W117" s="149"/>
      <c r="X117" s="149"/>
      <c r="Y117" s="149"/>
      <c r="Z117" s="149"/>
    </row>
    <row r="118" ht="11.25" customHeight="1">
      <c r="A118" s="149"/>
      <c r="B118" s="149"/>
      <c r="C118" s="149"/>
      <c r="D118" s="149"/>
      <c r="E118" s="149"/>
      <c r="F118" s="149"/>
      <c r="G118" s="149"/>
      <c r="H118" s="149"/>
      <c r="I118" s="149"/>
      <c r="J118" s="149"/>
      <c r="K118" s="149"/>
      <c r="L118" s="149"/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W118" s="149"/>
      <c r="X118" s="149"/>
      <c r="Y118" s="149"/>
      <c r="Z118" s="149"/>
    </row>
    <row r="119" ht="11.25" customHeight="1">
      <c r="A119" s="149"/>
      <c r="B119" s="149"/>
      <c r="C119" s="149"/>
      <c r="D119" s="149"/>
      <c r="E119" s="149"/>
      <c r="F119" s="149"/>
      <c r="G119" s="149"/>
      <c r="H119" s="149"/>
      <c r="I119" s="149"/>
      <c r="J119" s="149"/>
      <c r="K119" s="149"/>
      <c r="L119" s="149"/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W119" s="149"/>
      <c r="X119" s="149"/>
      <c r="Y119" s="149"/>
      <c r="Z119" s="149"/>
    </row>
    <row r="120" ht="11.25" customHeight="1">
      <c r="A120" s="149"/>
      <c r="B120" s="149"/>
      <c r="C120" s="149"/>
      <c r="D120" s="149"/>
      <c r="E120" s="149"/>
      <c r="F120" s="149"/>
      <c r="G120" s="149"/>
      <c r="H120" s="149"/>
      <c r="I120" s="149"/>
      <c r="J120" s="149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  <c r="X120" s="149"/>
      <c r="Y120" s="149"/>
      <c r="Z120" s="149"/>
    </row>
    <row r="121" ht="11.25" customHeight="1">
      <c r="A121" s="149"/>
      <c r="B121" s="149"/>
      <c r="C121" s="149"/>
      <c r="D121" s="149"/>
      <c r="E121" s="149"/>
      <c r="F121" s="149"/>
      <c r="G121" s="149"/>
      <c r="H121" s="149"/>
      <c r="I121" s="149"/>
      <c r="J121" s="149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  <c r="X121" s="149"/>
      <c r="Y121" s="149"/>
      <c r="Z121" s="149"/>
    </row>
    <row r="122" ht="11.25" customHeight="1">
      <c r="A122" s="149"/>
      <c r="B122" s="149"/>
      <c r="C122" s="149"/>
      <c r="D122" s="149"/>
      <c r="E122" s="149"/>
      <c r="F122" s="149"/>
      <c r="G122" s="149"/>
      <c r="H122" s="149"/>
      <c r="I122" s="149"/>
      <c r="J122" s="149"/>
      <c r="K122" s="149"/>
      <c r="L122" s="149"/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W122" s="149"/>
      <c r="X122" s="149"/>
      <c r="Y122" s="149"/>
      <c r="Z122" s="149"/>
    </row>
    <row r="123" ht="11.25" customHeight="1">
      <c r="A123" s="149"/>
      <c r="B123" s="149"/>
      <c r="C123" s="149"/>
      <c r="D123" s="149"/>
      <c r="E123" s="149"/>
      <c r="F123" s="149"/>
      <c r="G123" s="149"/>
      <c r="H123" s="149"/>
      <c r="I123" s="149"/>
      <c r="J123" s="149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  <c r="X123" s="149"/>
      <c r="Y123" s="149"/>
      <c r="Z123" s="149"/>
    </row>
    <row r="124" ht="11.25" customHeight="1">
      <c r="A124" s="149"/>
      <c r="B124" s="149"/>
      <c r="C124" s="149"/>
      <c r="D124" s="149"/>
      <c r="E124" s="149"/>
      <c r="F124" s="149"/>
      <c r="G124" s="149"/>
      <c r="H124" s="149"/>
      <c r="I124" s="149"/>
      <c r="J124" s="149"/>
      <c r="K124" s="149"/>
      <c r="L124" s="149"/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W124" s="149"/>
      <c r="X124" s="149"/>
      <c r="Y124" s="149"/>
      <c r="Z124" s="149"/>
    </row>
    <row r="125" ht="11.25" customHeight="1">
      <c r="A125" s="149"/>
      <c r="B125" s="149"/>
      <c r="C125" s="149"/>
      <c r="D125" s="149"/>
      <c r="E125" s="149"/>
      <c r="F125" s="149"/>
      <c r="G125" s="149"/>
      <c r="H125" s="149"/>
      <c r="I125" s="149"/>
      <c r="J125" s="149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  <c r="X125" s="149"/>
      <c r="Y125" s="149"/>
      <c r="Z125" s="149"/>
    </row>
    <row r="126" ht="11.25" customHeight="1">
      <c r="A126" s="149"/>
      <c r="B126" s="149"/>
      <c r="C126" s="149"/>
      <c r="D126" s="149"/>
      <c r="E126" s="149"/>
      <c r="F126" s="149"/>
      <c r="G126" s="149"/>
      <c r="H126" s="149"/>
      <c r="I126" s="149"/>
      <c r="J126" s="149"/>
      <c r="K126" s="149"/>
      <c r="L126" s="149"/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W126" s="149"/>
      <c r="X126" s="149"/>
      <c r="Y126" s="149"/>
      <c r="Z126" s="149"/>
    </row>
    <row r="127" ht="11.25" customHeight="1">
      <c r="A127" s="149"/>
      <c r="B127" s="149"/>
      <c r="C127" s="149"/>
      <c r="D127" s="149"/>
      <c r="E127" s="149"/>
      <c r="F127" s="149"/>
      <c r="G127" s="149"/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/>
      <c r="Y127" s="149"/>
      <c r="Z127" s="149"/>
    </row>
    <row r="128" ht="11.25" customHeight="1">
      <c r="A128" s="149"/>
      <c r="B128" s="149"/>
      <c r="C128" s="149"/>
      <c r="D128" s="149"/>
      <c r="E128" s="149"/>
      <c r="F128" s="149"/>
      <c r="G128" s="149"/>
      <c r="H128" s="149"/>
      <c r="I128" s="149"/>
      <c r="J128" s="149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  <c r="X128" s="149"/>
      <c r="Y128" s="149"/>
      <c r="Z128" s="149"/>
    </row>
    <row r="129" ht="11.25" customHeight="1">
      <c r="A129" s="149"/>
      <c r="B129" s="149"/>
      <c r="C129" s="149"/>
      <c r="D129" s="149"/>
      <c r="E129" s="149"/>
      <c r="F129" s="149"/>
      <c r="G129" s="149"/>
      <c r="H129" s="149"/>
      <c r="I129" s="149"/>
      <c r="J129" s="149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W129" s="149"/>
      <c r="X129" s="149"/>
      <c r="Y129" s="149"/>
      <c r="Z129" s="149"/>
    </row>
    <row r="130" ht="11.25" customHeight="1">
      <c r="A130" s="149"/>
      <c r="B130" s="149"/>
      <c r="C130" s="149"/>
      <c r="D130" s="149"/>
      <c r="E130" s="149"/>
      <c r="F130" s="149"/>
      <c r="G130" s="149"/>
      <c r="H130" s="149"/>
      <c r="I130" s="149"/>
      <c r="J130" s="149"/>
      <c r="K130" s="149"/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W130" s="149"/>
      <c r="X130" s="149"/>
      <c r="Y130" s="149"/>
      <c r="Z130" s="149"/>
    </row>
    <row r="131" ht="11.25" customHeight="1">
      <c r="A131" s="149"/>
      <c r="B131" s="149"/>
      <c r="C131" s="149"/>
      <c r="D131" s="149"/>
      <c r="E131" s="149"/>
      <c r="F131" s="149"/>
      <c r="G131" s="149"/>
      <c r="H131" s="149"/>
      <c r="I131" s="149"/>
      <c r="J131" s="149"/>
      <c r="K131" s="149"/>
      <c r="L131" s="149"/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W131" s="149"/>
      <c r="X131" s="149"/>
      <c r="Y131" s="149"/>
      <c r="Z131" s="149"/>
    </row>
    <row r="132" ht="11.25" customHeight="1">
      <c r="A132" s="149"/>
      <c r="B132" s="149"/>
      <c r="C132" s="149"/>
      <c r="D132" s="149"/>
      <c r="E132" s="149"/>
      <c r="F132" s="149"/>
      <c r="G132" s="149"/>
      <c r="H132" s="149"/>
      <c r="I132" s="149"/>
      <c r="J132" s="149"/>
      <c r="K132" s="149"/>
      <c r="L132" s="149"/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W132" s="149"/>
      <c r="X132" s="149"/>
      <c r="Y132" s="149"/>
      <c r="Z132" s="149"/>
    </row>
    <row r="133" ht="11.25" customHeight="1">
      <c r="A133" s="149"/>
      <c r="B133" s="149"/>
      <c r="C133" s="149"/>
      <c r="D133" s="149"/>
      <c r="E133" s="149"/>
      <c r="F133" s="149"/>
      <c r="G133" s="149"/>
      <c r="H133" s="149"/>
      <c r="I133" s="149"/>
      <c r="J133" s="149"/>
      <c r="K133" s="149"/>
      <c r="L133" s="149"/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W133" s="149"/>
      <c r="X133" s="149"/>
      <c r="Y133" s="149"/>
      <c r="Z133" s="149"/>
    </row>
    <row r="134" ht="11.25" customHeight="1">
      <c r="A134" s="149"/>
      <c r="B134" s="149"/>
      <c r="C134" s="149"/>
      <c r="D134" s="149"/>
      <c r="E134" s="149"/>
      <c r="F134" s="149"/>
      <c r="G134" s="149"/>
      <c r="H134" s="149"/>
      <c r="I134" s="149"/>
      <c r="J134" s="149"/>
      <c r="K134" s="149"/>
      <c r="L134" s="149"/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W134" s="149"/>
      <c r="X134" s="149"/>
      <c r="Y134" s="149"/>
      <c r="Z134" s="149"/>
    </row>
    <row r="135" ht="11.25" customHeight="1">
      <c r="A135" s="149"/>
      <c r="B135" s="149"/>
      <c r="C135" s="149"/>
      <c r="D135" s="149"/>
      <c r="E135" s="149"/>
      <c r="F135" s="149"/>
      <c r="G135" s="149"/>
      <c r="H135" s="149"/>
      <c r="I135" s="149"/>
      <c r="J135" s="149"/>
      <c r="K135" s="149"/>
      <c r="L135" s="149"/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</row>
    <row r="136" ht="11.25" customHeight="1">
      <c r="A136" s="149"/>
      <c r="B136" s="149"/>
      <c r="C136" s="149"/>
      <c r="D136" s="149"/>
      <c r="E136" s="149"/>
      <c r="F136" s="149"/>
      <c r="G136" s="149"/>
      <c r="H136" s="149"/>
      <c r="I136" s="149"/>
      <c r="J136" s="149"/>
      <c r="K136" s="149"/>
      <c r="L136" s="149"/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</row>
    <row r="137" ht="11.25" customHeight="1">
      <c r="A137" s="149"/>
      <c r="B137" s="149"/>
      <c r="C137" s="149"/>
      <c r="D137" s="149"/>
      <c r="E137" s="149"/>
      <c r="F137" s="149"/>
      <c r="G137" s="149"/>
      <c r="H137" s="149"/>
      <c r="I137" s="149"/>
      <c r="J137" s="149"/>
      <c r="K137" s="149"/>
      <c r="L137" s="149"/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</row>
    <row r="138" ht="11.25" customHeight="1">
      <c r="A138" s="149"/>
      <c r="B138" s="149"/>
      <c r="C138" s="149"/>
      <c r="D138" s="149"/>
      <c r="E138" s="149"/>
      <c r="F138" s="149"/>
      <c r="G138" s="149"/>
      <c r="H138" s="149"/>
      <c r="I138" s="149"/>
      <c r="J138" s="149"/>
      <c r="K138" s="149"/>
      <c r="L138" s="149"/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</row>
    <row r="139" ht="11.25" customHeight="1">
      <c r="A139" s="149"/>
      <c r="B139" s="149"/>
      <c r="C139" s="149"/>
      <c r="D139" s="149"/>
      <c r="E139" s="149"/>
      <c r="F139" s="149"/>
      <c r="G139" s="149"/>
      <c r="H139" s="149"/>
      <c r="I139" s="149"/>
      <c r="J139" s="149"/>
      <c r="K139" s="149"/>
      <c r="L139" s="149"/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</row>
    <row r="140" ht="11.25" customHeight="1">
      <c r="A140" s="149"/>
      <c r="B140" s="149"/>
      <c r="C140" s="149"/>
      <c r="D140" s="149"/>
      <c r="E140" s="149"/>
      <c r="F140" s="149"/>
      <c r="G140" s="149"/>
      <c r="H140" s="149"/>
      <c r="I140" s="149"/>
      <c r="J140" s="149"/>
      <c r="K140" s="149"/>
      <c r="L140" s="149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</row>
    <row r="141" ht="11.25" customHeight="1">
      <c r="A141" s="149"/>
      <c r="B141" s="149"/>
      <c r="C141" s="149"/>
      <c r="D141" s="149"/>
      <c r="E141" s="149"/>
      <c r="F141" s="149"/>
      <c r="G141" s="149"/>
      <c r="H141" s="149"/>
      <c r="I141" s="149"/>
      <c r="J141" s="149"/>
      <c r="K141" s="149"/>
      <c r="L141" s="149"/>
      <c r="M141" s="149"/>
      <c r="N141" s="149"/>
      <c r="O141" s="149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</row>
    <row r="142" ht="11.25" customHeight="1">
      <c r="A142" s="149"/>
      <c r="B142" s="149"/>
      <c r="C142" s="149"/>
      <c r="D142" s="149"/>
      <c r="E142" s="149"/>
      <c r="F142" s="149"/>
      <c r="G142" s="149"/>
      <c r="H142" s="149"/>
      <c r="I142" s="149"/>
      <c r="J142" s="149"/>
      <c r="K142" s="149"/>
      <c r="L142" s="149"/>
      <c r="M142" s="149"/>
      <c r="N142" s="149"/>
      <c r="O142" s="149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</row>
    <row r="143" ht="11.25" customHeight="1">
      <c r="A143" s="149"/>
      <c r="B143" s="149"/>
      <c r="C143" s="149"/>
      <c r="D143" s="149"/>
      <c r="E143" s="149"/>
      <c r="F143" s="149"/>
      <c r="G143" s="149"/>
      <c r="H143" s="149"/>
      <c r="I143" s="149"/>
      <c r="J143" s="149"/>
      <c r="K143" s="149"/>
      <c r="L143" s="149"/>
      <c r="M143" s="149"/>
      <c r="N143" s="149"/>
      <c r="O143" s="149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</row>
    <row r="144" ht="11.25" customHeight="1">
      <c r="A144" s="149"/>
      <c r="B144" s="149"/>
      <c r="C144" s="149"/>
      <c r="D144" s="149"/>
      <c r="E144" s="149"/>
      <c r="F144" s="149"/>
      <c r="G144" s="149"/>
      <c r="H144" s="149"/>
      <c r="I144" s="149"/>
      <c r="J144" s="149"/>
      <c r="K144" s="149"/>
      <c r="L144" s="149"/>
      <c r="M144" s="149"/>
      <c r="N144" s="149"/>
      <c r="O144" s="149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</row>
    <row r="145" ht="11.25" customHeight="1">
      <c r="A145" s="149"/>
      <c r="B145" s="149"/>
      <c r="C145" s="149"/>
      <c r="D145" s="149"/>
      <c r="E145" s="149"/>
      <c r="F145" s="149"/>
      <c r="G145" s="149"/>
      <c r="H145" s="149"/>
      <c r="I145" s="149"/>
      <c r="J145" s="149"/>
      <c r="K145" s="149"/>
      <c r="L145" s="149"/>
      <c r="M145" s="149"/>
      <c r="N145" s="149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</row>
    <row r="146" ht="11.25" customHeight="1">
      <c r="A146" s="149"/>
      <c r="B146" s="149"/>
      <c r="C146" s="149"/>
      <c r="D146" s="149"/>
      <c r="E146" s="149"/>
      <c r="F146" s="149"/>
      <c r="G146" s="149"/>
      <c r="H146" s="149"/>
      <c r="I146" s="149"/>
      <c r="J146" s="149"/>
      <c r="K146" s="149"/>
      <c r="L146" s="149"/>
      <c r="M146" s="149"/>
      <c r="N146" s="149"/>
      <c r="O146" s="149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</row>
    <row r="147" ht="11.25" customHeight="1">
      <c r="A147" s="149"/>
      <c r="B147" s="149"/>
      <c r="C147" s="149"/>
      <c r="D147" s="149"/>
      <c r="E147" s="149"/>
      <c r="F147" s="149"/>
      <c r="G147" s="149"/>
      <c r="H147" s="149"/>
      <c r="I147" s="149"/>
      <c r="J147" s="149"/>
      <c r="K147" s="149"/>
      <c r="L147" s="149"/>
      <c r="M147" s="149"/>
      <c r="N147" s="149"/>
      <c r="O147" s="149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</row>
    <row r="148" ht="11.25" customHeight="1">
      <c r="A148" s="149"/>
      <c r="B148" s="149"/>
      <c r="C148" s="149"/>
      <c r="D148" s="149"/>
      <c r="E148" s="149"/>
      <c r="F148" s="149"/>
      <c r="G148" s="149"/>
      <c r="H148" s="149"/>
      <c r="I148" s="149"/>
      <c r="J148" s="149"/>
      <c r="K148" s="149"/>
      <c r="L148" s="149"/>
      <c r="M148" s="149"/>
      <c r="N148" s="149"/>
      <c r="O148" s="149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</row>
    <row r="149" ht="11.25" customHeight="1">
      <c r="A149" s="149"/>
      <c r="B149" s="149"/>
      <c r="C149" s="149"/>
      <c r="D149" s="149"/>
      <c r="E149" s="149"/>
      <c r="F149" s="149"/>
      <c r="G149" s="149"/>
      <c r="H149" s="149"/>
      <c r="I149" s="149"/>
      <c r="J149" s="149"/>
      <c r="K149" s="149"/>
      <c r="L149" s="149"/>
      <c r="M149" s="149"/>
      <c r="N149" s="149"/>
      <c r="O149" s="149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</row>
    <row r="150" ht="11.25" customHeight="1">
      <c r="A150" s="149"/>
      <c r="B150" s="149"/>
      <c r="C150" s="149"/>
      <c r="D150" s="149"/>
      <c r="E150" s="149"/>
      <c r="F150" s="149"/>
      <c r="G150" s="149"/>
      <c r="H150" s="149"/>
      <c r="I150" s="149"/>
      <c r="J150" s="149"/>
      <c r="K150" s="149"/>
      <c r="L150" s="149"/>
      <c r="M150" s="149"/>
      <c r="N150" s="149"/>
      <c r="O150" s="149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</row>
    <row r="151" ht="11.25" customHeight="1">
      <c r="A151" s="149"/>
      <c r="B151" s="149"/>
      <c r="C151" s="149"/>
      <c r="D151" s="149"/>
      <c r="E151" s="149"/>
      <c r="F151" s="149"/>
      <c r="G151" s="149"/>
      <c r="H151" s="149"/>
      <c r="I151" s="149"/>
      <c r="J151" s="149"/>
      <c r="K151" s="149"/>
      <c r="L151" s="149"/>
      <c r="M151" s="149"/>
      <c r="N151" s="149"/>
      <c r="O151" s="149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</row>
    <row r="152" ht="11.25" customHeight="1">
      <c r="A152" s="149"/>
      <c r="B152" s="149"/>
      <c r="C152" s="149"/>
      <c r="D152" s="149"/>
      <c r="E152" s="149"/>
      <c r="F152" s="149"/>
      <c r="G152" s="149"/>
      <c r="H152" s="149"/>
      <c r="I152" s="149"/>
      <c r="J152" s="149"/>
      <c r="K152" s="149"/>
      <c r="L152" s="149"/>
      <c r="M152" s="149"/>
      <c r="N152" s="149"/>
      <c r="O152" s="149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</row>
    <row r="153" ht="11.25" customHeight="1">
      <c r="A153" s="149"/>
      <c r="B153" s="149"/>
      <c r="C153" s="149"/>
      <c r="D153" s="149"/>
      <c r="E153" s="149"/>
      <c r="F153" s="149"/>
      <c r="G153" s="149"/>
      <c r="H153" s="149"/>
      <c r="I153" s="149"/>
      <c r="J153" s="149"/>
      <c r="K153" s="149"/>
      <c r="L153" s="149"/>
      <c r="M153" s="149"/>
      <c r="N153" s="149"/>
      <c r="O153" s="149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</row>
    <row r="154" ht="11.25" customHeight="1">
      <c r="A154" s="149"/>
      <c r="B154" s="149"/>
      <c r="C154" s="149"/>
      <c r="D154" s="149"/>
      <c r="E154" s="149"/>
      <c r="F154" s="149"/>
      <c r="G154" s="149"/>
      <c r="H154" s="149"/>
      <c r="I154" s="149"/>
      <c r="J154" s="149"/>
      <c r="K154" s="149"/>
      <c r="L154" s="149"/>
      <c r="M154" s="149"/>
      <c r="N154" s="149"/>
      <c r="O154" s="149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</row>
    <row r="155" ht="11.25" customHeight="1">
      <c r="A155" s="149"/>
      <c r="B155" s="149"/>
      <c r="C155" s="149"/>
      <c r="D155" s="149"/>
      <c r="E155" s="149"/>
      <c r="F155" s="149"/>
      <c r="G155" s="149"/>
      <c r="H155" s="149"/>
      <c r="I155" s="149"/>
      <c r="J155" s="149"/>
      <c r="K155" s="149"/>
      <c r="L155" s="149"/>
      <c r="M155" s="149"/>
      <c r="N155" s="149"/>
      <c r="O155" s="149"/>
      <c r="P155" s="149"/>
      <c r="Q155" s="149"/>
      <c r="R155" s="149"/>
      <c r="S155" s="149"/>
      <c r="T155" s="149"/>
      <c r="U155" s="149"/>
      <c r="V155" s="149"/>
      <c r="W155" s="149"/>
      <c r="X155" s="149"/>
      <c r="Y155" s="149"/>
      <c r="Z155" s="149"/>
    </row>
    <row r="156" ht="11.25" customHeight="1">
      <c r="A156" s="149"/>
      <c r="B156" s="149"/>
      <c r="C156" s="149"/>
      <c r="D156" s="149"/>
      <c r="E156" s="149"/>
      <c r="F156" s="149"/>
      <c r="G156" s="149"/>
      <c r="H156" s="149"/>
      <c r="I156" s="149"/>
      <c r="J156" s="149"/>
      <c r="K156" s="149"/>
      <c r="L156" s="149"/>
      <c r="M156" s="149"/>
      <c r="N156" s="149"/>
      <c r="O156" s="149"/>
      <c r="P156" s="149"/>
      <c r="Q156" s="149"/>
      <c r="R156" s="149"/>
      <c r="S156" s="149"/>
      <c r="T156" s="149"/>
      <c r="U156" s="149"/>
      <c r="V156" s="149"/>
      <c r="W156" s="149"/>
      <c r="X156" s="149"/>
      <c r="Y156" s="149"/>
      <c r="Z156" s="149"/>
    </row>
    <row r="157" ht="11.25" customHeight="1">
      <c r="A157" s="149"/>
      <c r="B157" s="149"/>
      <c r="C157" s="149"/>
      <c r="D157" s="149"/>
      <c r="E157" s="149"/>
      <c r="F157" s="149"/>
      <c r="G157" s="149"/>
      <c r="H157" s="149"/>
      <c r="I157" s="149"/>
      <c r="J157" s="149"/>
      <c r="K157" s="149"/>
      <c r="L157" s="149"/>
      <c r="M157" s="149"/>
      <c r="N157" s="149"/>
      <c r="O157" s="149"/>
      <c r="P157" s="149"/>
      <c r="Q157" s="149"/>
      <c r="R157" s="149"/>
      <c r="S157" s="149"/>
      <c r="T157" s="149"/>
      <c r="U157" s="149"/>
      <c r="V157" s="149"/>
      <c r="W157" s="149"/>
      <c r="X157" s="149"/>
      <c r="Y157" s="149"/>
      <c r="Z157" s="149"/>
    </row>
    <row r="158" ht="11.25" customHeight="1">
      <c r="A158" s="149"/>
      <c r="B158" s="149"/>
      <c r="C158" s="149"/>
      <c r="D158" s="149"/>
      <c r="E158" s="149"/>
      <c r="F158" s="149"/>
      <c r="G158" s="149"/>
      <c r="H158" s="149"/>
      <c r="I158" s="149"/>
      <c r="J158" s="149"/>
      <c r="K158" s="149"/>
      <c r="L158" s="149"/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W158" s="149"/>
      <c r="X158" s="149"/>
      <c r="Y158" s="149"/>
      <c r="Z158" s="149"/>
    </row>
    <row r="159" ht="11.25" customHeight="1">
      <c r="A159" s="149"/>
      <c r="B159" s="149"/>
      <c r="C159" s="149"/>
      <c r="D159" s="149"/>
      <c r="E159" s="149"/>
      <c r="F159" s="149"/>
      <c r="G159" s="149"/>
      <c r="H159" s="149"/>
      <c r="I159" s="149"/>
      <c r="J159" s="149"/>
      <c r="K159" s="149"/>
      <c r="L159" s="149"/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W159" s="149"/>
      <c r="X159" s="149"/>
      <c r="Y159" s="149"/>
      <c r="Z159" s="149"/>
    </row>
    <row r="160" ht="11.25" customHeight="1">
      <c r="A160" s="149"/>
      <c r="B160" s="149"/>
      <c r="C160" s="149"/>
      <c r="D160" s="149"/>
      <c r="E160" s="149"/>
      <c r="F160" s="149"/>
      <c r="G160" s="149"/>
      <c r="H160" s="149"/>
      <c r="I160" s="149"/>
      <c r="J160" s="149"/>
      <c r="K160" s="149"/>
      <c r="L160" s="149"/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W160" s="149"/>
      <c r="X160" s="149"/>
      <c r="Y160" s="149"/>
      <c r="Z160" s="149"/>
    </row>
    <row r="161" ht="11.25" customHeight="1">
      <c r="A161" s="149"/>
      <c r="B161" s="149"/>
      <c r="C161" s="149"/>
      <c r="D161" s="149"/>
      <c r="E161" s="149"/>
      <c r="F161" s="149"/>
      <c r="G161" s="149"/>
      <c r="H161" s="149"/>
      <c r="I161" s="149"/>
      <c r="J161" s="149"/>
      <c r="K161" s="149"/>
      <c r="L161" s="149"/>
      <c r="M161" s="149"/>
      <c r="N161" s="149"/>
      <c r="O161" s="149"/>
      <c r="P161" s="149"/>
      <c r="Q161" s="149"/>
      <c r="R161" s="149"/>
      <c r="S161" s="149"/>
      <c r="T161" s="149"/>
      <c r="U161" s="149"/>
      <c r="V161" s="149"/>
      <c r="W161" s="149"/>
      <c r="X161" s="149"/>
      <c r="Y161" s="149"/>
      <c r="Z161" s="149"/>
    </row>
    <row r="162" ht="11.25" customHeight="1">
      <c r="A162" s="149"/>
      <c r="B162" s="149"/>
      <c r="C162" s="149"/>
      <c r="D162" s="149"/>
      <c r="E162" s="149"/>
      <c r="F162" s="149"/>
      <c r="G162" s="149"/>
      <c r="H162" s="149"/>
      <c r="I162" s="149"/>
      <c r="J162" s="149"/>
      <c r="K162" s="149"/>
      <c r="L162" s="149"/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W162" s="149"/>
      <c r="X162" s="149"/>
      <c r="Y162" s="149"/>
      <c r="Z162" s="149"/>
    </row>
    <row r="163" ht="11.25" customHeight="1">
      <c r="A163" s="149"/>
      <c r="B163" s="149"/>
      <c r="C163" s="149"/>
      <c r="D163" s="149"/>
      <c r="E163" s="149"/>
      <c r="F163" s="149"/>
      <c r="G163" s="149"/>
      <c r="H163" s="149"/>
      <c r="I163" s="149"/>
      <c r="J163" s="149"/>
      <c r="K163" s="149"/>
      <c r="L163" s="149"/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W163" s="149"/>
      <c r="X163" s="149"/>
      <c r="Y163" s="149"/>
      <c r="Z163" s="149"/>
    </row>
    <row r="164" ht="11.25" customHeight="1">
      <c r="A164" s="149"/>
      <c r="B164" s="149"/>
      <c r="C164" s="149"/>
      <c r="D164" s="149"/>
      <c r="E164" s="149"/>
      <c r="F164" s="149"/>
      <c r="G164" s="149"/>
      <c r="H164" s="149"/>
      <c r="I164" s="149"/>
      <c r="J164" s="149"/>
      <c r="K164" s="149"/>
      <c r="L164" s="149"/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W164" s="149"/>
      <c r="X164" s="149"/>
      <c r="Y164" s="149"/>
      <c r="Z164" s="149"/>
    </row>
    <row r="165" ht="11.25" customHeight="1">
      <c r="A165" s="149"/>
      <c r="B165" s="149"/>
      <c r="C165" s="149"/>
      <c r="D165" s="149"/>
      <c r="E165" s="149"/>
      <c r="F165" s="149"/>
      <c r="G165" s="149"/>
      <c r="H165" s="149"/>
      <c r="I165" s="149"/>
      <c r="J165" s="149"/>
      <c r="K165" s="149"/>
      <c r="L165" s="149"/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W165" s="149"/>
      <c r="X165" s="149"/>
      <c r="Y165" s="149"/>
      <c r="Z165" s="149"/>
    </row>
    <row r="166" ht="11.25" customHeight="1">
      <c r="A166" s="149"/>
      <c r="B166" s="149"/>
      <c r="C166" s="149"/>
      <c r="D166" s="149"/>
      <c r="E166" s="149"/>
      <c r="F166" s="149"/>
      <c r="G166" s="149"/>
      <c r="H166" s="149"/>
      <c r="I166" s="149"/>
      <c r="J166" s="149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W166" s="149"/>
      <c r="X166" s="149"/>
      <c r="Y166" s="149"/>
      <c r="Z166" s="149"/>
    </row>
    <row r="167" ht="11.25" customHeight="1">
      <c r="A167" s="149"/>
      <c r="B167" s="149"/>
      <c r="C167" s="149"/>
      <c r="D167" s="149"/>
      <c r="E167" s="149"/>
      <c r="F167" s="149"/>
      <c r="G167" s="149"/>
      <c r="H167" s="149"/>
      <c r="I167" s="149"/>
      <c r="J167" s="149"/>
      <c r="K167" s="149"/>
      <c r="L167" s="149"/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W167" s="149"/>
      <c r="X167" s="149"/>
      <c r="Y167" s="149"/>
      <c r="Z167" s="149"/>
    </row>
    <row r="168" ht="11.25" customHeight="1">
      <c r="A168" s="149"/>
      <c r="B168" s="149"/>
      <c r="C168" s="149"/>
      <c r="D168" s="149"/>
      <c r="E168" s="149"/>
      <c r="F168" s="149"/>
      <c r="G168" s="149"/>
      <c r="H168" s="149"/>
      <c r="I168" s="149"/>
      <c r="J168" s="149"/>
      <c r="K168" s="149"/>
      <c r="L168" s="149"/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W168" s="149"/>
      <c r="X168" s="149"/>
      <c r="Y168" s="149"/>
      <c r="Z168" s="149"/>
    </row>
    <row r="169" ht="11.25" customHeight="1">
      <c r="A169" s="149"/>
      <c r="B169" s="149"/>
      <c r="C169" s="149"/>
      <c r="D169" s="149"/>
      <c r="E169" s="149"/>
      <c r="F169" s="149"/>
      <c r="G169" s="149"/>
      <c r="H169" s="149"/>
      <c r="I169" s="149"/>
      <c r="J169" s="149"/>
      <c r="K169" s="149"/>
      <c r="L169" s="149"/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W169" s="149"/>
      <c r="X169" s="149"/>
      <c r="Y169" s="149"/>
      <c r="Z169" s="149"/>
    </row>
    <row r="170" ht="11.25" customHeight="1">
      <c r="A170" s="149"/>
      <c r="B170" s="149"/>
      <c r="C170" s="149"/>
      <c r="D170" s="149"/>
      <c r="E170" s="149"/>
      <c r="F170" s="149"/>
      <c r="G170" s="149"/>
      <c r="H170" s="149"/>
      <c r="I170" s="149"/>
      <c r="J170" s="149"/>
      <c r="K170" s="149"/>
      <c r="L170" s="149"/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W170" s="149"/>
      <c r="X170" s="149"/>
      <c r="Y170" s="149"/>
      <c r="Z170" s="149"/>
    </row>
    <row r="171" ht="11.25" customHeight="1">
      <c r="A171" s="149"/>
      <c r="B171" s="149"/>
      <c r="C171" s="149"/>
      <c r="D171" s="149"/>
      <c r="E171" s="149"/>
      <c r="F171" s="149"/>
      <c r="G171" s="149"/>
      <c r="H171" s="149"/>
      <c r="I171" s="149"/>
      <c r="J171" s="149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W171" s="149"/>
      <c r="X171" s="149"/>
      <c r="Y171" s="149"/>
      <c r="Z171" s="149"/>
    </row>
    <row r="172" ht="11.25" customHeight="1">
      <c r="A172" s="149"/>
      <c r="B172" s="149"/>
      <c r="C172" s="149"/>
      <c r="D172" s="149"/>
      <c r="E172" s="149"/>
      <c r="F172" s="149"/>
      <c r="G172" s="149"/>
      <c r="H172" s="149"/>
      <c r="I172" s="149"/>
      <c r="J172" s="149"/>
      <c r="K172" s="149"/>
      <c r="L172" s="149"/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W172" s="149"/>
      <c r="X172" s="149"/>
      <c r="Y172" s="149"/>
      <c r="Z172" s="149"/>
    </row>
    <row r="173" ht="11.25" customHeight="1">
      <c r="A173" s="149"/>
      <c r="B173" s="149"/>
      <c r="C173" s="149"/>
      <c r="D173" s="149"/>
      <c r="E173" s="149"/>
      <c r="F173" s="149"/>
      <c r="G173" s="149"/>
      <c r="H173" s="149"/>
      <c r="I173" s="149"/>
      <c r="J173" s="149"/>
      <c r="K173" s="149"/>
      <c r="L173" s="149"/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W173" s="149"/>
      <c r="X173" s="149"/>
      <c r="Y173" s="149"/>
      <c r="Z173" s="149"/>
    </row>
    <row r="174" ht="11.25" customHeight="1">
      <c r="A174" s="149"/>
      <c r="B174" s="149"/>
      <c r="C174" s="149"/>
      <c r="D174" s="149"/>
      <c r="E174" s="149"/>
      <c r="F174" s="149"/>
      <c r="G174" s="149"/>
      <c r="H174" s="149"/>
      <c r="I174" s="149"/>
      <c r="J174" s="149"/>
      <c r="K174" s="149"/>
      <c r="L174" s="149"/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W174" s="149"/>
      <c r="X174" s="149"/>
      <c r="Y174" s="149"/>
      <c r="Z174" s="149"/>
    </row>
    <row r="175" ht="11.25" customHeight="1">
      <c r="A175" s="149"/>
      <c r="B175" s="149"/>
      <c r="C175" s="149"/>
      <c r="D175" s="149"/>
      <c r="E175" s="149"/>
      <c r="F175" s="149"/>
      <c r="G175" s="149"/>
      <c r="H175" s="149"/>
      <c r="I175" s="149"/>
      <c r="J175" s="149"/>
      <c r="K175" s="149"/>
      <c r="L175" s="149"/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W175" s="149"/>
      <c r="X175" s="149"/>
      <c r="Y175" s="149"/>
      <c r="Z175" s="149"/>
    </row>
    <row r="176" ht="11.25" customHeight="1">
      <c r="A176" s="149"/>
      <c r="B176" s="149"/>
      <c r="C176" s="149"/>
      <c r="D176" s="149"/>
      <c r="E176" s="149"/>
      <c r="F176" s="149"/>
      <c r="G176" s="149"/>
      <c r="H176" s="149"/>
      <c r="I176" s="149"/>
      <c r="J176" s="149"/>
      <c r="K176" s="149"/>
      <c r="L176" s="149"/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W176" s="149"/>
      <c r="X176" s="149"/>
      <c r="Y176" s="149"/>
      <c r="Z176" s="149"/>
    </row>
    <row r="177" ht="11.25" customHeight="1">
      <c r="A177" s="149"/>
      <c r="B177" s="149"/>
      <c r="C177" s="149"/>
      <c r="D177" s="149"/>
      <c r="E177" s="149"/>
      <c r="F177" s="149"/>
      <c r="G177" s="149"/>
      <c r="H177" s="149"/>
      <c r="I177" s="149"/>
      <c r="J177" s="149"/>
      <c r="K177" s="149"/>
      <c r="L177" s="149"/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W177" s="149"/>
      <c r="X177" s="149"/>
      <c r="Y177" s="149"/>
      <c r="Z177" s="149"/>
    </row>
    <row r="178" ht="11.25" customHeight="1">
      <c r="A178" s="149"/>
      <c r="B178" s="149"/>
      <c r="C178" s="149"/>
      <c r="D178" s="149"/>
      <c r="E178" s="149"/>
      <c r="F178" s="149"/>
      <c r="G178" s="149"/>
      <c r="H178" s="149"/>
      <c r="I178" s="149"/>
      <c r="J178" s="149"/>
      <c r="K178" s="149"/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W178" s="149"/>
      <c r="X178" s="149"/>
      <c r="Y178" s="149"/>
      <c r="Z178" s="149"/>
    </row>
    <row r="179" ht="11.25" customHeight="1">
      <c r="A179" s="149"/>
      <c r="B179" s="149"/>
      <c r="C179" s="149"/>
      <c r="D179" s="149"/>
      <c r="E179" s="149"/>
      <c r="F179" s="149"/>
      <c r="G179" s="149"/>
      <c r="H179" s="149"/>
      <c r="I179" s="149"/>
      <c r="J179" s="149"/>
      <c r="K179" s="149"/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W179" s="149"/>
      <c r="X179" s="149"/>
      <c r="Y179" s="149"/>
      <c r="Z179" s="149"/>
    </row>
    <row r="180" ht="11.25" customHeight="1">
      <c r="A180" s="149"/>
      <c r="B180" s="149"/>
      <c r="C180" s="149"/>
      <c r="D180" s="149"/>
      <c r="E180" s="149"/>
      <c r="F180" s="149"/>
      <c r="G180" s="149"/>
      <c r="H180" s="149"/>
      <c r="I180" s="149"/>
      <c r="J180" s="149"/>
      <c r="K180" s="149"/>
      <c r="L180" s="149"/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W180" s="149"/>
      <c r="X180" s="149"/>
      <c r="Y180" s="149"/>
      <c r="Z180" s="149"/>
    </row>
    <row r="181" ht="11.25" customHeight="1">
      <c r="A181" s="149"/>
      <c r="B181" s="149"/>
      <c r="C181" s="149"/>
      <c r="D181" s="149"/>
      <c r="E181" s="149"/>
      <c r="F181" s="149"/>
      <c r="G181" s="149"/>
      <c r="H181" s="149"/>
      <c r="I181" s="149"/>
      <c r="J181" s="149"/>
      <c r="K181" s="149"/>
      <c r="L181" s="149"/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W181" s="149"/>
      <c r="X181" s="149"/>
      <c r="Y181" s="149"/>
      <c r="Z181" s="149"/>
    </row>
    <row r="182" ht="11.25" customHeight="1">
      <c r="A182" s="149"/>
      <c r="B182" s="149"/>
      <c r="C182" s="149"/>
      <c r="D182" s="149"/>
      <c r="E182" s="149"/>
      <c r="F182" s="149"/>
      <c r="G182" s="149"/>
      <c r="H182" s="149"/>
      <c r="I182" s="149"/>
      <c r="J182" s="149"/>
      <c r="K182" s="149"/>
      <c r="L182" s="149"/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W182" s="149"/>
      <c r="X182" s="149"/>
      <c r="Y182" s="149"/>
      <c r="Z182" s="149"/>
    </row>
    <row r="183" ht="11.25" customHeight="1">
      <c r="A183" s="149"/>
      <c r="B183" s="149"/>
      <c r="C183" s="149"/>
      <c r="D183" s="149"/>
      <c r="E183" s="149"/>
      <c r="F183" s="149"/>
      <c r="G183" s="149"/>
      <c r="H183" s="149"/>
      <c r="I183" s="149"/>
      <c r="J183" s="149"/>
      <c r="K183" s="149"/>
      <c r="L183" s="149"/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W183" s="149"/>
      <c r="X183" s="149"/>
      <c r="Y183" s="149"/>
      <c r="Z183" s="149"/>
    </row>
    <row r="184" ht="11.25" customHeight="1">
      <c r="A184" s="149"/>
      <c r="B184" s="149"/>
      <c r="C184" s="149"/>
      <c r="D184" s="149"/>
      <c r="E184" s="149"/>
      <c r="F184" s="149"/>
      <c r="G184" s="149"/>
      <c r="H184" s="149"/>
      <c r="I184" s="149"/>
      <c r="J184" s="149"/>
      <c r="K184" s="149"/>
      <c r="L184" s="149"/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W184" s="149"/>
      <c r="X184" s="149"/>
      <c r="Y184" s="149"/>
      <c r="Z184" s="149"/>
    </row>
    <row r="185" ht="11.25" customHeight="1">
      <c r="A185" s="149"/>
      <c r="B185" s="149"/>
      <c r="C185" s="149"/>
      <c r="D185" s="149"/>
      <c r="E185" s="149"/>
      <c r="F185" s="149"/>
      <c r="G185" s="149"/>
      <c r="H185" s="149"/>
      <c r="I185" s="149"/>
      <c r="J185" s="149"/>
      <c r="K185" s="149"/>
      <c r="L185" s="149"/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W185" s="149"/>
      <c r="X185" s="149"/>
      <c r="Y185" s="149"/>
      <c r="Z185" s="149"/>
    </row>
    <row r="186" ht="11.25" customHeight="1">
      <c r="A186" s="149"/>
      <c r="B186" s="149"/>
      <c r="C186" s="149"/>
      <c r="D186" s="149"/>
      <c r="E186" s="149"/>
      <c r="F186" s="149"/>
      <c r="G186" s="149"/>
      <c r="H186" s="149"/>
      <c r="I186" s="149"/>
      <c r="J186" s="149"/>
      <c r="K186" s="149"/>
      <c r="L186" s="149"/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W186" s="149"/>
      <c r="X186" s="149"/>
      <c r="Y186" s="149"/>
      <c r="Z186" s="149"/>
    </row>
    <row r="187" ht="11.25" customHeight="1">
      <c r="A187" s="149"/>
      <c r="B187" s="149"/>
      <c r="C187" s="149"/>
      <c r="D187" s="149"/>
      <c r="E187" s="149"/>
      <c r="F187" s="149"/>
      <c r="G187" s="149"/>
      <c r="H187" s="149"/>
      <c r="I187" s="149"/>
      <c r="J187" s="149"/>
      <c r="K187" s="149"/>
      <c r="L187" s="149"/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W187" s="149"/>
      <c r="X187" s="149"/>
      <c r="Y187" s="149"/>
      <c r="Z187" s="149"/>
    </row>
    <row r="188" ht="11.25" customHeight="1">
      <c r="A188" s="149"/>
      <c r="B188" s="149"/>
      <c r="C188" s="149"/>
      <c r="D188" s="149"/>
      <c r="E188" s="149"/>
      <c r="F188" s="149"/>
      <c r="G188" s="149"/>
      <c r="H188" s="149"/>
      <c r="I188" s="149"/>
      <c r="J188" s="149"/>
      <c r="K188" s="149"/>
      <c r="L188" s="149"/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W188" s="149"/>
      <c r="X188" s="149"/>
      <c r="Y188" s="149"/>
      <c r="Z188" s="149"/>
    </row>
    <row r="189" ht="11.25" customHeight="1">
      <c r="A189" s="149"/>
      <c r="B189" s="149"/>
      <c r="C189" s="149"/>
      <c r="D189" s="149"/>
      <c r="E189" s="149"/>
      <c r="F189" s="149"/>
      <c r="G189" s="149"/>
      <c r="H189" s="149"/>
      <c r="I189" s="149"/>
      <c r="J189" s="149"/>
      <c r="K189" s="149"/>
      <c r="L189" s="149"/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W189" s="149"/>
      <c r="X189" s="149"/>
      <c r="Y189" s="149"/>
      <c r="Z189" s="149"/>
    </row>
    <row r="190" ht="11.25" customHeight="1">
      <c r="A190" s="149"/>
      <c r="B190" s="149"/>
      <c r="C190" s="149"/>
      <c r="D190" s="149"/>
      <c r="E190" s="149"/>
      <c r="F190" s="149"/>
      <c r="G190" s="149"/>
      <c r="H190" s="149"/>
      <c r="I190" s="149"/>
      <c r="J190" s="149"/>
      <c r="K190" s="149"/>
      <c r="L190" s="149"/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W190" s="149"/>
      <c r="X190" s="149"/>
      <c r="Y190" s="149"/>
      <c r="Z190" s="149"/>
    </row>
    <row r="191" ht="11.25" customHeight="1">
      <c r="A191" s="149"/>
      <c r="B191" s="149"/>
      <c r="C191" s="149"/>
      <c r="D191" s="149"/>
      <c r="E191" s="149"/>
      <c r="F191" s="149"/>
      <c r="G191" s="149"/>
      <c r="H191" s="149"/>
      <c r="I191" s="149"/>
      <c r="J191" s="149"/>
      <c r="K191" s="149"/>
      <c r="L191" s="149"/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W191" s="149"/>
      <c r="X191" s="149"/>
      <c r="Y191" s="149"/>
      <c r="Z191" s="149"/>
    </row>
    <row r="192" ht="11.25" customHeight="1">
      <c r="A192" s="149"/>
      <c r="B192" s="149"/>
      <c r="C192" s="149"/>
      <c r="D192" s="149"/>
      <c r="E192" s="149"/>
      <c r="F192" s="149"/>
      <c r="G192" s="149"/>
      <c r="H192" s="149"/>
      <c r="I192" s="149"/>
      <c r="J192" s="149"/>
      <c r="K192" s="149"/>
      <c r="L192" s="149"/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W192" s="149"/>
      <c r="X192" s="149"/>
      <c r="Y192" s="149"/>
      <c r="Z192" s="149"/>
    </row>
    <row r="193" ht="11.25" customHeight="1">
      <c r="A193" s="149"/>
      <c r="B193" s="149"/>
      <c r="C193" s="149"/>
      <c r="D193" s="149"/>
      <c r="E193" s="149"/>
      <c r="F193" s="149"/>
      <c r="G193" s="149"/>
      <c r="H193" s="149"/>
      <c r="I193" s="149"/>
      <c r="J193" s="149"/>
      <c r="K193" s="149"/>
      <c r="L193" s="149"/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W193" s="149"/>
      <c r="X193" s="149"/>
      <c r="Y193" s="149"/>
      <c r="Z193" s="149"/>
    </row>
    <row r="194" ht="11.25" customHeight="1">
      <c r="A194" s="149"/>
      <c r="B194" s="149"/>
      <c r="C194" s="149"/>
      <c r="D194" s="149"/>
      <c r="E194" s="149"/>
      <c r="F194" s="149"/>
      <c r="G194" s="149"/>
      <c r="H194" s="149"/>
      <c r="I194" s="149"/>
      <c r="J194" s="149"/>
      <c r="K194" s="149"/>
      <c r="L194" s="149"/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W194" s="149"/>
      <c r="X194" s="149"/>
      <c r="Y194" s="149"/>
      <c r="Z194" s="149"/>
    </row>
    <row r="195" ht="11.25" customHeight="1">
      <c r="A195" s="149"/>
      <c r="B195" s="149"/>
      <c r="C195" s="149"/>
      <c r="D195" s="149"/>
      <c r="E195" s="149"/>
      <c r="F195" s="149"/>
      <c r="G195" s="149"/>
      <c r="H195" s="149"/>
      <c r="I195" s="149"/>
      <c r="J195" s="149"/>
      <c r="K195" s="149"/>
      <c r="L195" s="149"/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W195" s="149"/>
      <c r="X195" s="149"/>
      <c r="Y195" s="149"/>
      <c r="Z195" s="149"/>
    </row>
    <row r="196" ht="11.25" customHeight="1">
      <c r="A196" s="149"/>
      <c r="B196" s="149"/>
      <c r="C196" s="149"/>
      <c r="D196" s="149"/>
      <c r="E196" s="149"/>
      <c r="F196" s="149"/>
      <c r="G196" s="149"/>
      <c r="H196" s="149"/>
      <c r="I196" s="149"/>
      <c r="J196" s="149"/>
      <c r="K196" s="149"/>
      <c r="L196" s="149"/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W196" s="149"/>
      <c r="X196" s="149"/>
      <c r="Y196" s="149"/>
      <c r="Z196" s="149"/>
    </row>
    <row r="197" ht="11.25" customHeight="1">
      <c r="A197" s="149"/>
      <c r="B197" s="149"/>
      <c r="C197" s="149"/>
      <c r="D197" s="149"/>
      <c r="E197" s="149"/>
      <c r="F197" s="149"/>
      <c r="G197" s="149"/>
      <c r="H197" s="149"/>
      <c r="I197" s="149"/>
      <c r="J197" s="149"/>
      <c r="K197" s="149"/>
      <c r="L197" s="149"/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W197" s="149"/>
      <c r="X197" s="149"/>
      <c r="Y197" s="149"/>
      <c r="Z197" s="149"/>
    </row>
    <row r="198" ht="11.25" customHeight="1">
      <c r="A198" s="149"/>
      <c r="B198" s="149"/>
      <c r="C198" s="149"/>
      <c r="D198" s="149"/>
      <c r="E198" s="149"/>
      <c r="F198" s="149"/>
      <c r="G198" s="149"/>
      <c r="H198" s="149"/>
      <c r="I198" s="149"/>
      <c r="J198" s="149"/>
      <c r="K198" s="149"/>
      <c r="L198" s="149"/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W198" s="149"/>
      <c r="X198" s="149"/>
      <c r="Y198" s="149"/>
      <c r="Z198" s="149"/>
    </row>
    <row r="199" ht="11.25" customHeight="1">
      <c r="A199" s="149"/>
      <c r="B199" s="149"/>
      <c r="C199" s="149"/>
      <c r="D199" s="149"/>
      <c r="E199" s="149"/>
      <c r="F199" s="149"/>
      <c r="G199" s="149"/>
      <c r="H199" s="149"/>
      <c r="I199" s="149"/>
      <c r="J199" s="149"/>
      <c r="K199" s="149"/>
      <c r="L199" s="149"/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W199" s="149"/>
      <c r="X199" s="149"/>
      <c r="Y199" s="149"/>
      <c r="Z199" s="149"/>
    </row>
    <row r="200" ht="11.25" customHeight="1">
      <c r="A200" s="149"/>
      <c r="B200" s="149"/>
      <c r="C200" s="149"/>
      <c r="D200" s="149"/>
      <c r="E200" s="149"/>
      <c r="F200" s="149"/>
      <c r="G200" s="149"/>
      <c r="H200" s="149"/>
      <c r="I200" s="149"/>
      <c r="J200" s="149"/>
      <c r="K200" s="149"/>
      <c r="L200" s="149"/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W200" s="149"/>
      <c r="X200" s="149"/>
      <c r="Y200" s="149"/>
      <c r="Z200" s="149"/>
    </row>
    <row r="201" ht="11.25" customHeight="1">
      <c r="A201" s="149"/>
      <c r="B201" s="149"/>
      <c r="C201" s="149"/>
      <c r="D201" s="149"/>
      <c r="E201" s="149"/>
      <c r="F201" s="149"/>
      <c r="G201" s="149"/>
      <c r="H201" s="149"/>
      <c r="I201" s="149"/>
      <c r="J201" s="149"/>
      <c r="K201" s="149"/>
      <c r="L201" s="149"/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W201" s="149"/>
      <c r="X201" s="149"/>
      <c r="Y201" s="149"/>
      <c r="Z201" s="149"/>
    </row>
    <row r="202" ht="11.25" customHeight="1">
      <c r="A202" s="149"/>
      <c r="B202" s="149"/>
      <c r="C202" s="149"/>
      <c r="D202" s="149"/>
      <c r="E202" s="149"/>
      <c r="F202" s="149"/>
      <c r="G202" s="149"/>
      <c r="H202" s="149"/>
      <c r="I202" s="149"/>
      <c r="J202" s="149"/>
      <c r="K202" s="149"/>
      <c r="L202" s="149"/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W202" s="149"/>
      <c r="X202" s="149"/>
      <c r="Y202" s="149"/>
      <c r="Z202" s="149"/>
    </row>
    <row r="203" ht="11.25" customHeight="1">
      <c r="A203" s="149"/>
      <c r="B203" s="149"/>
      <c r="C203" s="149"/>
      <c r="D203" s="149"/>
      <c r="E203" s="149"/>
      <c r="F203" s="149"/>
      <c r="G203" s="149"/>
      <c r="H203" s="149"/>
      <c r="I203" s="149"/>
      <c r="J203" s="149"/>
      <c r="K203" s="149"/>
      <c r="L203" s="149"/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W203" s="149"/>
      <c r="X203" s="149"/>
      <c r="Y203" s="149"/>
      <c r="Z203" s="149"/>
    </row>
    <row r="204" ht="11.25" customHeight="1">
      <c r="A204" s="149"/>
      <c r="B204" s="149"/>
      <c r="C204" s="149"/>
      <c r="D204" s="149"/>
      <c r="E204" s="149"/>
      <c r="F204" s="149"/>
      <c r="G204" s="149"/>
      <c r="H204" s="149"/>
      <c r="I204" s="149"/>
      <c r="J204" s="149"/>
      <c r="K204" s="149"/>
      <c r="L204" s="149"/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W204" s="149"/>
      <c r="X204" s="149"/>
      <c r="Y204" s="149"/>
      <c r="Z204" s="149"/>
    </row>
    <row r="205" ht="11.25" customHeight="1">
      <c r="A205" s="149"/>
      <c r="B205" s="149"/>
      <c r="C205" s="149"/>
      <c r="D205" s="149"/>
      <c r="E205" s="149"/>
      <c r="F205" s="149"/>
      <c r="G205" s="149"/>
      <c r="H205" s="149"/>
      <c r="I205" s="149"/>
      <c r="J205" s="149"/>
      <c r="K205" s="149"/>
      <c r="L205" s="149"/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W205" s="149"/>
      <c r="X205" s="149"/>
      <c r="Y205" s="149"/>
      <c r="Z205" s="149"/>
    </row>
    <row r="206" ht="11.25" customHeight="1">
      <c r="A206" s="149"/>
      <c r="B206" s="149"/>
      <c r="C206" s="149"/>
      <c r="D206" s="149"/>
      <c r="E206" s="149"/>
      <c r="F206" s="149"/>
      <c r="G206" s="149"/>
      <c r="H206" s="149"/>
      <c r="I206" s="149"/>
      <c r="J206" s="149"/>
      <c r="K206" s="149"/>
      <c r="L206" s="149"/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W206" s="149"/>
      <c r="X206" s="149"/>
      <c r="Y206" s="149"/>
      <c r="Z206" s="149"/>
    </row>
    <row r="207" ht="11.25" customHeight="1">
      <c r="A207" s="149"/>
      <c r="B207" s="149"/>
      <c r="C207" s="149"/>
      <c r="D207" s="149"/>
      <c r="E207" s="149"/>
      <c r="F207" s="149"/>
      <c r="G207" s="149"/>
      <c r="H207" s="149"/>
      <c r="I207" s="149"/>
      <c r="J207" s="149"/>
      <c r="K207" s="149"/>
      <c r="L207" s="149"/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W207" s="149"/>
      <c r="X207" s="149"/>
      <c r="Y207" s="149"/>
      <c r="Z207" s="149"/>
    </row>
    <row r="208" ht="11.25" customHeight="1">
      <c r="A208" s="149"/>
      <c r="B208" s="149"/>
      <c r="C208" s="149"/>
      <c r="D208" s="149"/>
      <c r="E208" s="149"/>
      <c r="F208" s="149"/>
      <c r="G208" s="149"/>
      <c r="H208" s="149"/>
      <c r="I208" s="149"/>
      <c r="J208" s="149"/>
      <c r="K208" s="149"/>
      <c r="L208" s="149"/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W208" s="149"/>
      <c r="X208" s="149"/>
      <c r="Y208" s="149"/>
      <c r="Z208" s="149"/>
    </row>
    <row r="209" ht="11.25" customHeight="1">
      <c r="A209" s="149"/>
      <c r="B209" s="149"/>
      <c r="C209" s="149"/>
      <c r="D209" s="149"/>
      <c r="E209" s="149"/>
      <c r="F209" s="149"/>
      <c r="G209" s="149"/>
      <c r="H209" s="149"/>
      <c r="I209" s="149"/>
      <c r="J209" s="149"/>
      <c r="K209" s="149"/>
      <c r="L209" s="149"/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W209" s="149"/>
      <c r="X209" s="149"/>
      <c r="Y209" s="149"/>
      <c r="Z209" s="149"/>
    </row>
    <row r="210" ht="11.25" customHeight="1">
      <c r="A210" s="149"/>
      <c r="B210" s="149"/>
      <c r="C210" s="149"/>
      <c r="D210" s="149"/>
      <c r="E210" s="149"/>
      <c r="F210" s="149"/>
      <c r="G210" s="149"/>
      <c r="H210" s="149"/>
      <c r="I210" s="149"/>
      <c r="J210" s="149"/>
      <c r="K210" s="149"/>
      <c r="L210" s="149"/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W210" s="149"/>
      <c r="X210" s="149"/>
      <c r="Y210" s="149"/>
      <c r="Z210" s="149"/>
    </row>
    <row r="211" ht="11.25" customHeight="1">
      <c r="A211" s="149"/>
      <c r="B211" s="149"/>
      <c r="C211" s="149"/>
      <c r="D211" s="149"/>
      <c r="E211" s="149"/>
      <c r="F211" s="149"/>
      <c r="G211" s="149"/>
      <c r="H211" s="149"/>
      <c r="I211" s="149"/>
      <c r="J211" s="149"/>
      <c r="K211" s="149"/>
      <c r="L211" s="149"/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W211" s="149"/>
      <c r="X211" s="149"/>
      <c r="Y211" s="149"/>
      <c r="Z211" s="149"/>
    </row>
    <row r="212" ht="11.25" customHeight="1">
      <c r="A212" s="149"/>
      <c r="B212" s="149"/>
      <c r="C212" s="149"/>
      <c r="D212" s="149"/>
      <c r="E212" s="149"/>
      <c r="F212" s="149"/>
      <c r="G212" s="149"/>
      <c r="H212" s="149"/>
      <c r="I212" s="149"/>
      <c r="J212" s="149"/>
      <c r="K212" s="149"/>
      <c r="L212" s="149"/>
      <c r="M212" s="149"/>
      <c r="N212" s="149"/>
      <c r="O212" s="149"/>
      <c r="P212" s="149"/>
      <c r="Q212" s="149"/>
      <c r="R212" s="149"/>
      <c r="S212" s="149"/>
      <c r="T212" s="149"/>
      <c r="U212" s="149"/>
      <c r="V212" s="149"/>
      <c r="W212" s="149"/>
      <c r="X212" s="149"/>
      <c r="Y212" s="149"/>
      <c r="Z212" s="149"/>
    </row>
    <row r="213" ht="11.25" customHeight="1">
      <c r="A213" s="149"/>
      <c r="B213" s="149"/>
      <c r="C213" s="149"/>
      <c r="D213" s="149"/>
      <c r="E213" s="149"/>
      <c r="F213" s="149"/>
      <c r="G213" s="149"/>
      <c r="H213" s="149"/>
      <c r="I213" s="149"/>
      <c r="J213" s="149"/>
      <c r="K213" s="149"/>
      <c r="L213" s="149"/>
      <c r="M213" s="149"/>
      <c r="N213" s="149"/>
      <c r="O213" s="149"/>
      <c r="P213" s="149"/>
      <c r="Q213" s="149"/>
      <c r="R213" s="149"/>
      <c r="S213" s="149"/>
      <c r="T213" s="149"/>
      <c r="U213" s="149"/>
      <c r="V213" s="149"/>
      <c r="W213" s="149"/>
      <c r="X213" s="149"/>
      <c r="Y213" s="149"/>
      <c r="Z213" s="149"/>
    </row>
    <row r="214" ht="11.25" customHeight="1">
      <c r="A214" s="149"/>
      <c r="B214" s="149"/>
      <c r="C214" s="149"/>
      <c r="D214" s="149"/>
      <c r="E214" s="149"/>
      <c r="F214" s="149"/>
      <c r="G214" s="149"/>
      <c r="H214" s="149"/>
      <c r="I214" s="149"/>
      <c r="J214" s="149"/>
      <c r="K214" s="149"/>
      <c r="L214" s="149"/>
      <c r="M214" s="149"/>
      <c r="N214" s="149"/>
      <c r="O214" s="149"/>
      <c r="P214" s="149"/>
      <c r="Q214" s="149"/>
      <c r="R214" s="149"/>
      <c r="S214" s="149"/>
      <c r="T214" s="149"/>
      <c r="U214" s="149"/>
      <c r="V214" s="149"/>
      <c r="W214" s="149"/>
      <c r="X214" s="149"/>
      <c r="Y214" s="149"/>
      <c r="Z214" s="149"/>
    </row>
    <row r="215" ht="11.25" customHeight="1">
      <c r="A215" s="149"/>
      <c r="B215" s="149"/>
      <c r="C215" s="149"/>
      <c r="D215" s="149"/>
      <c r="E215" s="149"/>
      <c r="F215" s="149"/>
      <c r="G215" s="149"/>
      <c r="H215" s="149"/>
      <c r="I215" s="149"/>
      <c r="J215" s="149"/>
      <c r="K215" s="149"/>
      <c r="L215" s="149"/>
      <c r="M215" s="149"/>
      <c r="N215" s="149"/>
      <c r="O215" s="149"/>
      <c r="P215" s="149"/>
      <c r="Q215" s="149"/>
      <c r="R215" s="149"/>
      <c r="S215" s="149"/>
      <c r="T215" s="149"/>
      <c r="U215" s="149"/>
      <c r="V215" s="149"/>
      <c r="W215" s="149"/>
      <c r="X215" s="149"/>
      <c r="Y215" s="149"/>
      <c r="Z215" s="149"/>
    </row>
    <row r="216" ht="11.25" customHeight="1">
      <c r="A216" s="149"/>
      <c r="B216" s="149"/>
      <c r="C216" s="149"/>
      <c r="D216" s="149"/>
      <c r="E216" s="149"/>
      <c r="F216" s="149"/>
      <c r="G216" s="149"/>
      <c r="H216" s="149"/>
      <c r="I216" s="149"/>
      <c r="J216" s="149"/>
      <c r="K216" s="149"/>
      <c r="L216" s="149"/>
      <c r="M216" s="149"/>
      <c r="N216" s="149"/>
      <c r="O216" s="149"/>
      <c r="P216" s="149"/>
      <c r="Q216" s="149"/>
      <c r="R216" s="149"/>
      <c r="S216" s="149"/>
      <c r="T216" s="149"/>
      <c r="U216" s="149"/>
      <c r="V216" s="149"/>
      <c r="W216" s="149"/>
      <c r="X216" s="149"/>
      <c r="Y216" s="149"/>
      <c r="Z216" s="149"/>
    </row>
    <row r="217" ht="11.25" customHeight="1">
      <c r="A217" s="149"/>
      <c r="B217" s="149"/>
      <c r="C217" s="149"/>
      <c r="D217" s="149"/>
      <c r="E217" s="149"/>
      <c r="F217" s="149"/>
      <c r="G217" s="149"/>
      <c r="H217" s="149"/>
      <c r="I217" s="149"/>
      <c r="J217" s="149"/>
      <c r="K217" s="149"/>
      <c r="L217" s="149"/>
      <c r="M217" s="149"/>
      <c r="N217" s="149"/>
      <c r="O217" s="149"/>
      <c r="P217" s="149"/>
      <c r="Q217" s="149"/>
      <c r="R217" s="149"/>
      <c r="S217" s="149"/>
      <c r="T217" s="149"/>
      <c r="U217" s="149"/>
      <c r="V217" s="149"/>
      <c r="W217" s="149"/>
      <c r="X217" s="149"/>
      <c r="Y217" s="149"/>
      <c r="Z217" s="149"/>
    </row>
    <row r="218" ht="11.25" customHeight="1">
      <c r="A218" s="149"/>
      <c r="B218" s="149"/>
      <c r="C218" s="149"/>
      <c r="D218" s="149"/>
      <c r="E218" s="149"/>
      <c r="F218" s="149"/>
      <c r="G218" s="149"/>
      <c r="H218" s="149"/>
      <c r="I218" s="149"/>
      <c r="J218" s="149"/>
      <c r="K218" s="149"/>
      <c r="L218" s="149"/>
      <c r="M218" s="149"/>
      <c r="N218" s="149"/>
      <c r="O218" s="149"/>
      <c r="P218" s="149"/>
      <c r="Q218" s="149"/>
      <c r="R218" s="149"/>
      <c r="S218" s="149"/>
      <c r="T218" s="149"/>
      <c r="U218" s="149"/>
      <c r="V218" s="149"/>
      <c r="W218" s="149"/>
      <c r="X218" s="149"/>
      <c r="Y218" s="149"/>
      <c r="Z218" s="149"/>
    </row>
    <row r="219" ht="11.25" customHeight="1">
      <c r="A219" s="149"/>
      <c r="B219" s="149"/>
      <c r="C219" s="149"/>
      <c r="D219" s="149"/>
      <c r="E219" s="149"/>
      <c r="F219" s="149"/>
      <c r="G219" s="149"/>
      <c r="H219" s="149"/>
      <c r="I219" s="149"/>
      <c r="J219" s="149"/>
      <c r="K219" s="149"/>
      <c r="L219" s="149"/>
      <c r="M219" s="149"/>
      <c r="N219" s="149"/>
      <c r="O219" s="149"/>
      <c r="P219" s="149"/>
      <c r="Q219" s="149"/>
      <c r="R219" s="149"/>
      <c r="S219" s="149"/>
      <c r="T219" s="149"/>
      <c r="U219" s="149"/>
      <c r="V219" s="149"/>
      <c r="W219" s="149"/>
      <c r="X219" s="149"/>
      <c r="Y219" s="149"/>
      <c r="Z219" s="149"/>
    </row>
    <row r="220" ht="11.25" customHeight="1">
      <c r="A220" s="149"/>
      <c r="B220" s="149"/>
      <c r="C220" s="149"/>
      <c r="D220" s="149"/>
      <c r="E220" s="149"/>
      <c r="F220" s="149"/>
      <c r="G220" s="149"/>
      <c r="H220" s="149"/>
      <c r="I220" s="149"/>
      <c r="J220" s="149"/>
      <c r="K220" s="149"/>
      <c r="L220" s="149"/>
      <c r="M220" s="149"/>
      <c r="N220" s="149"/>
      <c r="O220" s="149"/>
      <c r="P220" s="149"/>
      <c r="Q220" s="149"/>
      <c r="R220" s="149"/>
      <c r="S220" s="149"/>
      <c r="T220" s="149"/>
      <c r="U220" s="149"/>
      <c r="V220" s="149"/>
      <c r="W220" s="149"/>
      <c r="X220" s="149"/>
      <c r="Y220" s="149"/>
      <c r="Z220" s="1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/>
  <pageMargins bottom="0.77" footer="0.0" header="0.0" left="0.25" right="0.25" top="0.88"/>
  <pageSetup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9.0"/>
    <col customWidth="1" min="3" max="3" width="10.88"/>
    <col customWidth="1" min="4" max="4" width="8.38"/>
    <col customWidth="1" min="5" max="6" width="10.88"/>
    <col customWidth="1" min="7" max="7" width="12.63"/>
    <col customWidth="1" min="8" max="8" width="11.63"/>
    <col customWidth="1" min="9" max="9" width="11.0"/>
    <col customWidth="1" min="10" max="26" width="9.13"/>
  </cols>
  <sheetData>
    <row r="1" ht="11.25" customHeight="1">
      <c r="A1" s="184" t="s">
        <v>515</v>
      </c>
      <c r="B1" s="184" t="s">
        <v>482</v>
      </c>
      <c r="C1" s="184" t="s">
        <v>563</v>
      </c>
      <c r="D1" s="184" t="s">
        <v>37</v>
      </c>
      <c r="E1" s="184" t="s">
        <v>503</v>
      </c>
      <c r="F1" s="184" t="s">
        <v>506</v>
      </c>
      <c r="G1" s="184" t="s">
        <v>564</v>
      </c>
      <c r="H1" s="184" t="s">
        <v>565</v>
      </c>
      <c r="I1" s="184" t="s">
        <v>566</v>
      </c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</row>
    <row r="2" ht="11.25" customHeight="1">
      <c r="A2" s="193"/>
      <c r="B2" s="169"/>
      <c r="C2" s="149"/>
      <c r="D2" s="149"/>
      <c r="E2" s="169"/>
      <c r="F2" s="149"/>
      <c r="G2" s="196"/>
      <c r="H2" s="196"/>
      <c r="I2" s="197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</row>
    <row r="3" ht="11.25" customHeight="1">
      <c r="A3" s="198" t="s">
        <v>10</v>
      </c>
      <c r="B3" s="149"/>
      <c r="C3" s="149"/>
      <c r="D3" s="149"/>
      <c r="E3" s="169"/>
      <c r="F3" s="149"/>
      <c r="G3" s="196"/>
      <c r="H3" s="196"/>
      <c r="I3" s="19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9"/>
      <c r="X3" s="149"/>
      <c r="Y3" s="149"/>
      <c r="Z3" s="149"/>
    </row>
    <row r="4" ht="11.25" customHeight="1">
      <c r="A4" s="200" t="s">
        <v>543</v>
      </c>
      <c r="B4" s="201"/>
      <c r="C4" s="201"/>
      <c r="D4" s="202"/>
      <c r="E4" s="201"/>
      <c r="F4" s="201"/>
      <c r="G4" s="203"/>
      <c r="H4" s="203"/>
      <c r="I4" s="204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</row>
    <row r="5" ht="11.25" customHeight="1">
      <c r="A5" s="200" t="s">
        <v>544</v>
      </c>
      <c r="B5" s="201"/>
      <c r="C5" s="201"/>
      <c r="D5" s="202"/>
      <c r="E5" s="201"/>
      <c r="F5" s="201"/>
      <c r="G5" s="203"/>
      <c r="H5" s="203"/>
      <c r="I5" s="204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  <c r="Y5" s="149"/>
      <c r="Z5" s="149"/>
    </row>
    <row r="6" ht="11.25" customHeight="1">
      <c r="A6" s="200" t="s">
        <v>545</v>
      </c>
      <c r="B6" s="201"/>
      <c r="C6" s="201"/>
      <c r="D6" s="202"/>
      <c r="E6" s="201"/>
      <c r="F6" s="201"/>
      <c r="G6" s="203"/>
      <c r="H6" s="203"/>
      <c r="I6" s="204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</row>
    <row r="7" ht="11.25" customHeight="1">
      <c r="A7" s="200" t="s">
        <v>546</v>
      </c>
      <c r="B7" s="201"/>
      <c r="C7" s="201"/>
      <c r="D7" s="202"/>
      <c r="E7" s="201"/>
      <c r="F7" s="201"/>
      <c r="G7" s="203"/>
      <c r="H7" s="203"/>
      <c r="I7" s="204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</row>
    <row r="8" ht="11.25" customHeight="1">
      <c r="A8" s="200" t="s">
        <v>547</v>
      </c>
      <c r="B8" s="205"/>
      <c r="C8" s="201"/>
      <c r="D8" s="206"/>
      <c r="E8" s="201"/>
      <c r="F8" s="201"/>
      <c r="G8" s="203"/>
      <c r="H8" s="203"/>
      <c r="I8" s="204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</row>
    <row r="9" ht="11.25" customHeight="1">
      <c r="A9" s="207" t="s">
        <v>541</v>
      </c>
      <c r="B9" s="208"/>
      <c r="C9" s="209"/>
      <c r="D9" s="210"/>
      <c r="E9" s="209"/>
      <c r="F9" s="209"/>
      <c r="G9" s="211"/>
      <c r="H9" s="211"/>
      <c r="I9" s="212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</row>
    <row r="10" ht="11.25" customHeight="1">
      <c r="A10" s="193"/>
      <c r="B10" s="149"/>
      <c r="C10" s="149"/>
      <c r="D10" s="149"/>
      <c r="E10" s="149"/>
      <c r="F10" s="149"/>
      <c r="G10" s="196"/>
      <c r="H10" s="196"/>
      <c r="I10" s="197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</row>
    <row r="11" ht="11.25" customHeight="1">
      <c r="A11" s="198" t="s">
        <v>13</v>
      </c>
      <c r="B11" s="169"/>
      <c r="C11" s="213"/>
      <c r="D11" s="149"/>
      <c r="E11" s="169"/>
      <c r="F11" s="169"/>
      <c r="G11" s="196"/>
      <c r="H11" s="196"/>
      <c r="I11" s="197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</row>
    <row r="12" ht="11.25" customHeight="1">
      <c r="A12" s="200" t="s">
        <v>522</v>
      </c>
      <c r="B12" s="201"/>
      <c r="C12" s="201"/>
      <c r="D12" s="206"/>
      <c r="E12" s="201"/>
      <c r="F12" s="201"/>
      <c r="G12" s="203"/>
      <c r="H12" s="203"/>
      <c r="I12" s="204"/>
      <c r="J12" s="149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  <c r="X12" s="149"/>
      <c r="Y12" s="149"/>
      <c r="Z12" s="149"/>
    </row>
    <row r="13" ht="11.25" customHeight="1">
      <c r="A13" s="200" t="s">
        <v>523</v>
      </c>
      <c r="B13" s="201"/>
      <c r="C13" s="201"/>
      <c r="D13" s="206"/>
      <c r="E13" s="201"/>
      <c r="F13" s="201"/>
      <c r="G13" s="203"/>
      <c r="H13" s="203"/>
      <c r="I13" s="204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  <c r="Y13" s="149"/>
      <c r="Z13" s="149"/>
    </row>
    <row r="14" ht="11.25" customHeight="1">
      <c r="A14" s="200" t="s">
        <v>524</v>
      </c>
      <c r="B14" s="201"/>
      <c r="C14" s="201"/>
      <c r="D14" s="206"/>
      <c r="E14" s="201"/>
      <c r="F14" s="201"/>
      <c r="G14" s="203"/>
      <c r="H14" s="203"/>
      <c r="I14" s="204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149"/>
      <c r="Z14" s="149"/>
    </row>
    <row r="15" ht="11.25" customHeight="1">
      <c r="A15" s="200" t="s">
        <v>525</v>
      </c>
      <c r="B15" s="201"/>
      <c r="C15" s="201"/>
      <c r="D15" s="206"/>
      <c r="E15" s="201"/>
      <c r="F15" s="201"/>
      <c r="G15" s="203"/>
      <c r="H15" s="203"/>
      <c r="I15" s="204"/>
      <c r="J15" s="149"/>
      <c r="K15" s="149"/>
      <c r="L15" s="149"/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W15" s="149"/>
      <c r="X15" s="149"/>
      <c r="Y15" s="149"/>
      <c r="Z15" s="149"/>
    </row>
    <row r="16" ht="11.25" customHeight="1">
      <c r="A16" s="200" t="s">
        <v>526</v>
      </c>
      <c r="B16" s="201"/>
      <c r="C16" s="201"/>
      <c r="D16" s="206"/>
      <c r="E16" s="201"/>
      <c r="F16" s="201"/>
      <c r="G16" s="203"/>
      <c r="H16" s="203"/>
      <c r="I16" s="204"/>
      <c r="J16" s="149"/>
      <c r="K16" s="149"/>
      <c r="L16" s="149"/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W16" s="149"/>
      <c r="X16" s="149"/>
      <c r="Y16" s="149"/>
      <c r="Z16" s="149"/>
    </row>
    <row r="17" ht="11.25" customHeight="1">
      <c r="A17" s="200" t="s">
        <v>529</v>
      </c>
      <c r="B17" s="201"/>
      <c r="C17" s="201"/>
      <c r="D17" s="206"/>
      <c r="E17" s="201"/>
      <c r="F17" s="201"/>
      <c r="G17" s="203"/>
      <c r="H17" s="203"/>
      <c r="I17" s="204"/>
      <c r="J17" s="149"/>
      <c r="K17" s="149"/>
      <c r="L17" s="149"/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W17" s="149"/>
      <c r="X17" s="149"/>
      <c r="Y17" s="149"/>
      <c r="Z17" s="149"/>
    </row>
    <row r="18" ht="11.25" customHeight="1">
      <c r="A18" s="200" t="s">
        <v>527</v>
      </c>
      <c r="B18" s="201"/>
      <c r="C18" s="201"/>
      <c r="D18" s="206"/>
      <c r="E18" s="201"/>
      <c r="F18" s="201"/>
      <c r="G18" s="203"/>
      <c r="H18" s="203"/>
      <c r="I18" s="204"/>
      <c r="J18" s="149"/>
      <c r="K18" s="149"/>
      <c r="L18" s="149"/>
      <c r="M18" s="149"/>
      <c r="N18" s="149"/>
      <c r="O18" s="149"/>
      <c r="P18" s="149"/>
      <c r="Q18" s="149"/>
      <c r="R18" s="149"/>
      <c r="S18" s="149"/>
      <c r="T18" s="149"/>
      <c r="U18" s="149"/>
      <c r="V18" s="149"/>
      <c r="W18" s="149"/>
      <c r="X18" s="149"/>
      <c r="Y18" s="149"/>
      <c r="Z18" s="149"/>
    </row>
    <row r="19" ht="11.25" customHeight="1">
      <c r="A19" s="200" t="s">
        <v>528</v>
      </c>
      <c r="B19" s="201"/>
      <c r="C19" s="201"/>
      <c r="D19" s="206"/>
      <c r="E19" s="201"/>
      <c r="F19" s="201"/>
      <c r="G19" s="203"/>
      <c r="H19" s="203"/>
      <c r="I19" s="204"/>
      <c r="J19" s="149"/>
      <c r="K19" s="149"/>
      <c r="L19" s="149"/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W19" s="149"/>
      <c r="X19" s="149"/>
      <c r="Y19" s="149"/>
      <c r="Z19" s="149"/>
    </row>
    <row r="20" ht="11.25" customHeight="1">
      <c r="A20" s="200" t="s">
        <v>530</v>
      </c>
      <c r="B20" s="201"/>
      <c r="C20" s="201"/>
      <c r="D20" s="206"/>
      <c r="E20" s="201"/>
      <c r="F20" s="201"/>
      <c r="G20" s="203"/>
      <c r="H20" s="203"/>
      <c r="I20" s="204"/>
      <c r="J20" s="149"/>
      <c r="K20" s="149"/>
      <c r="L20" s="149"/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W20" s="149"/>
      <c r="X20" s="149"/>
      <c r="Y20" s="149"/>
      <c r="Z20" s="149"/>
    </row>
    <row r="21" ht="11.25" customHeight="1">
      <c r="A21" s="200" t="s">
        <v>531</v>
      </c>
      <c r="B21" s="201"/>
      <c r="C21" s="201"/>
      <c r="D21" s="206"/>
      <c r="E21" s="201"/>
      <c r="F21" s="201"/>
      <c r="G21" s="203"/>
      <c r="H21" s="203"/>
      <c r="I21" s="204"/>
      <c r="J21" s="149"/>
      <c r="K21" s="149"/>
      <c r="L21" s="149"/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W21" s="149"/>
      <c r="X21" s="149"/>
      <c r="Y21" s="149"/>
      <c r="Z21" s="149"/>
    </row>
    <row r="22" ht="11.25" customHeight="1">
      <c r="A22" s="200" t="s">
        <v>532</v>
      </c>
      <c r="B22" s="201"/>
      <c r="C22" s="201"/>
      <c r="D22" s="206"/>
      <c r="E22" s="201"/>
      <c r="F22" s="201"/>
      <c r="G22" s="203"/>
      <c r="H22" s="203"/>
      <c r="I22" s="204"/>
      <c r="J22" s="149"/>
      <c r="K22" s="149"/>
      <c r="L22" s="149"/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W22" s="149"/>
      <c r="X22" s="149"/>
      <c r="Y22" s="149"/>
      <c r="Z22" s="149"/>
    </row>
    <row r="23" ht="11.25" customHeight="1">
      <c r="A23" s="200" t="s">
        <v>533</v>
      </c>
      <c r="B23" s="201"/>
      <c r="C23" s="201"/>
      <c r="D23" s="206"/>
      <c r="E23" s="201"/>
      <c r="F23" s="201"/>
      <c r="G23" s="203"/>
      <c r="H23" s="203"/>
      <c r="I23" s="204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</row>
    <row r="24" ht="11.25" customHeight="1">
      <c r="A24" s="200" t="s">
        <v>534</v>
      </c>
      <c r="B24" s="201"/>
      <c r="C24" s="201"/>
      <c r="D24" s="206"/>
      <c r="E24" s="201"/>
      <c r="F24" s="201"/>
      <c r="G24" s="203"/>
      <c r="H24" s="203"/>
      <c r="I24" s="204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</row>
    <row r="25" ht="11.25" customHeight="1">
      <c r="A25" s="200" t="s">
        <v>535</v>
      </c>
      <c r="B25" s="201"/>
      <c r="C25" s="201"/>
      <c r="D25" s="206"/>
      <c r="E25" s="201"/>
      <c r="F25" s="201"/>
      <c r="G25" s="203"/>
      <c r="H25" s="203"/>
      <c r="I25" s="204"/>
      <c r="J25" s="149"/>
      <c r="K25" s="149"/>
      <c r="L25" s="149"/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W25" s="149"/>
      <c r="X25" s="149"/>
      <c r="Y25" s="149"/>
      <c r="Z25" s="149"/>
    </row>
    <row r="26" ht="11.25" customHeight="1">
      <c r="A26" s="200" t="s">
        <v>537</v>
      </c>
      <c r="B26" s="201"/>
      <c r="C26" s="201"/>
      <c r="D26" s="206"/>
      <c r="E26" s="201"/>
      <c r="F26" s="201"/>
      <c r="G26" s="203"/>
      <c r="H26" s="203"/>
      <c r="I26" s="204"/>
      <c r="J26" s="149"/>
      <c r="K26" s="149"/>
      <c r="L26" s="149"/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W26" s="149"/>
      <c r="X26" s="149"/>
      <c r="Y26" s="149"/>
      <c r="Z26" s="149"/>
    </row>
    <row r="27" ht="11.25" customHeight="1">
      <c r="A27" s="200" t="s">
        <v>538</v>
      </c>
      <c r="B27" s="201"/>
      <c r="C27" s="201"/>
      <c r="D27" s="206"/>
      <c r="E27" s="201"/>
      <c r="F27" s="201"/>
      <c r="G27" s="203"/>
      <c r="H27" s="203"/>
      <c r="I27" s="204"/>
      <c r="J27" s="149"/>
      <c r="K27" s="149"/>
      <c r="L27" s="149"/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W27" s="149"/>
      <c r="X27" s="149"/>
      <c r="Y27" s="149"/>
      <c r="Z27" s="149"/>
    </row>
    <row r="28" ht="11.25" customHeight="1">
      <c r="A28" s="207" t="s">
        <v>541</v>
      </c>
      <c r="B28" s="208"/>
      <c r="C28" s="209"/>
      <c r="D28" s="210"/>
      <c r="E28" s="209"/>
      <c r="F28" s="209"/>
      <c r="G28" s="211"/>
      <c r="H28" s="211"/>
      <c r="I28" s="212"/>
      <c r="J28" s="149"/>
      <c r="K28" s="149"/>
      <c r="L28" s="149"/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W28" s="149"/>
      <c r="X28" s="149"/>
      <c r="Y28" s="149"/>
      <c r="Z28" s="149"/>
    </row>
    <row r="29" ht="11.25" customHeight="1">
      <c r="A29" s="193"/>
      <c r="B29" s="149"/>
      <c r="C29" s="149"/>
      <c r="D29" s="149"/>
      <c r="E29" s="149"/>
      <c r="F29" s="149"/>
      <c r="G29" s="196"/>
      <c r="H29" s="196"/>
      <c r="I29" s="197"/>
      <c r="J29" s="149"/>
      <c r="K29" s="149"/>
      <c r="L29" s="149"/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W29" s="149"/>
      <c r="X29" s="149"/>
      <c r="Y29" s="149"/>
      <c r="Z29" s="149"/>
    </row>
    <row r="30" ht="11.25" customHeight="1">
      <c r="A30" s="193" t="s">
        <v>567</v>
      </c>
      <c r="B30" s="149"/>
      <c r="C30" s="149"/>
      <c r="D30" s="149"/>
      <c r="E30" s="149"/>
      <c r="F30" s="149"/>
      <c r="G30" s="214"/>
      <c r="H30" s="214"/>
      <c r="I30" s="199"/>
      <c r="J30" s="149"/>
      <c r="K30" s="149"/>
      <c r="L30" s="149"/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W30" s="149"/>
      <c r="X30" s="149"/>
      <c r="Y30" s="149"/>
      <c r="Z30" s="149"/>
    </row>
    <row r="31" ht="11.25" customHeight="1">
      <c r="A31" s="149"/>
      <c r="B31" s="149"/>
      <c r="C31" s="149"/>
      <c r="D31" s="149"/>
      <c r="E31" s="149"/>
      <c r="F31" s="149"/>
      <c r="G31" s="215"/>
      <c r="H31" s="215"/>
      <c r="I31" s="215"/>
      <c r="J31" s="149"/>
      <c r="K31" s="149"/>
      <c r="L31" s="149"/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W31" s="149"/>
      <c r="X31" s="149"/>
      <c r="Y31" s="149"/>
      <c r="Z31" s="149"/>
    </row>
    <row r="32" ht="11.25" customHeight="1">
      <c r="A32" s="149"/>
      <c r="B32" s="149"/>
      <c r="C32" s="149"/>
      <c r="D32" s="149"/>
      <c r="E32" s="149"/>
      <c r="F32" s="149"/>
      <c r="G32" s="215"/>
      <c r="H32" s="215"/>
      <c r="I32" s="215"/>
      <c r="J32" s="149"/>
      <c r="K32" s="149"/>
      <c r="L32" s="149"/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W32" s="149"/>
      <c r="X32" s="149"/>
      <c r="Y32" s="149"/>
      <c r="Z32" s="149"/>
    </row>
    <row r="33" ht="11.25" customHeight="1">
      <c r="A33" s="149"/>
      <c r="B33" s="149"/>
      <c r="C33" s="149"/>
      <c r="D33" s="149"/>
      <c r="E33" s="149"/>
      <c r="F33" s="149"/>
      <c r="G33" s="215"/>
      <c r="H33" s="215"/>
      <c r="I33" s="215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9"/>
      <c r="Y33" s="149"/>
      <c r="Z33" s="149"/>
    </row>
    <row r="34" ht="11.25" customHeight="1">
      <c r="A34" s="149"/>
      <c r="B34" s="149"/>
      <c r="C34" s="149"/>
      <c r="D34" s="149"/>
      <c r="E34" s="149"/>
      <c r="F34" s="149"/>
      <c r="G34" s="215"/>
      <c r="H34" s="215"/>
      <c r="I34" s="215"/>
      <c r="J34" s="149"/>
      <c r="K34" s="149"/>
      <c r="L34" s="149"/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W34" s="149"/>
      <c r="X34" s="149"/>
      <c r="Y34" s="149"/>
      <c r="Z34" s="149"/>
    </row>
    <row r="35" ht="11.25" customHeight="1">
      <c r="A35" s="149"/>
      <c r="B35" s="149"/>
      <c r="C35" s="149"/>
      <c r="D35" s="149"/>
      <c r="E35" s="149"/>
      <c r="F35" s="149"/>
      <c r="G35" s="215"/>
      <c r="H35" s="215"/>
      <c r="I35" s="215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</row>
    <row r="36" ht="11.25" customHeight="1">
      <c r="A36" s="149"/>
      <c r="B36" s="149"/>
      <c r="C36" s="149"/>
      <c r="D36" s="149"/>
      <c r="E36" s="149"/>
      <c r="F36" s="149"/>
      <c r="G36" s="215"/>
      <c r="H36" s="215"/>
      <c r="I36" s="215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</row>
    <row r="37" ht="11.25" customHeight="1">
      <c r="A37" s="149"/>
      <c r="B37" s="149"/>
      <c r="C37" s="149"/>
      <c r="D37" s="149"/>
      <c r="E37" s="149"/>
      <c r="F37" s="149"/>
      <c r="G37" s="215"/>
      <c r="H37" s="215"/>
      <c r="I37" s="215"/>
      <c r="J37" s="149"/>
      <c r="K37" s="149"/>
      <c r="L37" s="149"/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W37" s="149"/>
      <c r="X37" s="149"/>
      <c r="Y37" s="149"/>
      <c r="Z37" s="149"/>
    </row>
    <row r="38" ht="11.25" customHeight="1">
      <c r="A38" s="149"/>
      <c r="B38" s="149"/>
      <c r="C38" s="149"/>
      <c r="D38" s="149"/>
      <c r="E38" s="149"/>
      <c r="F38" s="149"/>
      <c r="G38" s="215"/>
      <c r="H38" s="215"/>
      <c r="I38" s="215"/>
      <c r="J38" s="149"/>
      <c r="K38" s="149"/>
      <c r="L38" s="149"/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W38" s="149"/>
      <c r="X38" s="149"/>
      <c r="Y38" s="149"/>
      <c r="Z38" s="149"/>
    </row>
    <row r="39" ht="11.25" customHeight="1">
      <c r="A39" s="149"/>
      <c r="B39" s="149"/>
      <c r="C39" s="149"/>
      <c r="D39" s="149"/>
      <c r="E39" s="149"/>
      <c r="F39" s="149"/>
      <c r="G39" s="215"/>
      <c r="H39" s="215"/>
      <c r="I39" s="215"/>
      <c r="J39" s="149"/>
      <c r="K39" s="149"/>
      <c r="L39" s="149"/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W39" s="149"/>
      <c r="X39" s="149"/>
      <c r="Y39" s="149"/>
      <c r="Z39" s="149"/>
    </row>
    <row r="40" ht="11.25" customHeight="1">
      <c r="A40" s="149"/>
      <c r="B40" s="149"/>
      <c r="C40" s="149"/>
      <c r="D40" s="149"/>
      <c r="E40" s="149"/>
      <c r="F40" s="149"/>
      <c r="G40" s="215"/>
      <c r="H40" s="215"/>
      <c r="I40" s="215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W40" s="149"/>
      <c r="X40" s="149"/>
      <c r="Y40" s="149"/>
      <c r="Z40" s="149"/>
    </row>
    <row r="41" ht="11.25" customHeight="1">
      <c r="A41" s="149"/>
      <c r="B41" s="149"/>
      <c r="C41" s="149"/>
      <c r="D41" s="149"/>
      <c r="E41" s="149"/>
      <c r="F41" s="149"/>
      <c r="G41" s="215"/>
      <c r="H41" s="215"/>
      <c r="I41" s="215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</row>
    <row r="42" ht="11.25" customHeight="1">
      <c r="A42" s="149"/>
      <c r="B42" s="149"/>
      <c r="C42" s="149"/>
      <c r="D42" s="149"/>
      <c r="E42" s="149"/>
      <c r="F42" s="149"/>
      <c r="G42" s="215"/>
      <c r="H42" s="215"/>
      <c r="I42" s="215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49"/>
      <c r="Y42" s="149"/>
      <c r="Z42" s="149"/>
    </row>
    <row r="43" ht="11.25" customHeight="1">
      <c r="A43" s="149"/>
      <c r="B43" s="149"/>
      <c r="C43" s="149"/>
      <c r="D43" s="149"/>
      <c r="E43" s="149"/>
      <c r="F43" s="149"/>
      <c r="G43" s="215"/>
      <c r="H43" s="215"/>
      <c r="I43" s="215"/>
      <c r="J43" s="149"/>
      <c r="K43" s="149"/>
      <c r="L43" s="149"/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W43" s="149"/>
      <c r="X43" s="149"/>
      <c r="Y43" s="149"/>
      <c r="Z43" s="149"/>
    </row>
    <row r="44" ht="11.25" customHeight="1">
      <c r="A44" s="149"/>
      <c r="B44" s="149"/>
      <c r="C44" s="149"/>
      <c r="D44" s="149"/>
      <c r="E44" s="149"/>
      <c r="F44" s="149"/>
      <c r="G44" s="215"/>
      <c r="H44" s="215"/>
      <c r="I44" s="215"/>
      <c r="J44" s="149"/>
      <c r="K44" s="149"/>
      <c r="L44" s="149"/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W44" s="149"/>
      <c r="X44" s="149"/>
      <c r="Y44" s="149"/>
      <c r="Z44" s="149"/>
    </row>
    <row r="45" ht="11.25" customHeight="1">
      <c r="A45" s="149"/>
      <c r="B45" s="149"/>
      <c r="C45" s="149"/>
      <c r="D45" s="149"/>
      <c r="E45" s="149"/>
      <c r="F45" s="149"/>
      <c r="G45" s="215"/>
      <c r="H45" s="215"/>
      <c r="I45" s="215"/>
      <c r="J45" s="149"/>
      <c r="K45" s="149"/>
      <c r="L45" s="149"/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W45" s="149"/>
      <c r="X45" s="149"/>
      <c r="Y45" s="149"/>
      <c r="Z45" s="149"/>
    </row>
    <row r="46" ht="11.25" customHeight="1">
      <c r="A46" s="149"/>
      <c r="B46" s="149"/>
      <c r="C46" s="149"/>
      <c r="D46" s="149"/>
      <c r="E46" s="149"/>
      <c r="F46" s="149"/>
      <c r="G46" s="215"/>
      <c r="H46" s="215"/>
      <c r="I46" s="215"/>
      <c r="J46" s="149"/>
      <c r="K46" s="149"/>
      <c r="L46" s="149"/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W46" s="149"/>
      <c r="X46" s="149"/>
      <c r="Y46" s="149"/>
      <c r="Z46" s="149"/>
    </row>
    <row r="47" ht="11.25" customHeight="1">
      <c r="A47" s="149"/>
      <c r="B47" s="149"/>
      <c r="C47" s="149"/>
      <c r="D47" s="149"/>
      <c r="E47" s="149"/>
      <c r="F47" s="149"/>
      <c r="G47" s="215"/>
      <c r="H47" s="215"/>
      <c r="I47" s="215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</row>
    <row r="48" ht="11.25" customHeight="1">
      <c r="A48" s="149"/>
      <c r="B48" s="149"/>
      <c r="C48" s="149"/>
      <c r="D48" s="149"/>
      <c r="E48" s="149"/>
      <c r="F48" s="149"/>
      <c r="G48" s="215"/>
      <c r="H48" s="215"/>
      <c r="I48" s="215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</row>
    <row r="49" ht="11.25" customHeight="1">
      <c r="A49" s="149"/>
      <c r="B49" s="149"/>
      <c r="C49" s="149"/>
      <c r="D49" s="149"/>
      <c r="E49" s="149"/>
      <c r="F49" s="149"/>
      <c r="G49" s="215"/>
      <c r="H49" s="215"/>
      <c r="I49" s="215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  <c r="W49" s="149"/>
      <c r="X49" s="149"/>
      <c r="Y49" s="149"/>
      <c r="Z49" s="149"/>
    </row>
    <row r="50" ht="11.25" customHeight="1">
      <c r="A50" s="149"/>
      <c r="B50" s="149"/>
      <c r="C50" s="149"/>
      <c r="D50" s="149"/>
      <c r="E50" s="149"/>
      <c r="F50" s="149"/>
      <c r="G50" s="215"/>
      <c r="H50" s="215"/>
      <c r="I50" s="215"/>
      <c r="J50" s="149"/>
      <c r="K50" s="149"/>
      <c r="L50" s="149"/>
      <c r="M50" s="149"/>
      <c r="N50" s="149"/>
      <c r="O50" s="149"/>
      <c r="P50" s="149"/>
      <c r="Q50" s="149"/>
      <c r="R50" s="149"/>
      <c r="S50" s="149"/>
      <c r="T50" s="149"/>
      <c r="U50" s="149"/>
      <c r="V50" s="149"/>
      <c r="W50" s="149"/>
      <c r="X50" s="149"/>
      <c r="Y50" s="149"/>
      <c r="Z50" s="149"/>
    </row>
    <row r="51" ht="11.25" customHeight="1">
      <c r="A51" s="149"/>
      <c r="B51" s="149"/>
      <c r="C51" s="149"/>
      <c r="D51" s="149"/>
      <c r="E51" s="149"/>
      <c r="F51" s="149"/>
      <c r="G51" s="215"/>
      <c r="H51" s="215"/>
      <c r="I51" s="215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</row>
    <row r="52" ht="11.25" customHeight="1">
      <c r="A52" s="149"/>
      <c r="B52" s="149"/>
      <c r="C52" s="149"/>
      <c r="D52" s="149"/>
      <c r="E52" s="149"/>
      <c r="F52" s="149"/>
      <c r="G52" s="215"/>
      <c r="H52" s="215"/>
      <c r="I52" s="215"/>
      <c r="J52" s="149"/>
      <c r="K52" s="149"/>
      <c r="L52" s="149"/>
      <c r="M52" s="149"/>
      <c r="N52" s="149"/>
      <c r="O52" s="149"/>
      <c r="P52" s="149"/>
      <c r="Q52" s="149"/>
      <c r="R52" s="149"/>
      <c r="S52" s="149"/>
      <c r="T52" s="149"/>
      <c r="U52" s="149"/>
      <c r="V52" s="149"/>
      <c r="W52" s="149"/>
      <c r="X52" s="149"/>
      <c r="Y52" s="149"/>
      <c r="Z52" s="149"/>
    </row>
    <row r="53" ht="11.25" customHeight="1">
      <c r="A53" s="149"/>
      <c r="B53" s="149"/>
      <c r="C53" s="149"/>
      <c r="D53" s="149"/>
      <c r="E53" s="149"/>
      <c r="F53" s="149"/>
      <c r="G53" s="215"/>
      <c r="H53" s="215"/>
      <c r="I53" s="215"/>
      <c r="J53" s="149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  <c r="W53" s="149"/>
      <c r="X53" s="149"/>
      <c r="Y53" s="149"/>
      <c r="Z53" s="149"/>
    </row>
    <row r="54" ht="11.25" customHeight="1">
      <c r="A54" s="149"/>
      <c r="B54" s="149"/>
      <c r="C54" s="149"/>
      <c r="D54" s="149"/>
      <c r="E54" s="149"/>
      <c r="F54" s="149"/>
      <c r="G54" s="215"/>
      <c r="H54" s="215"/>
      <c r="I54" s="215"/>
      <c r="J54" s="149"/>
      <c r="K54" s="149"/>
      <c r="L54" s="149"/>
      <c r="M54" s="149"/>
      <c r="N54" s="149"/>
      <c r="O54" s="149"/>
      <c r="P54" s="149"/>
      <c r="Q54" s="149"/>
      <c r="R54" s="149"/>
      <c r="S54" s="149"/>
      <c r="T54" s="149"/>
      <c r="U54" s="149"/>
      <c r="V54" s="149"/>
      <c r="W54" s="149"/>
      <c r="X54" s="149"/>
      <c r="Y54" s="149"/>
      <c r="Z54" s="149"/>
    </row>
    <row r="55" ht="11.25" customHeight="1">
      <c r="A55" s="149"/>
      <c r="B55" s="149"/>
      <c r="C55" s="149"/>
      <c r="D55" s="149"/>
      <c r="E55" s="149"/>
      <c r="F55" s="149"/>
      <c r="G55" s="215"/>
      <c r="H55" s="215"/>
      <c r="I55" s="215"/>
      <c r="J55" s="149"/>
      <c r="K55" s="149"/>
      <c r="L55" s="149"/>
      <c r="M55" s="149"/>
      <c r="N55" s="149"/>
      <c r="O55" s="149"/>
      <c r="P55" s="149"/>
      <c r="Q55" s="149"/>
      <c r="R55" s="149"/>
      <c r="S55" s="149"/>
      <c r="T55" s="149"/>
      <c r="U55" s="149"/>
      <c r="V55" s="149"/>
      <c r="W55" s="149"/>
      <c r="X55" s="149"/>
      <c r="Y55" s="149"/>
      <c r="Z55" s="149"/>
    </row>
    <row r="56" ht="11.25" customHeight="1">
      <c r="A56" s="149"/>
      <c r="B56" s="149"/>
      <c r="C56" s="149"/>
      <c r="D56" s="149"/>
      <c r="E56" s="149"/>
      <c r="F56" s="149"/>
      <c r="G56" s="215"/>
      <c r="H56" s="215"/>
      <c r="I56" s="215"/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/>
      <c r="Y56" s="149"/>
      <c r="Z56" s="149"/>
    </row>
    <row r="57" ht="11.25" customHeight="1">
      <c r="A57" s="149"/>
      <c r="B57" s="149"/>
      <c r="C57" s="149"/>
      <c r="D57" s="149"/>
      <c r="E57" s="149"/>
      <c r="F57" s="149"/>
      <c r="G57" s="215"/>
      <c r="H57" s="215"/>
      <c r="I57" s="215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  <c r="Y57" s="149"/>
      <c r="Z57" s="149"/>
    </row>
    <row r="58" ht="11.25" customHeight="1">
      <c r="A58" s="149"/>
      <c r="B58" s="149"/>
      <c r="C58" s="149"/>
      <c r="D58" s="149"/>
      <c r="E58" s="149"/>
      <c r="F58" s="149"/>
      <c r="G58" s="215"/>
      <c r="H58" s="215"/>
      <c r="I58" s="215"/>
      <c r="J58" s="149"/>
      <c r="K58" s="149"/>
      <c r="L58" s="149"/>
      <c r="M58" s="149"/>
      <c r="N58" s="149"/>
      <c r="O58" s="149"/>
      <c r="P58" s="149"/>
      <c r="Q58" s="149"/>
      <c r="R58" s="149"/>
      <c r="S58" s="149"/>
      <c r="T58" s="149"/>
      <c r="U58" s="149"/>
      <c r="V58" s="149"/>
      <c r="W58" s="149"/>
      <c r="X58" s="149"/>
      <c r="Y58" s="149"/>
      <c r="Z58" s="149"/>
    </row>
    <row r="59" ht="11.25" customHeight="1">
      <c r="A59" s="149"/>
      <c r="B59" s="149"/>
      <c r="C59" s="149"/>
      <c r="D59" s="149"/>
      <c r="E59" s="149"/>
      <c r="F59" s="149"/>
      <c r="G59" s="215"/>
      <c r="H59" s="215"/>
      <c r="I59" s="215"/>
      <c r="J59" s="149"/>
      <c r="K59" s="149"/>
      <c r="L59" s="149"/>
      <c r="M59" s="149"/>
      <c r="N59" s="149"/>
      <c r="O59" s="149"/>
      <c r="P59" s="149"/>
      <c r="Q59" s="149"/>
      <c r="R59" s="149"/>
      <c r="S59" s="149"/>
      <c r="T59" s="149"/>
      <c r="U59" s="149"/>
      <c r="V59" s="149"/>
      <c r="W59" s="149"/>
      <c r="X59" s="149"/>
      <c r="Y59" s="149"/>
      <c r="Z59" s="149"/>
    </row>
    <row r="60" ht="11.25" customHeight="1">
      <c r="A60" s="149"/>
      <c r="B60" s="149"/>
      <c r="C60" s="149"/>
      <c r="D60" s="149"/>
      <c r="E60" s="149"/>
      <c r="F60" s="149"/>
      <c r="G60" s="215"/>
      <c r="H60" s="215"/>
      <c r="I60" s="215"/>
      <c r="J60" s="149"/>
      <c r="K60" s="149"/>
      <c r="L60" s="149"/>
      <c r="M60" s="149"/>
      <c r="N60" s="149"/>
      <c r="O60" s="149"/>
      <c r="P60" s="149"/>
      <c r="Q60" s="149"/>
      <c r="R60" s="149"/>
      <c r="S60" s="149"/>
      <c r="T60" s="149"/>
      <c r="U60" s="149"/>
      <c r="V60" s="149"/>
      <c r="W60" s="149"/>
      <c r="X60" s="149"/>
      <c r="Y60" s="149"/>
      <c r="Z60" s="149"/>
    </row>
    <row r="61" ht="11.25" customHeight="1">
      <c r="A61" s="149"/>
      <c r="B61" s="149"/>
      <c r="C61" s="149"/>
      <c r="D61" s="149"/>
      <c r="E61" s="149"/>
      <c r="F61" s="149"/>
      <c r="G61" s="215"/>
      <c r="H61" s="215"/>
      <c r="I61" s="215"/>
      <c r="J61" s="149"/>
      <c r="K61" s="149"/>
      <c r="L61" s="149"/>
      <c r="M61" s="149"/>
      <c r="N61" s="149"/>
      <c r="O61" s="149"/>
      <c r="P61" s="149"/>
      <c r="Q61" s="149"/>
      <c r="R61" s="149"/>
      <c r="S61" s="149"/>
      <c r="T61" s="149"/>
      <c r="U61" s="149"/>
      <c r="V61" s="149"/>
      <c r="W61" s="149"/>
      <c r="X61" s="149"/>
      <c r="Y61" s="149"/>
      <c r="Z61" s="149"/>
    </row>
    <row r="62" ht="11.25" customHeight="1">
      <c r="A62" s="149"/>
      <c r="B62" s="149"/>
      <c r="C62" s="149"/>
      <c r="D62" s="149"/>
      <c r="E62" s="149"/>
      <c r="F62" s="149"/>
      <c r="G62" s="215"/>
      <c r="H62" s="215"/>
      <c r="I62" s="215"/>
      <c r="J62" s="149"/>
      <c r="K62" s="149"/>
      <c r="L62" s="149"/>
      <c r="M62" s="149"/>
      <c r="N62" s="149"/>
      <c r="O62" s="149"/>
      <c r="P62" s="149"/>
      <c r="Q62" s="149"/>
      <c r="R62" s="149"/>
      <c r="S62" s="149"/>
      <c r="T62" s="149"/>
      <c r="U62" s="149"/>
      <c r="V62" s="149"/>
      <c r="W62" s="149"/>
      <c r="X62" s="149"/>
      <c r="Y62" s="149"/>
      <c r="Z62" s="149"/>
    </row>
    <row r="63" ht="11.25" customHeight="1">
      <c r="A63" s="149"/>
      <c r="B63" s="149"/>
      <c r="C63" s="149"/>
      <c r="D63" s="149"/>
      <c r="E63" s="149"/>
      <c r="F63" s="149"/>
      <c r="G63" s="215"/>
      <c r="H63" s="215"/>
      <c r="I63" s="215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</row>
    <row r="64" ht="11.25" customHeight="1">
      <c r="A64" s="149"/>
      <c r="B64" s="149"/>
      <c r="C64" s="149"/>
      <c r="D64" s="149"/>
      <c r="E64" s="149"/>
      <c r="F64" s="149"/>
      <c r="G64" s="215"/>
      <c r="H64" s="215"/>
      <c r="I64" s="215"/>
      <c r="J64" s="149"/>
      <c r="K64" s="149"/>
      <c r="L64" s="149"/>
      <c r="M64" s="149"/>
      <c r="N64" s="149"/>
      <c r="O64" s="149"/>
      <c r="P64" s="149"/>
      <c r="Q64" s="149"/>
      <c r="R64" s="149"/>
      <c r="S64" s="149"/>
      <c r="T64" s="149"/>
      <c r="U64" s="149"/>
      <c r="V64" s="149"/>
      <c r="W64" s="149"/>
      <c r="X64" s="149"/>
      <c r="Y64" s="149"/>
      <c r="Z64" s="149"/>
    </row>
    <row r="65" ht="11.25" customHeight="1">
      <c r="A65" s="149"/>
      <c r="B65" s="149"/>
      <c r="C65" s="149"/>
      <c r="D65" s="149"/>
      <c r="E65" s="149"/>
      <c r="F65" s="149"/>
      <c r="G65" s="215"/>
      <c r="H65" s="215"/>
      <c r="I65" s="215"/>
      <c r="J65" s="149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  <c r="Z65" s="149"/>
    </row>
    <row r="66" ht="11.25" customHeight="1">
      <c r="A66" s="149"/>
      <c r="B66" s="149"/>
      <c r="C66" s="149"/>
      <c r="D66" s="149"/>
      <c r="E66" s="149"/>
      <c r="F66" s="149"/>
      <c r="G66" s="215"/>
      <c r="H66" s="215"/>
      <c r="I66" s="215"/>
      <c r="J66" s="149"/>
      <c r="K66" s="149"/>
      <c r="L66" s="149"/>
      <c r="M66" s="149"/>
      <c r="N66" s="149"/>
      <c r="O66" s="149"/>
      <c r="P66" s="149"/>
      <c r="Q66" s="149"/>
      <c r="R66" s="149"/>
      <c r="S66" s="149"/>
      <c r="T66" s="149"/>
      <c r="U66" s="149"/>
      <c r="V66" s="149"/>
      <c r="W66" s="149"/>
      <c r="X66" s="149"/>
      <c r="Y66" s="149"/>
      <c r="Z66" s="149"/>
    </row>
    <row r="67" ht="11.25" customHeight="1">
      <c r="A67" s="149"/>
      <c r="B67" s="149"/>
      <c r="C67" s="149"/>
      <c r="D67" s="149"/>
      <c r="E67" s="149"/>
      <c r="F67" s="149"/>
      <c r="G67" s="215"/>
      <c r="H67" s="215"/>
      <c r="I67" s="215"/>
      <c r="J67" s="149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  <c r="V67" s="149"/>
      <c r="W67" s="149"/>
      <c r="X67" s="149"/>
      <c r="Y67" s="149"/>
      <c r="Z67" s="149"/>
    </row>
    <row r="68" ht="11.25" customHeight="1">
      <c r="A68" s="149"/>
      <c r="B68" s="149"/>
      <c r="C68" s="149"/>
      <c r="D68" s="149"/>
      <c r="E68" s="149"/>
      <c r="F68" s="149"/>
      <c r="G68" s="215"/>
      <c r="H68" s="215"/>
      <c r="I68" s="215"/>
      <c r="J68" s="149"/>
      <c r="K68" s="149"/>
      <c r="L68" s="149"/>
      <c r="M68" s="149"/>
      <c r="N68" s="149"/>
      <c r="O68" s="149"/>
      <c r="P68" s="149"/>
      <c r="Q68" s="149"/>
      <c r="R68" s="149"/>
      <c r="S68" s="149"/>
      <c r="T68" s="149"/>
      <c r="U68" s="149"/>
      <c r="V68" s="149"/>
      <c r="W68" s="149"/>
      <c r="X68" s="149"/>
      <c r="Y68" s="149"/>
      <c r="Z68" s="149"/>
    </row>
    <row r="69" ht="11.25" customHeight="1">
      <c r="A69" s="149"/>
      <c r="B69" s="149"/>
      <c r="C69" s="149"/>
      <c r="D69" s="149"/>
      <c r="E69" s="149"/>
      <c r="F69" s="149"/>
      <c r="G69" s="215"/>
      <c r="H69" s="215"/>
      <c r="I69" s="215"/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49"/>
      <c r="Y69" s="149"/>
      <c r="Z69" s="149"/>
    </row>
    <row r="70" ht="11.25" customHeight="1">
      <c r="A70" s="149"/>
      <c r="B70" s="149"/>
      <c r="C70" s="149"/>
      <c r="D70" s="149"/>
      <c r="E70" s="149"/>
      <c r="F70" s="149"/>
      <c r="G70" s="215"/>
      <c r="H70" s="215"/>
      <c r="I70" s="215"/>
      <c r="J70" s="149"/>
      <c r="K70" s="149"/>
      <c r="L70" s="149"/>
      <c r="M70" s="149"/>
      <c r="N70" s="149"/>
      <c r="O70" s="149"/>
      <c r="P70" s="149"/>
      <c r="Q70" s="149"/>
      <c r="R70" s="149"/>
      <c r="S70" s="149"/>
      <c r="T70" s="149"/>
      <c r="U70" s="149"/>
      <c r="V70" s="149"/>
      <c r="W70" s="149"/>
      <c r="X70" s="149"/>
      <c r="Y70" s="149"/>
      <c r="Z70" s="149"/>
    </row>
    <row r="71" ht="11.25" customHeight="1">
      <c r="A71" s="149"/>
      <c r="B71" s="149"/>
      <c r="C71" s="149"/>
      <c r="D71" s="149"/>
      <c r="E71" s="149"/>
      <c r="F71" s="149"/>
      <c r="G71" s="215"/>
      <c r="H71" s="215"/>
      <c r="I71" s="215"/>
      <c r="J71" s="149"/>
      <c r="K71" s="149"/>
      <c r="L71" s="149"/>
      <c r="M71" s="149"/>
      <c r="N71" s="149"/>
      <c r="O71" s="149"/>
      <c r="P71" s="149"/>
      <c r="Q71" s="149"/>
      <c r="R71" s="149"/>
      <c r="S71" s="149"/>
      <c r="T71" s="149"/>
      <c r="U71" s="149"/>
      <c r="V71" s="149"/>
      <c r="W71" s="149"/>
      <c r="X71" s="149"/>
      <c r="Y71" s="149"/>
      <c r="Z71" s="149"/>
    </row>
    <row r="72" ht="11.25" customHeight="1">
      <c r="A72" s="149"/>
      <c r="B72" s="149"/>
      <c r="C72" s="149"/>
      <c r="D72" s="149"/>
      <c r="E72" s="149"/>
      <c r="F72" s="149"/>
      <c r="G72" s="215"/>
      <c r="H72" s="215"/>
      <c r="I72" s="215"/>
      <c r="J72" s="149"/>
      <c r="K72" s="149"/>
      <c r="L72" s="149"/>
      <c r="M72" s="149"/>
      <c r="N72" s="149"/>
      <c r="O72" s="149"/>
      <c r="P72" s="149"/>
      <c r="Q72" s="149"/>
      <c r="R72" s="149"/>
      <c r="S72" s="149"/>
      <c r="T72" s="149"/>
      <c r="U72" s="149"/>
      <c r="V72" s="149"/>
      <c r="W72" s="149"/>
      <c r="X72" s="149"/>
      <c r="Y72" s="149"/>
      <c r="Z72" s="149"/>
    </row>
    <row r="73" ht="11.25" customHeight="1">
      <c r="A73" s="149"/>
      <c r="B73" s="149"/>
      <c r="C73" s="149"/>
      <c r="D73" s="149"/>
      <c r="E73" s="149"/>
      <c r="F73" s="149"/>
      <c r="G73" s="215"/>
      <c r="H73" s="215"/>
      <c r="I73" s="215"/>
      <c r="J73" s="149"/>
      <c r="K73" s="149"/>
      <c r="L73" s="149"/>
      <c r="M73" s="149"/>
      <c r="N73" s="149"/>
      <c r="O73" s="149"/>
      <c r="P73" s="149"/>
      <c r="Q73" s="149"/>
      <c r="R73" s="149"/>
      <c r="S73" s="149"/>
      <c r="T73" s="149"/>
      <c r="U73" s="149"/>
      <c r="V73" s="149"/>
      <c r="W73" s="149"/>
      <c r="X73" s="149"/>
      <c r="Y73" s="149"/>
      <c r="Z73" s="149"/>
    </row>
    <row r="74" ht="11.25" customHeight="1">
      <c r="A74" s="149"/>
      <c r="B74" s="149"/>
      <c r="C74" s="149"/>
      <c r="D74" s="149"/>
      <c r="E74" s="149"/>
      <c r="F74" s="149"/>
      <c r="G74" s="215"/>
      <c r="H74" s="215"/>
      <c r="I74" s="215"/>
      <c r="J74" s="149"/>
      <c r="K74" s="149"/>
      <c r="L74" s="149"/>
      <c r="M74" s="149"/>
      <c r="N74" s="149"/>
      <c r="O74" s="149"/>
      <c r="P74" s="149"/>
      <c r="Q74" s="149"/>
      <c r="R74" s="149"/>
      <c r="S74" s="149"/>
      <c r="T74" s="149"/>
      <c r="U74" s="149"/>
      <c r="V74" s="149"/>
      <c r="W74" s="149"/>
      <c r="X74" s="149"/>
      <c r="Y74" s="149"/>
      <c r="Z74" s="149"/>
    </row>
    <row r="75" ht="11.25" customHeight="1">
      <c r="A75" s="149"/>
      <c r="B75" s="149"/>
      <c r="C75" s="149"/>
      <c r="D75" s="149"/>
      <c r="E75" s="149"/>
      <c r="F75" s="149"/>
      <c r="G75" s="215"/>
      <c r="H75" s="215"/>
      <c r="I75" s="215"/>
      <c r="J75" s="149"/>
      <c r="K75" s="149"/>
      <c r="L75" s="149"/>
      <c r="M75" s="149"/>
      <c r="N75" s="149"/>
      <c r="O75" s="149"/>
      <c r="P75" s="149"/>
      <c r="Q75" s="149"/>
      <c r="R75" s="149"/>
      <c r="S75" s="149"/>
      <c r="T75" s="149"/>
      <c r="U75" s="149"/>
      <c r="V75" s="149"/>
      <c r="W75" s="149"/>
      <c r="X75" s="149"/>
      <c r="Y75" s="149"/>
      <c r="Z75" s="149"/>
    </row>
    <row r="76" ht="11.25" customHeight="1">
      <c r="A76" s="149"/>
      <c r="B76" s="149"/>
      <c r="C76" s="149"/>
      <c r="D76" s="149"/>
      <c r="E76" s="149"/>
      <c r="F76" s="149"/>
      <c r="G76" s="215"/>
      <c r="H76" s="215"/>
      <c r="I76" s="215"/>
      <c r="J76" s="149"/>
      <c r="K76" s="149"/>
      <c r="L76" s="149"/>
      <c r="M76" s="149"/>
      <c r="N76" s="149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</row>
    <row r="77" ht="11.25" customHeight="1">
      <c r="A77" s="149"/>
      <c r="B77" s="149"/>
      <c r="C77" s="149"/>
      <c r="D77" s="149"/>
      <c r="E77" s="149"/>
      <c r="F77" s="149"/>
      <c r="G77" s="215"/>
      <c r="H77" s="215"/>
      <c r="I77" s="215"/>
      <c r="J77" s="149"/>
      <c r="K77" s="149"/>
      <c r="L77" s="149"/>
      <c r="M77" s="149"/>
      <c r="N77" s="149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</row>
    <row r="78" ht="11.25" customHeight="1">
      <c r="A78" s="149"/>
      <c r="B78" s="149"/>
      <c r="C78" s="149"/>
      <c r="D78" s="149"/>
      <c r="E78" s="149"/>
      <c r="F78" s="149"/>
      <c r="G78" s="215"/>
      <c r="H78" s="215"/>
      <c r="I78" s="215"/>
      <c r="J78" s="149"/>
      <c r="K78" s="149"/>
      <c r="L78" s="149"/>
      <c r="M78" s="149"/>
      <c r="N78" s="149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</row>
    <row r="79" ht="11.25" customHeight="1">
      <c r="A79" s="149"/>
      <c r="B79" s="149"/>
      <c r="C79" s="149"/>
      <c r="D79" s="149"/>
      <c r="E79" s="149"/>
      <c r="F79" s="149"/>
      <c r="G79" s="215"/>
      <c r="H79" s="215"/>
      <c r="I79" s="215"/>
      <c r="J79" s="149"/>
      <c r="K79" s="149"/>
      <c r="L79" s="149"/>
      <c r="M79" s="149"/>
      <c r="N79" s="149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</row>
    <row r="80" ht="11.25" customHeight="1">
      <c r="A80" s="149"/>
      <c r="B80" s="149"/>
      <c r="C80" s="149"/>
      <c r="D80" s="149"/>
      <c r="E80" s="149"/>
      <c r="F80" s="149"/>
      <c r="G80" s="215"/>
      <c r="H80" s="215"/>
      <c r="I80" s="215"/>
      <c r="J80" s="149"/>
      <c r="K80" s="149"/>
      <c r="L80" s="149"/>
      <c r="M80" s="149"/>
      <c r="N80" s="149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</row>
    <row r="81" ht="11.25" customHeight="1">
      <c r="A81" s="149"/>
      <c r="B81" s="149"/>
      <c r="C81" s="149"/>
      <c r="D81" s="149"/>
      <c r="E81" s="149"/>
      <c r="F81" s="149"/>
      <c r="G81" s="215"/>
      <c r="H81" s="215"/>
      <c r="I81" s="215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</row>
    <row r="82" ht="11.25" customHeight="1">
      <c r="A82" s="149"/>
      <c r="B82" s="149"/>
      <c r="C82" s="149"/>
      <c r="D82" s="149"/>
      <c r="E82" s="149"/>
      <c r="F82" s="149"/>
      <c r="G82" s="215"/>
      <c r="H82" s="215"/>
      <c r="I82" s="215"/>
      <c r="J82" s="149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</row>
    <row r="83" ht="11.25" customHeight="1">
      <c r="A83" s="149"/>
      <c r="B83" s="149"/>
      <c r="C83" s="149"/>
      <c r="D83" s="149"/>
      <c r="E83" s="149"/>
      <c r="F83" s="149"/>
      <c r="G83" s="215"/>
      <c r="H83" s="215"/>
      <c r="I83" s="215"/>
      <c r="J83" s="149"/>
      <c r="K83" s="149"/>
      <c r="L83" s="149"/>
      <c r="M83" s="149"/>
      <c r="N83" s="149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</row>
    <row r="84" ht="11.25" customHeight="1">
      <c r="A84" s="149"/>
      <c r="B84" s="149"/>
      <c r="C84" s="149"/>
      <c r="D84" s="149"/>
      <c r="E84" s="149"/>
      <c r="F84" s="149"/>
      <c r="G84" s="215"/>
      <c r="H84" s="215"/>
      <c r="I84" s="215"/>
      <c r="J84" s="149"/>
      <c r="K84" s="149"/>
      <c r="L84" s="149"/>
      <c r="M84" s="149"/>
      <c r="N84" s="149"/>
      <c r="O84" s="149"/>
      <c r="P84" s="149"/>
      <c r="Q84" s="149"/>
      <c r="R84" s="149"/>
      <c r="S84" s="149"/>
      <c r="T84" s="149"/>
      <c r="U84" s="149"/>
      <c r="V84" s="149"/>
      <c r="W84" s="149"/>
      <c r="X84" s="149"/>
      <c r="Y84" s="149"/>
      <c r="Z84" s="149"/>
    </row>
    <row r="85" ht="11.25" customHeight="1">
      <c r="A85" s="149"/>
      <c r="B85" s="149"/>
      <c r="C85" s="149"/>
      <c r="D85" s="149"/>
      <c r="E85" s="149"/>
      <c r="F85" s="149"/>
      <c r="G85" s="215"/>
      <c r="H85" s="215"/>
      <c r="I85" s="215"/>
      <c r="J85" s="149"/>
      <c r="K85" s="149"/>
      <c r="L85" s="149"/>
      <c r="M85" s="149"/>
      <c r="N85" s="149"/>
      <c r="O85" s="149"/>
      <c r="P85" s="149"/>
      <c r="Q85" s="149"/>
      <c r="R85" s="149"/>
      <c r="S85" s="149"/>
      <c r="T85" s="149"/>
      <c r="U85" s="149"/>
      <c r="V85" s="149"/>
      <c r="W85" s="149"/>
      <c r="X85" s="149"/>
      <c r="Y85" s="149"/>
      <c r="Z85" s="149"/>
    </row>
    <row r="86" ht="11.25" customHeight="1">
      <c r="A86" s="149"/>
      <c r="B86" s="149"/>
      <c r="C86" s="149"/>
      <c r="D86" s="149"/>
      <c r="E86" s="149"/>
      <c r="F86" s="149"/>
      <c r="G86" s="215"/>
      <c r="H86" s="215"/>
      <c r="I86" s="215"/>
      <c r="J86" s="149"/>
      <c r="K86" s="149"/>
      <c r="L86" s="149"/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</row>
    <row r="87" ht="11.25" customHeight="1">
      <c r="A87" s="149"/>
      <c r="B87" s="149"/>
      <c r="C87" s="149"/>
      <c r="D87" s="149"/>
      <c r="E87" s="149"/>
      <c r="F87" s="149"/>
      <c r="G87" s="215"/>
      <c r="H87" s="215"/>
      <c r="I87" s="215"/>
      <c r="J87" s="149"/>
      <c r="K87" s="149"/>
      <c r="L87" s="149"/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</row>
    <row r="88" ht="11.25" customHeight="1">
      <c r="A88" s="149"/>
      <c r="B88" s="149"/>
      <c r="C88" s="149"/>
      <c r="D88" s="149"/>
      <c r="E88" s="149"/>
      <c r="F88" s="149"/>
      <c r="G88" s="215"/>
      <c r="H88" s="215"/>
      <c r="I88" s="215"/>
      <c r="J88" s="149"/>
      <c r="K88" s="149"/>
      <c r="L88" s="149"/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W88" s="149"/>
      <c r="X88" s="149"/>
      <c r="Y88" s="149"/>
      <c r="Z88" s="149"/>
    </row>
    <row r="89" ht="11.25" customHeight="1">
      <c r="A89" s="149"/>
      <c r="B89" s="149"/>
      <c r="C89" s="149"/>
      <c r="D89" s="149"/>
      <c r="E89" s="149"/>
      <c r="F89" s="149"/>
      <c r="G89" s="215"/>
      <c r="H89" s="215"/>
      <c r="I89" s="215"/>
      <c r="J89" s="149"/>
      <c r="K89" s="149"/>
      <c r="L89" s="149"/>
      <c r="M89" s="149"/>
      <c r="N89" s="149"/>
      <c r="O89" s="149"/>
      <c r="P89" s="149"/>
      <c r="Q89" s="149"/>
      <c r="R89" s="149"/>
      <c r="S89" s="149"/>
      <c r="T89" s="149"/>
      <c r="U89" s="149"/>
      <c r="V89" s="149"/>
      <c r="W89" s="149"/>
      <c r="X89" s="149"/>
      <c r="Y89" s="149"/>
      <c r="Z89" s="149"/>
    </row>
    <row r="90" ht="11.25" customHeight="1">
      <c r="A90" s="149"/>
      <c r="B90" s="149"/>
      <c r="C90" s="149"/>
      <c r="D90" s="149"/>
      <c r="E90" s="149"/>
      <c r="F90" s="149"/>
      <c r="G90" s="215"/>
      <c r="H90" s="215"/>
      <c r="I90" s="215"/>
      <c r="J90" s="149"/>
      <c r="K90" s="149"/>
      <c r="L90" s="149"/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W90" s="149"/>
      <c r="X90" s="149"/>
      <c r="Y90" s="149"/>
      <c r="Z90" s="149"/>
    </row>
    <row r="91" ht="11.25" customHeight="1">
      <c r="A91" s="149"/>
      <c r="B91" s="149"/>
      <c r="C91" s="149"/>
      <c r="D91" s="149"/>
      <c r="E91" s="149"/>
      <c r="F91" s="149"/>
      <c r="G91" s="215"/>
      <c r="H91" s="215"/>
      <c r="I91" s="215"/>
      <c r="J91" s="149"/>
      <c r="K91" s="149"/>
      <c r="L91" s="149"/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W91" s="149"/>
      <c r="X91" s="149"/>
      <c r="Y91" s="149"/>
      <c r="Z91" s="149"/>
    </row>
    <row r="92" ht="11.25" customHeight="1">
      <c r="A92" s="149"/>
      <c r="B92" s="149"/>
      <c r="C92" s="149"/>
      <c r="D92" s="149"/>
      <c r="E92" s="149"/>
      <c r="F92" s="149"/>
      <c r="G92" s="215"/>
      <c r="H92" s="215"/>
      <c r="I92" s="215"/>
      <c r="J92" s="149"/>
      <c r="K92" s="149"/>
      <c r="L92" s="149"/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W92" s="149"/>
      <c r="X92" s="149"/>
      <c r="Y92" s="149"/>
      <c r="Z92" s="149"/>
    </row>
    <row r="93" ht="11.25" customHeight="1">
      <c r="A93" s="149"/>
      <c r="B93" s="149"/>
      <c r="C93" s="149"/>
      <c r="D93" s="149"/>
      <c r="E93" s="149"/>
      <c r="F93" s="149"/>
      <c r="G93" s="215"/>
      <c r="H93" s="215"/>
      <c r="I93" s="215"/>
      <c r="J93" s="149"/>
      <c r="K93" s="149"/>
      <c r="L93" s="149"/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W93" s="149"/>
      <c r="X93" s="149"/>
      <c r="Y93" s="149"/>
      <c r="Z93" s="149"/>
    </row>
    <row r="94" ht="11.25" customHeight="1">
      <c r="A94" s="149"/>
      <c r="B94" s="149"/>
      <c r="C94" s="149"/>
      <c r="D94" s="149"/>
      <c r="E94" s="149"/>
      <c r="F94" s="149"/>
      <c r="G94" s="215"/>
      <c r="H94" s="215"/>
      <c r="I94" s="215"/>
      <c r="J94" s="149"/>
      <c r="K94" s="149"/>
      <c r="L94" s="149"/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W94" s="149"/>
      <c r="X94" s="149"/>
      <c r="Y94" s="149"/>
      <c r="Z94" s="149"/>
    </row>
    <row r="95" ht="11.25" customHeight="1">
      <c r="A95" s="149"/>
      <c r="B95" s="149"/>
      <c r="C95" s="149"/>
      <c r="D95" s="149"/>
      <c r="E95" s="149"/>
      <c r="F95" s="149"/>
      <c r="G95" s="215"/>
      <c r="H95" s="215"/>
      <c r="I95" s="215"/>
      <c r="J95" s="149"/>
      <c r="K95" s="149"/>
      <c r="L95" s="149"/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W95" s="149"/>
      <c r="X95" s="149"/>
      <c r="Y95" s="149"/>
      <c r="Z95" s="149"/>
    </row>
    <row r="96" ht="11.25" customHeight="1">
      <c r="A96" s="149"/>
      <c r="B96" s="149"/>
      <c r="C96" s="149"/>
      <c r="D96" s="149"/>
      <c r="E96" s="149"/>
      <c r="F96" s="149"/>
      <c r="G96" s="215"/>
      <c r="H96" s="215"/>
      <c r="I96" s="215"/>
      <c r="J96" s="149"/>
      <c r="K96" s="149"/>
      <c r="L96" s="149"/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W96" s="149"/>
      <c r="X96" s="149"/>
      <c r="Y96" s="149"/>
      <c r="Z96" s="149"/>
    </row>
    <row r="97" ht="11.25" customHeight="1">
      <c r="A97" s="149"/>
      <c r="B97" s="149"/>
      <c r="C97" s="149"/>
      <c r="D97" s="149"/>
      <c r="E97" s="149"/>
      <c r="F97" s="149"/>
      <c r="G97" s="215"/>
      <c r="H97" s="215"/>
      <c r="I97" s="215"/>
      <c r="J97" s="149"/>
      <c r="K97" s="149"/>
      <c r="L97" s="149"/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W97" s="149"/>
      <c r="X97" s="149"/>
      <c r="Y97" s="149"/>
      <c r="Z97" s="149"/>
    </row>
    <row r="98" ht="11.25" customHeight="1">
      <c r="A98" s="149"/>
      <c r="B98" s="149"/>
      <c r="C98" s="149"/>
      <c r="D98" s="149"/>
      <c r="E98" s="149"/>
      <c r="F98" s="149"/>
      <c r="G98" s="215"/>
      <c r="H98" s="215"/>
      <c r="I98" s="215"/>
      <c r="J98" s="149"/>
      <c r="K98" s="149"/>
      <c r="L98" s="149"/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W98" s="149"/>
      <c r="X98" s="149"/>
      <c r="Y98" s="149"/>
      <c r="Z98" s="149"/>
    </row>
    <row r="99" ht="11.25" customHeight="1">
      <c r="A99" s="149"/>
      <c r="B99" s="149"/>
      <c r="C99" s="149"/>
      <c r="D99" s="149"/>
      <c r="E99" s="149"/>
      <c r="F99" s="149"/>
      <c r="G99" s="215"/>
      <c r="H99" s="215"/>
      <c r="I99" s="215"/>
      <c r="J99" s="149"/>
      <c r="K99" s="149"/>
      <c r="L99" s="149"/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W99" s="149"/>
      <c r="X99" s="149"/>
      <c r="Y99" s="149"/>
      <c r="Z99" s="149"/>
    </row>
    <row r="100" ht="11.25" customHeight="1">
      <c r="A100" s="149"/>
      <c r="B100" s="149"/>
      <c r="C100" s="149"/>
      <c r="D100" s="149"/>
      <c r="E100" s="149"/>
      <c r="F100" s="149"/>
      <c r="G100" s="215"/>
      <c r="H100" s="215"/>
      <c r="I100" s="215"/>
      <c r="J100" s="149"/>
      <c r="K100" s="149"/>
      <c r="L100" s="149"/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W100" s="149"/>
      <c r="X100" s="149"/>
      <c r="Y100" s="149"/>
      <c r="Z100" s="149"/>
    </row>
    <row r="101" ht="11.25" customHeight="1">
      <c r="A101" s="149"/>
      <c r="B101" s="149"/>
      <c r="C101" s="149"/>
      <c r="D101" s="149"/>
      <c r="E101" s="149"/>
      <c r="F101" s="149"/>
      <c r="G101" s="215"/>
      <c r="H101" s="215"/>
      <c r="I101" s="215"/>
      <c r="J101" s="149"/>
      <c r="K101" s="149"/>
      <c r="L101" s="149"/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W101" s="149"/>
      <c r="X101" s="149"/>
      <c r="Y101" s="149"/>
      <c r="Z101" s="149"/>
    </row>
    <row r="102" ht="11.25" customHeight="1">
      <c r="A102" s="149"/>
      <c r="B102" s="149"/>
      <c r="C102" s="149"/>
      <c r="D102" s="149"/>
      <c r="E102" s="149"/>
      <c r="F102" s="149"/>
      <c r="G102" s="215"/>
      <c r="H102" s="215"/>
      <c r="I102" s="215"/>
      <c r="J102" s="149"/>
      <c r="K102" s="149"/>
      <c r="L102" s="149"/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W102" s="149"/>
      <c r="X102" s="149"/>
      <c r="Y102" s="149"/>
      <c r="Z102" s="149"/>
    </row>
    <row r="103" ht="11.25" customHeight="1">
      <c r="A103" s="149"/>
      <c r="B103" s="149"/>
      <c r="C103" s="149"/>
      <c r="D103" s="149"/>
      <c r="E103" s="149"/>
      <c r="F103" s="149"/>
      <c r="G103" s="215"/>
      <c r="H103" s="215"/>
      <c r="I103" s="215"/>
      <c r="J103" s="149"/>
      <c r="K103" s="149"/>
      <c r="L103" s="149"/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W103" s="149"/>
      <c r="X103" s="149"/>
      <c r="Y103" s="149"/>
      <c r="Z103" s="149"/>
    </row>
    <row r="104" ht="11.25" customHeight="1">
      <c r="A104" s="149"/>
      <c r="B104" s="149"/>
      <c r="C104" s="149"/>
      <c r="D104" s="149"/>
      <c r="E104" s="149"/>
      <c r="F104" s="149"/>
      <c r="G104" s="215"/>
      <c r="H104" s="215"/>
      <c r="I104" s="215"/>
      <c r="J104" s="149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</row>
    <row r="105" ht="11.25" customHeight="1">
      <c r="A105" s="149"/>
      <c r="B105" s="149"/>
      <c r="C105" s="149"/>
      <c r="D105" s="149"/>
      <c r="E105" s="149"/>
      <c r="F105" s="149"/>
      <c r="G105" s="215"/>
      <c r="H105" s="215"/>
      <c r="I105" s="215"/>
      <c r="J105" s="149"/>
      <c r="K105" s="149"/>
      <c r="L105" s="149"/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W105" s="149"/>
      <c r="X105" s="149"/>
      <c r="Y105" s="149"/>
      <c r="Z105" s="149"/>
    </row>
    <row r="106" ht="11.25" customHeight="1">
      <c r="A106" s="149"/>
      <c r="B106" s="149"/>
      <c r="C106" s="149"/>
      <c r="D106" s="149"/>
      <c r="E106" s="149"/>
      <c r="F106" s="149"/>
      <c r="G106" s="215"/>
      <c r="H106" s="215"/>
      <c r="I106" s="215"/>
      <c r="J106" s="149"/>
      <c r="K106" s="149"/>
      <c r="L106" s="149"/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W106" s="149"/>
      <c r="X106" s="149"/>
      <c r="Y106" s="149"/>
      <c r="Z106" s="149"/>
    </row>
    <row r="107" ht="11.25" customHeight="1">
      <c r="A107" s="149"/>
      <c r="B107" s="149"/>
      <c r="C107" s="149"/>
      <c r="D107" s="149"/>
      <c r="E107" s="149"/>
      <c r="F107" s="149"/>
      <c r="G107" s="215"/>
      <c r="H107" s="215"/>
      <c r="I107" s="215"/>
      <c r="J107" s="149"/>
      <c r="K107" s="149"/>
      <c r="L107" s="149"/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W107" s="149"/>
      <c r="X107" s="149"/>
      <c r="Y107" s="149"/>
      <c r="Z107" s="149"/>
    </row>
    <row r="108" ht="11.25" customHeight="1">
      <c r="A108" s="149"/>
      <c r="B108" s="149"/>
      <c r="C108" s="149"/>
      <c r="D108" s="149"/>
      <c r="E108" s="149"/>
      <c r="F108" s="149"/>
      <c r="G108" s="215"/>
      <c r="H108" s="215"/>
      <c r="I108" s="215"/>
      <c r="J108" s="149"/>
      <c r="K108" s="149"/>
      <c r="L108" s="149"/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W108" s="149"/>
      <c r="X108" s="149"/>
      <c r="Y108" s="149"/>
      <c r="Z108" s="149"/>
    </row>
    <row r="109" ht="11.25" customHeight="1">
      <c r="A109" s="149"/>
      <c r="B109" s="149"/>
      <c r="C109" s="149"/>
      <c r="D109" s="149"/>
      <c r="E109" s="149"/>
      <c r="F109" s="149"/>
      <c r="G109" s="215"/>
      <c r="H109" s="215"/>
      <c r="I109" s="215"/>
      <c r="J109" s="149"/>
      <c r="K109" s="149"/>
      <c r="L109" s="149"/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W109" s="149"/>
      <c r="X109" s="149"/>
      <c r="Y109" s="149"/>
      <c r="Z109" s="149"/>
    </row>
    <row r="110" ht="11.25" customHeight="1">
      <c r="A110" s="149"/>
      <c r="B110" s="149"/>
      <c r="C110" s="149"/>
      <c r="D110" s="149"/>
      <c r="E110" s="149"/>
      <c r="F110" s="149"/>
      <c r="G110" s="215"/>
      <c r="H110" s="215"/>
      <c r="I110" s="215"/>
      <c r="J110" s="149"/>
      <c r="K110" s="149"/>
      <c r="L110" s="149"/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W110" s="149"/>
      <c r="X110" s="149"/>
      <c r="Y110" s="149"/>
      <c r="Z110" s="149"/>
    </row>
    <row r="111" ht="11.25" customHeight="1">
      <c r="A111" s="149"/>
      <c r="B111" s="149"/>
      <c r="C111" s="149"/>
      <c r="D111" s="149"/>
      <c r="E111" s="149"/>
      <c r="F111" s="149"/>
      <c r="G111" s="215"/>
      <c r="H111" s="215"/>
      <c r="I111" s="215"/>
      <c r="J111" s="149"/>
      <c r="K111" s="149"/>
      <c r="L111" s="149"/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</row>
    <row r="112" ht="11.25" customHeight="1">
      <c r="A112" s="149"/>
      <c r="B112" s="149"/>
      <c r="C112" s="149"/>
      <c r="D112" s="149"/>
      <c r="E112" s="149"/>
      <c r="F112" s="149"/>
      <c r="G112" s="215"/>
      <c r="H112" s="215"/>
      <c r="I112" s="215"/>
      <c r="J112" s="149"/>
      <c r="K112" s="149"/>
      <c r="L112" s="149"/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W112" s="149"/>
      <c r="X112" s="149"/>
      <c r="Y112" s="149"/>
      <c r="Z112" s="149"/>
    </row>
    <row r="113" ht="11.25" customHeight="1">
      <c r="A113" s="149"/>
      <c r="B113" s="149"/>
      <c r="C113" s="149"/>
      <c r="D113" s="149"/>
      <c r="E113" s="149"/>
      <c r="F113" s="149"/>
      <c r="G113" s="215"/>
      <c r="H113" s="215"/>
      <c r="I113" s="215"/>
      <c r="J113" s="149"/>
      <c r="K113" s="149"/>
      <c r="L113" s="149"/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</row>
    <row r="114" ht="11.25" customHeight="1">
      <c r="A114" s="149"/>
      <c r="B114" s="149"/>
      <c r="C114" s="149"/>
      <c r="D114" s="149"/>
      <c r="E114" s="149"/>
      <c r="F114" s="149"/>
      <c r="G114" s="215"/>
      <c r="H114" s="215"/>
      <c r="I114" s="215"/>
      <c r="J114" s="149"/>
      <c r="K114" s="149"/>
      <c r="L114" s="149"/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</row>
    <row r="115" ht="11.25" customHeight="1">
      <c r="A115" s="149"/>
      <c r="B115" s="149"/>
      <c r="C115" s="149"/>
      <c r="D115" s="149"/>
      <c r="E115" s="149"/>
      <c r="F115" s="149"/>
      <c r="G115" s="215"/>
      <c r="H115" s="215"/>
      <c r="I115" s="215"/>
      <c r="J115" s="149"/>
      <c r="K115" s="149"/>
      <c r="L115" s="149"/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</row>
    <row r="116" ht="11.25" customHeight="1">
      <c r="A116" s="149"/>
      <c r="B116" s="149"/>
      <c r="C116" s="149"/>
      <c r="D116" s="149"/>
      <c r="E116" s="149"/>
      <c r="F116" s="149"/>
      <c r="G116" s="215"/>
      <c r="H116" s="215"/>
      <c r="I116" s="215"/>
      <c r="J116" s="149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  <c r="X116" s="149"/>
      <c r="Y116" s="149"/>
      <c r="Z116" s="149"/>
    </row>
    <row r="117" ht="11.25" customHeight="1">
      <c r="A117" s="149"/>
      <c r="B117" s="149"/>
      <c r="C117" s="149"/>
      <c r="D117" s="149"/>
      <c r="E117" s="149"/>
      <c r="F117" s="149"/>
      <c r="G117" s="215"/>
      <c r="H117" s="215"/>
      <c r="I117" s="215"/>
      <c r="J117" s="149"/>
      <c r="K117" s="149"/>
      <c r="L117" s="149"/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W117" s="149"/>
      <c r="X117" s="149"/>
      <c r="Y117" s="149"/>
      <c r="Z117" s="149"/>
    </row>
    <row r="118" ht="11.25" customHeight="1">
      <c r="A118" s="149"/>
      <c r="B118" s="149"/>
      <c r="C118" s="149"/>
      <c r="D118" s="149"/>
      <c r="E118" s="149"/>
      <c r="F118" s="149"/>
      <c r="G118" s="215"/>
      <c r="H118" s="215"/>
      <c r="I118" s="215"/>
      <c r="J118" s="149"/>
      <c r="K118" s="149"/>
      <c r="L118" s="149"/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W118" s="149"/>
      <c r="X118" s="149"/>
      <c r="Y118" s="149"/>
      <c r="Z118" s="149"/>
    </row>
    <row r="119" ht="11.25" customHeight="1">
      <c r="A119" s="149"/>
      <c r="B119" s="149"/>
      <c r="C119" s="149"/>
      <c r="D119" s="149"/>
      <c r="E119" s="149"/>
      <c r="F119" s="149"/>
      <c r="G119" s="215"/>
      <c r="H119" s="215"/>
      <c r="I119" s="215"/>
      <c r="J119" s="149"/>
      <c r="K119" s="149"/>
      <c r="L119" s="149"/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W119" s="149"/>
      <c r="X119" s="149"/>
      <c r="Y119" s="149"/>
      <c r="Z119" s="149"/>
    </row>
    <row r="120" ht="11.25" customHeight="1">
      <c r="A120" s="149"/>
      <c r="B120" s="149"/>
      <c r="C120" s="149"/>
      <c r="D120" s="149"/>
      <c r="E120" s="149"/>
      <c r="F120" s="149"/>
      <c r="G120" s="215"/>
      <c r="H120" s="215"/>
      <c r="I120" s="215"/>
      <c r="J120" s="149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  <c r="X120" s="149"/>
      <c r="Y120" s="149"/>
      <c r="Z120" s="149"/>
    </row>
    <row r="121" ht="11.25" customHeight="1">
      <c r="A121" s="149"/>
      <c r="B121" s="149"/>
      <c r="C121" s="149"/>
      <c r="D121" s="149"/>
      <c r="E121" s="149"/>
      <c r="F121" s="149"/>
      <c r="G121" s="215"/>
      <c r="H121" s="215"/>
      <c r="I121" s="215"/>
      <c r="J121" s="149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  <c r="X121" s="149"/>
      <c r="Y121" s="149"/>
      <c r="Z121" s="149"/>
    </row>
    <row r="122" ht="11.25" customHeight="1">
      <c r="A122" s="149"/>
      <c r="B122" s="149"/>
      <c r="C122" s="149"/>
      <c r="D122" s="149"/>
      <c r="E122" s="149"/>
      <c r="F122" s="149"/>
      <c r="G122" s="215"/>
      <c r="H122" s="215"/>
      <c r="I122" s="215"/>
      <c r="J122" s="149"/>
      <c r="K122" s="149"/>
      <c r="L122" s="149"/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W122" s="149"/>
      <c r="X122" s="149"/>
      <c r="Y122" s="149"/>
      <c r="Z122" s="149"/>
    </row>
    <row r="123" ht="11.25" customHeight="1">
      <c r="A123" s="149"/>
      <c r="B123" s="149"/>
      <c r="C123" s="149"/>
      <c r="D123" s="149"/>
      <c r="E123" s="149"/>
      <c r="F123" s="149"/>
      <c r="G123" s="215"/>
      <c r="H123" s="215"/>
      <c r="I123" s="215"/>
      <c r="J123" s="149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  <c r="X123" s="149"/>
      <c r="Y123" s="149"/>
      <c r="Z123" s="149"/>
    </row>
    <row r="124" ht="11.25" customHeight="1">
      <c r="A124" s="149"/>
      <c r="B124" s="149"/>
      <c r="C124" s="149"/>
      <c r="D124" s="149"/>
      <c r="E124" s="149"/>
      <c r="F124" s="149"/>
      <c r="G124" s="215"/>
      <c r="H124" s="215"/>
      <c r="I124" s="215"/>
      <c r="J124" s="149"/>
      <c r="K124" s="149"/>
      <c r="L124" s="149"/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W124" s="149"/>
      <c r="X124" s="149"/>
      <c r="Y124" s="149"/>
      <c r="Z124" s="149"/>
    </row>
    <row r="125" ht="11.25" customHeight="1">
      <c r="A125" s="149"/>
      <c r="B125" s="149"/>
      <c r="C125" s="149"/>
      <c r="D125" s="149"/>
      <c r="E125" s="149"/>
      <c r="F125" s="149"/>
      <c r="G125" s="215"/>
      <c r="H125" s="215"/>
      <c r="I125" s="215"/>
      <c r="J125" s="149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  <c r="X125" s="149"/>
      <c r="Y125" s="149"/>
      <c r="Z125" s="149"/>
    </row>
    <row r="126" ht="11.25" customHeight="1">
      <c r="A126" s="149"/>
      <c r="B126" s="149"/>
      <c r="C126" s="149"/>
      <c r="D126" s="149"/>
      <c r="E126" s="149"/>
      <c r="F126" s="149"/>
      <c r="G126" s="215"/>
      <c r="H126" s="215"/>
      <c r="I126" s="215"/>
      <c r="J126" s="149"/>
      <c r="K126" s="149"/>
      <c r="L126" s="149"/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W126" s="149"/>
      <c r="X126" s="149"/>
      <c r="Y126" s="149"/>
      <c r="Z126" s="149"/>
    </row>
    <row r="127" ht="11.25" customHeight="1">
      <c r="A127" s="149"/>
      <c r="B127" s="149"/>
      <c r="C127" s="149"/>
      <c r="D127" s="149"/>
      <c r="E127" s="149"/>
      <c r="F127" s="149"/>
      <c r="G127" s="215"/>
      <c r="H127" s="215"/>
      <c r="I127" s="215"/>
      <c r="J127" s="149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/>
      <c r="Y127" s="149"/>
      <c r="Z127" s="149"/>
    </row>
    <row r="128" ht="11.25" customHeight="1">
      <c r="A128" s="149"/>
      <c r="B128" s="149"/>
      <c r="C128" s="149"/>
      <c r="D128" s="149"/>
      <c r="E128" s="149"/>
      <c r="F128" s="149"/>
      <c r="G128" s="215"/>
      <c r="H128" s="215"/>
      <c r="I128" s="215"/>
      <c r="J128" s="149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  <c r="X128" s="149"/>
      <c r="Y128" s="149"/>
      <c r="Z128" s="149"/>
    </row>
    <row r="129" ht="11.25" customHeight="1">
      <c r="A129" s="149"/>
      <c r="B129" s="149"/>
      <c r="C129" s="149"/>
      <c r="D129" s="149"/>
      <c r="E129" s="149"/>
      <c r="F129" s="149"/>
      <c r="G129" s="215"/>
      <c r="H129" s="215"/>
      <c r="I129" s="215"/>
      <c r="J129" s="149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W129" s="149"/>
      <c r="X129" s="149"/>
      <c r="Y129" s="149"/>
      <c r="Z129" s="149"/>
    </row>
    <row r="130" ht="11.25" customHeight="1">
      <c r="A130" s="149"/>
      <c r="B130" s="149"/>
      <c r="C130" s="149"/>
      <c r="D130" s="149"/>
      <c r="E130" s="149"/>
      <c r="F130" s="149"/>
      <c r="G130" s="215"/>
      <c r="H130" s="215"/>
      <c r="I130" s="215"/>
      <c r="J130" s="149"/>
      <c r="K130" s="149"/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W130" s="149"/>
      <c r="X130" s="149"/>
      <c r="Y130" s="149"/>
      <c r="Z130" s="149"/>
    </row>
    <row r="131" ht="11.25" customHeight="1">
      <c r="A131" s="149"/>
      <c r="B131" s="149"/>
      <c r="C131" s="149"/>
      <c r="D131" s="149"/>
      <c r="E131" s="149"/>
      <c r="F131" s="149"/>
      <c r="G131" s="215"/>
      <c r="H131" s="215"/>
      <c r="I131" s="215"/>
      <c r="J131" s="149"/>
      <c r="K131" s="149"/>
      <c r="L131" s="149"/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W131" s="149"/>
      <c r="X131" s="149"/>
      <c r="Y131" s="149"/>
      <c r="Z131" s="149"/>
    </row>
    <row r="132" ht="11.25" customHeight="1">
      <c r="A132" s="149"/>
      <c r="B132" s="149"/>
      <c r="C132" s="149"/>
      <c r="D132" s="149"/>
      <c r="E132" s="149"/>
      <c r="F132" s="149"/>
      <c r="G132" s="215"/>
      <c r="H132" s="215"/>
      <c r="I132" s="215"/>
      <c r="J132" s="149"/>
      <c r="K132" s="149"/>
      <c r="L132" s="149"/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W132" s="149"/>
      <c r="X132" s="149"/>
      <c r="Y132" s="149"/>
      <c r="Z132" s="149"/>
    </row>
    <row r="133" ht="11.25" customHeight="1">
      <c r="A133" s="149"/>
      <c r="B133" s="149"/>
      <c r="C133" s="149"/>
      <c r="D133" s="149"/>
      <c r="E133" s="149"/>
      <c r="F133" s="149"/>
      <c r="G133" s="215"/>
      <c r="H133" s="215"/>
      <c r="I133" s="215"/>
      <c r="J133" s="149"/>
      <c r="K133" s="149"/>
      <c r="L133" s="149"/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W133" s="149"/>
      <c r="X133" s="149"/>
      <c r="Y133" s="149"/>
      <c r="Z133" s="149"/>
    </row>
    <row r="134" ht="11.25" customHeight="1">
      <c r="A134" s="149"/>
      <c r="B134" s="149"/>
      <c r="C134" s="149"/>
      <c r="D134" s="149"/>
      <c r="E134" s="149"/>
      <c r="F134" s="149"/>
      <c r="G134" s="215"/>
      <c r="H134" s="215"/>
      <c r="I134" s="215"/>
      <c r="J134" s="149"/>
      <c r="K134" s="149"/>
      <c r="L134" s="149"/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W134" s="149"/>
      <c r="X134" s="149"/>
      <c r="Y134" s="149"/>
      <c r="Z134" s="149"/>
    </row>
    <row r="135" ht="11.25" customHeight="1">
      <c r="A135" s="149"/>
      <c r="B135" s="149"/>
      <c r="C135" s="149"/>
      <c r="D135" s="149"/>
      <c r="E135" s="149"/>
      <c r="F135" s="149"/>
      <c r="G135" s="215"/>
      <c r="H135" s="215"/>
      <c r="I135" s="215"/>
      <c r="J135" s="149"/>
      <c r="K135" s="149"/>
      <c r="L135" s="149"/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</row>
    <row r="136" ht="11.25" customHeight="1">
      <c r="A136" s="149"/>
      <c r="B136" s="149"/>
      <c r="C136" s="149"/>
      <c r="D136" s="149"/>
      <c r="E136" s="149"/>
      <c r="F136" s="149"/>
      <c r="G136" s="215"/>
      <c r="H136" s="215"/>
      <c r="I136" s="215"/>
      <c r="J136" s="149"/>
      <c r="K136" s="149"/>
      <c r="L136" s="149"/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</row>
    <row r="137" ht="11.25" customHeight="1">
      <c r="A137" s="149"/>
      <c r="B137" s="149"/>
      <c r="C137" s="149"/>
      <c r="D137" s="149"/>
      <c r="E137" s="149"/>
      <c r="F137" s="149"/>
      <c r="G137" s="215"/>
      <c r="H137" s="215"/>
      <c r="I137" s="215"/>
      <c r="J137" s="149"/>
      <c r="K137" s="149"/>
      <c r="L137" s="149"/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</row>
    <row r="138" ht="11.25" customHeight="1">
      <c r="A138" s="149"/>
      <c r="B138" s="149"/>
      <c r="C138" s="149"/>
      <c r="D138" s="149"/>
      <c r="E138" s="149"/>
      <c r="F138" s="149"/>
      <c r="G138" s="215"/>
      <c r="H138" s="215"/>
      <c r="I138" s="215"/>
      <c r="J138" s="149"/>
      <c r="K138" s="149"/>
      <c r="L138" s="149"/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</row>
    <row r="139" ht="11.25" customHeight="1">
      <c r="A139" s="149"/>
      <c r="B139" s="149"/>
      <c r="C139" s="149"/>
      <c r="D139" s="149"/>
      <c r="E139" s="149"/>
      <c r="F139" s="149"/>
      <c r="G139" s="215"/>
      <c r="H139" s="215"/>
      <c r="I139" s="215"/>
      <c r="J139" s="149"/>
      <c r="K139" s="149"/>
      <c r="L139" s="149"/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</row>
    <row r="140" ht="11.25" customHeight="1">
      <c r="A140" s="149"/>
      <c r="B140" s="149"/>
      <c r="C140" s="149"/>
      <c r="D140" s="149"/>
      <c r="E140" s="149"/>
      <c r="F140" s="149"/>
      <c r="G140" s="215"/>
      <c r="H140" s="215"/>
      <c r="I140" s="215"/>
      <c r="J140" s="149"/>
      <c r="K140" s="149"/>
      <c r="L140" s="149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</row>
    <row r="141" ht="11.25" customHeight="1">
      <c r="A141" s="149"/>
      <c r="B141" s="149"/>
      <c r="C141" s="149"/>
      <c r="D141" s="149"/>
      <c r="E141" s="149"/>
      <c r="F141" s="149"/>
      <c r="G141" s="215"/>
      <c r="H141" s="215"/>
      <c r="I141" s="215"/>
      <c r="J141" s="149"/>
      <c r="K141" s="149"/>
      <c r="L141" s="149"/>
      <c r="M141" s="149"/>
      <c r="N141" s="149"/>
      <c r="O141" s="149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</row>
    <row r="142" ht="11.25" customHeight="1">
      <c r="A142" s="149"/>
      <c r="B142" s="149"/>
      <c r="C142" s="149"/>
      <c r="D142" s="149"/>
      <c r="E142" s="149"/>
      <c r="F142" s="149"/>
      <c r="G142" s="215"/>
      <c r="H142" s="215"/>
      <c r="I142" s="215"/>
      <c r="J142" s="149"/>
      <c r="K142" s="149"/>
      <c r="L142" s="149"/>
      <c r="M142" s="149"/>
      <c r="N142" s="149"/>
      <c r="O142" s="149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</row>
    <row r="143" ht="11.25" customHeight="1">
      <c r="A143" s="149"/>
      <c r="B143" s="149"/>
      <c r="C143" s="149"/>
      <c r="D143" s="149"/>
      <c r="E143" s="149"/>
      <c r="F143" s="149"/>
      <c r="G143" s="215"/>
      <c r="H143" s="215"/>
      <c r="I143" s="215"/>
      <c r="J143" s="149"/>
      <c r="K143" s="149"/>
      <c r="L143" s="149"/>
      <c r="M143" s="149"/>
      <c r="N143" s="149"/>
      <c r="O143" s="149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</row>
    <row r="144" ht="11.25" customHeight="1">
      <c r="A144" s="149"/>
      <c r="B144" s="149"/>
      <c r="C144" s="149"/>
      <c r="D144" s="149"/>
      <c r="E144" s="149"/>
      <c r="F144" s="149"/>
      <c r="G144" s="215"/>
      <c r="H144" s="215"/>
      <c r="I144" s="215"/>
      <c r="J144" s="149"/>
      <c r="K144" s="149"/>
      <c r="L144" s="149"/>
      <c r="M144" s="149"/>
      <c r="N144" s="149"/>
      <c r="O144" s="149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</row>
    <row r="145" ht="11.25" customHeight="1">
      <c r="A145" s="149"/>
      <c r="B145" s="149"/>
      <c r="C145" s="149"/>
      <c r="D145" s="149"/>
      <c r="E145" s="149"/>
      <c r="F145" s="149"/>
      <c r="G145" s="215"/>
      <c r="H145" s="215"/>
      <c r="I145" s="215"/>
      <c r="J145" s="149"/>
      <c r="K145" s="149"/>
      <c r="L145" s="149"/>
      <c r="M145" s="149"/>
      <c r="N145" s="149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</row>
    <row r="146" ht="11.25" customHeight="1">
      <c r="A146" s="149"/>
      <c r="B146" s="149"/>
      <c r="C146" s="149"/>
      <c r="D146" s="149"/>
      <c r="E146" s="149"/>
      <c r="F146" s="149"/>
      <c r="G146" s="215"/>
      <c r="H146" s="215"/>
      <c r="I146" s="215"/>
      <c r="J146" s="149"/>
      <c r="K146" s="149"/>
      <c r="L146" s="149"/>
      <c r="M146" s="149"/>
      <c r="N146" s="149"/>
      <c r="O146" s="149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</row>
    <row r="147" ht="11.25" customHeight="1">
      <c r="A147" s="149"/>
      <c r="B147" s="149"/>
      <c r="C147" s="149"/>
      <c r="D147" s="149"/>
      <c r="E147" s="149"/>
      <c r="F147" s="149"/>
      <c r="G147" s="215"/>
      <c r="H147" s="215"/>
      <c r="I147" s="215"/>
      <c r="J147" s="149"/>
      <c r="K147" s="149"/>
      <c r="L147" s="149"/>
      <c r="M147" s="149"/>
      <c r="N147" s="149"/>
      <c r="O147" s="149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</row>
    <row r="148" ht="11.25" customHeight="1">
      <c r="A148" s="149"/>
      <c r="B148" s="149"/>
      <c r="C148" s="149"/>
      <c r="D148" s="149"/>
      <c r="E148" s="149"/>
      <c r="F148" s="149"/>
      <c r="G148" s="215"/>
      <c r="H148" s="215"/>
      <c r="I148" s="215"/>
      <c r="J148" s="149"/>
      <c r="K148" s="149"/>
      <c r="L148" s="149"/>
      <c r="M148" s="149"/>
      <c r="N148" s="149"/>
      <c r="O148" s="149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</row>
    <row r="149" ht="11.25" customHeight="1">
      <c r="A149" s="149"/>
      <c r="B149" s="149"/>
      <c r="C149" s="149"/>
      <c r="D149" s="149"/>
      <c r="E149" s="149"/>
      <c r="F149" s="149"/>
      <c r="G149" s="215"/>
      <c r="H149" s="215"/>
      <c r="I149" s="215"/>
      <c r="J149" s="149"/>
      <c r="K149" s="149"/>
      <c r="L149" s="149"/>
      <c r="M149" s="149"/>
      <c r="N149" s="149"/>
      <c r="O149" s="149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</row>
    <row r="150" ht="11.25" customHeight="1">
      <c r="A150" s="149"/>
      <c r="B150" s="149"/>
      <c r="C150" s="149"/>
      <c r="D150" s="149"/>
      <c r="E150" s="149"/>
      <c r="F150" s="149"/>
      <c r="G150" s="215"/>
      <c r="H150" s="215"/>
      <c r="I150" s="215"/>
      <c r="J150" s="149"/>
      <c r="K150" s="149"/>
      <c r="L150" s="149"/>
      <c r="M150" s="149"/>
      <c r="N150" s="149"/>
      <c r="O150" s="149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</row>
    <row r="151" ht="11.25" customHeight="1">
      <c r="A151" s="149"/>
      <c r="B151" s="149"/>
      <c r="C151" s="149"/>
      <c r="D151" s="149"/>
      <c r="E151" s="149"/>
      <c r="F151" s="149"/>
      <c r="G151" s="215"/>
      <c r="H151" s="215"/>
      <c r="I151" s="215"/>
      <c r="J151" s="149"/>
      <c r="K151" s="149"/>
      <c r="L151" s="149"/>
      <c r="M151" s="149"/>
      <c r="N151" s="149"/>
      <c r="O151" s="149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</row>
    <row r="152" ht="11.25" customHeight="1">
      <c r="A152" s="149"/>
      <c r="B152" s="149"/>
      <c r="C152" s="149"/>
      <c r="D152" s="149"/>
      <c r="E152" s="149"/>
      <c r="F152" s="149"/>
      <c r="G152" s="215"/>
      <c r="H152" s="215"/>
      <c r="I152" s="215"/>
      <c r="J152" s="149"/>
      <c r="K152" s="149"/>
      <c r="L152" s="149"/>
      <c r="M152" s="149"/>
      <c r="N152" s="149"/>
      <c r="O152" s="149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</row>
    <row r="153" ht="11.25" customHeight="1">
      <c r="A153" s="149"/>
      <c r="B153" s="149"/>
      <c r="C153" s="149"/>
      <c r="D153" s="149"/>
      <c r="E153" s="149"/>
      <c r="F153" s="149"/>
      <c r="G153" s="215"/>
      <c r="H153" s="215"/>
      <c r="I153" s="215"/>
      <c r="J153" s="149"/>
      <c r="K153" s="149"/>
      <c r="L153" s="149"/>
      <c r="M153" s="149"/>
      <c r="N153" s="149"/>
      <c r="O153" s="149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</row>
    <row r="154" ht="11.25" customHeight="1">
      <c r="A154" s="149"/>
      <c r="B154" s="149"/>
      <c r="C154" s="149"/>
      <c r="D154" s="149"/>
      <c r="E154" s="149"/>
      <c r="F154" s="149"/>
      <c r="G154" s="215"/>
      <c r="H154" s="215"/>
      <c r="I154" s="215"/>
      <c r="J154" s="149"/>
      <c r="K154" s="149"/>
      <c r="L154" s="149"/>
      <c r="M154" s="149"/>
      <c r="N154" s="149"/>
      <c r="O154" s="149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</row>
    <row r="155" ht="11.25" customHeight="1">
      <c r="A155" s="149"/>
      <c r="B155" s="149"/>
      <c r="C155" s="149"/>
      <c r="D155" s="149"/>
      <c r="E155" s="149"/>
      <c r="F155" s="149"/>
      <c r="G155" s="215"/>
      <c r="H155" s="215"/>
      <c r="I155" s="215"/>
      <c r="J155" s="149"/>
      <c r="K155" s="149"/>
      <c r="L155" s="149"/>
      <c r="M155" s="149"/>
      <c r="N155" s="149"/>
      <c r="O155" s="149"/>
      <c r="P155" s="149"/>
      <c r="Q155" s="149"/>
      <c r="R155" s="149"/>
      <c r="S155" s="149"/>
      <c r="T155" s="149"/>
      <c r="U155" s="149"/>
      <c r="V155" s="149"/>
      <c r="W155" s="149"/>
      <c r="X155" s="149"/>
      <c r="Y155" s="149"/>
      <c r="Z155" s="149"/>
    </row>
    <row r="156" ht="11.25" customHeight="1">
      <c r="A156" s="149"/>
      <c r="B156" s="149"/>
      <c r="C156" s="149"/>
      <c r="D156" s="149"/>
      <c r="E156" s="149"/>
      <c r="F156" s="149"/>
      <c r="G156" s="215"/>
      <c r="H156" s="215"/>
      <c r="I156" s="215"/>
      <c r="J156" s="149"/>
      <c r="K156" s="149"/>
      <c r="L156" s="149"/>
      <c r="M156" s="149"/>
      <c r="N156" s="149"/>
      <c r="O156" s="149"/>
      <c r="P156" s="149"/>
      <c r="Q156" s="149"/>
      <c r="R156" s="149"/>
      <c r="S156" s="149"/>
      <c r="T156" s="149"/>
      <c r="U156" s="149"/>
      <c r="V156" s="149"/>
      <c r="W156" s="149"/>
      <c r="X156" s="149"/>
      <c r="Y156" s="149"/>
      <c r="Z156" s="149"/>
    </row>
    <row r="157" ht="11.25" customHeight="1">
      <c r="A157" s="149"/>
      <c r="B157" s="149"/>
      <c r="C157" s="149"/>
      <c r="D157" s="149"/>
      <c r="E157" s="149"/>
      <c r="F157" s="149"/>
      <c r="G157" s="215"/>
      <c r="H157" s="215"/>
      <c r="I157" s="215"/>
      <c r="J157" s="149"/>
      <c r="K157" s="149"/>
      <c r="L157" s="149"/>
      <c r="M157" s="149"/>
      <c r="N157" s="149"/>
      <c r="O157" s="149"/>
      <c r="P157" s="149"/>
      <c r="Q157" s="149"/>
      <c r="R157" s="149"/>
      <c r="S157" s="149"/>
      <c r="T157" s="149"/>
      <c r="U157" s="149"/>
      <c r="V157" s="149"/>
      <c r="W157" s="149"/>
      <c r="X157" s="149"/>
      <c r="Y157" s="149"/>
      <c r="Z157" s="149"/>
    </row>
    <row r="158" ht="11.25" customHeight="1">
      <c r="A158" s="149"/>
      <c r="B158" s="149"/>
      <c r="C158" s="149"/>
      <c r="D158" s="149"/>
      <c r="E158" s="149"/>
      <c r="F158" s="149"/>
      <c r="G158" s="215"/>
      <c r="H158" s="215"/>
      <c r="I158" s="215"/>
      <c r="J158" s="149"/>
      <c r="K158" s="149"/>
      <c r="L158" s="149"/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W158" s="149"/>
      <c r="X158" s="149"/>
      <c r="Y158" s="149"/>
      <c r="Z158" s="149"/>
    </row>
    <row r="159" ht="11.25" customHeight="1">
      <c r="A159" s="149"/>
      <c r="B159" s="149"/>
      <c r="C159" s="149"/>
      <c r="D159" s="149"/>
      <c r="E159" s="149"/>
      <c r="F159" s="149"/>
      <c r="G159" s="215"/>
      <c r="H159" s="215"/>
      <c r="I159" s="215"/>
      <c r="J159" s="149"/>
      <c r="K159" s="149"/>
      <c r="L159" s="149"/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W159" s="149"/>
      <c r="X159" s="149"/>
      <c r="Y159" s="149"/>
      <c r="Z159" s="149"/>
    </row>
    <row r="160" ht="11.25" customHeight="1">
      <c r="A160" s="149"/>
      <c r="B160" s="149"/>
      <c r="C160" s="149"/>
      <c r="D160" s="149"/>
      <c r="E160" s="149"/>
      <c r="F160" s="149"/>
      <c r="G160" s="215"/>
      <c r="H160" s="215"/>
      <c r="I160" s="215"/>
      <c r="J160" s="149"/>
      <c r="K160" s="149"/>
      <c r="L160" s="149"/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W160" s="149"/>
      <c r="X160" s="149"/>
      <c r="Y160" s="149"/>
      <c r="Z160" s="149"/>
    </row>
    <row r="161" ht="11.25" customHeight="1">
      <c r="A161" s="149"/>
      <c r="B161" s="149"/>
      <c r="C161" s="149"/>
      <c r="D161" s="149"/>
      <c r="E161" s="149"/>
      <c r="F161" s="149"/>
      <c r="G161" s="215"/>
      <c r="H161" s="215"/>
      <c r="I161" s="215"/>
      <c r="J161" s="149"/>
      <c r="K161" s="149"/>
      <c r="L161" s="149"/>
      <c r="M161" s="149"/>
      <c r="N161" s="149"/>
      <c r="O161" s="149"/>
      <c r="P161" s="149"/>
      <c r="Q161" s="149"/>
      <c r="R161" s="149"/>
      <c r="S161" s="149"/>
      <c r="T161" s="149"/>
      <c r="U161" s="149"/>
      <c r="V161" s="149"/>
      <c r="W161" s="149"/>
      <c r="X161" s="149"/>
      <c r="Y161" s="149"/>
      <c r="Z161" s="149"/>
    </row>
    <row r="162" ht="11.25" customHeight="1">
      <c r="A162" s="149"/>
      <c r="B162" s="149"/>
      <c r="C162" s="149"/>
      <c r="D162" s="149"/>
      <c r="E162" s="149"/>
      <c r="F162" s="149"/>
      <c r="G162" s="215"/>
      <c r="H162" s="215"/>
      <c r="I162" s="215"/>
      <c r="J162" s="149"/>
      <c r="K162" s="149"/>
      <c r="L162" s="149"/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W162" s="149"/>
      <c r="X162" s="149"/>
      <c r="Y162" s="149"/>
      <c r="Z162" s="149"/>
    </row>
    <row r="163" ht="11.25" customHeight="1">
      <c r="A163" s="149"/>
      <c r="B163" s="149"/>
      <c r="C163" s="149"/>
      <c r="D163" s="149"/>
      <c r="E163" s="149"/>
      <c r="F163" s="149"/>
      <c r="G163" s="215"/>
      <c r="H163" s="215"/>
      <c r="I163" s="215"/>
      <c r="J163" s="149"/>
      <c r="K163" s="149"/>
      <c r="L163" s="149"/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W163" s="149"/>
      <c r="X163" s="149"/>
      <c r="Y163" s="149"/>
      <c r="Z163" s="149"/>
    </row>
    <row r="164" ht="11.25" customHeight="1">
      <c r="A164" s="149"/>
      <c r="B164" s="149"/>
      <c r="C164" s="149"/>
      <c r="D164" s="149"/>
      <c r="E164" s="149"/>
      <c r="F164" s="149"/>
      <c r="G164" s="215"/>
      <c r="H164" s="215"/>
      <c r="I164" s="215"/>
      <c r="J164" s="149"/>
      <c r="K164" s="149"/>
      <c r="L164" s="149"/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W164" s="149"/>
      <c r="X164" s="149"/>
      <c r="Y164" s="149"/>
      <c r="Z164" s="149"/>
    </row>
    <row r="165" ht="11.25" customHeight="1">
      <c r="A165" s="149"/>
      <c r="B165" s="149"/>
      <c r="C165" s="149"/>
      <c r="D165" s="149"/>
      <c r="E165" s="149"/>
      <c r="F165" s="149"/>
      <c r="G165" s="215"/>
      <c r="H165" s="215"/>
      <c r="I165" s="215"/>
      <c r="J165" s="149"/>
      <c r="K165" s="149"/>
      <c r="L165" s="149"/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W165" s="149"/>
      <c r="X165" s="149"/>
      <c r="Y165" s="149"/>
      <c r="Z165" s="149"/>
    </row>
    <row r="166" ht="11.25" customHeight="1">
      <c r="A166" s="149"/>
      <c r="B166" s="149"/>
      <c r="C166" s="149"/>
      <c r="D166" s="149"/>
      <c r="E166" s="149"/>
      <c r="F166" s="149"/>
      <c r="G166" s="215"/>
      <c r="H166" s="215"/>
      <c r="I166" s="215"/>
      <c r="J166" s="149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W166" s="149"/>
      <c r="X166" s="149"/>
      <c r="Y166" s="149"/>
      <c r="Z166" s="149"/>
    </row>
    <row r="167" ht="11.25" customHeight="1">
      <c r="A167" s="149"/>
      <c r="B167" s="149"/>
      <c r="C167" s="149"/>
      <c r="D167" s="149"/>
      <c r="E167" s="149"/>
      <c r="F167" s="149"/>
      <c r="G167" s="215"/>
      <c r="H167" s="215"/>
      <c r="I167" s="215"/>
      <c r="J167" s="149"/>
      <c r="K167" s="149"/>
      <c r="L167" s="149"/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W167" s="149"/>
      <c r="X167" s="149"/>
      <c r="Y167" s="149"/>
      <c r="Z167" s="149"/>
    </row>
    <row r="168" ht="11.25" customHeight="1">
      <c r="A168" s="149"/>
      <c r="B168" s="149"/>
      <c r="C168" s="149"/>
      <c r="D168" s="149"/>
      <c r="E168" s="149"/>
      <c r="F168" s="149"/>
      <c r="G168" s="215"/>
      <c r="H168" s="215"/>
      <c r="I168" s="215"/>
      <c r="J168" s="149"/>
      <c r="K168" s="149"/>
      <c r="L168" s="149"/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W168" s="149"/>
      <c r="X168" s="149"/>
      <c r="Y168" s="149"/>
      <c r="Z168" s="149"/>
    </row>
    <row r="169" ht="11.25" customHeight="1">
      <c r="A169" s="149"/>
      <c r="B169" s="149"/>
      <c r="C169" s="149"/>
      <c r="D169" s="149"/>
      <c r="E169" s="149"/>
      <c r="F169" s="149"/>
      <c r="G169" s="215"/>
      <c r="H169" s="215"/>
      <c r="I169" s="215"/>
      <c r="J169" s="149"/>
      <c r="K169" s="149"/>
      <c r="L169" s="149"/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W169" s="149"/>
      <c r="X169" s="149"/>
      <c r="Y169" s="149"/>
      <c r="Z169" s="149"/>
    </row>
    <row r="170" ht="11.25" customHeight="1">
      <c r="A170" s="149"/>
      <c r="B170" s="149"/>
      <c r="C170" s="149"/>
      <c r="D170" s="149"/>
      <c r="E170" s="149"/>
      <c r="F170" s="149"/>
      <c r="G170" s="215"/>
      <c r="H170" s="215"/>
      <c r="I170" s="215"/>
      <c r="J170" s="149"/>
      <c r="K170" s="149"/>
      <c r="L170" s="149"/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W170" s="149"/>
      <c r="X170" s="149"/>
      <c r="Y170" s="149"/>
      <c r="Z170" s="149"/>
    </row>
    <row r="171" ht="11.25" customHeight="1">
      <c r="A171" s="149"/>
      <c r="B171" s="149"/>
      <c r="C171" s="149"/>
      <c r="D171" s="149"/>
      <c r="E171" s="149"/>
      <c r="F171" s="149"/>
      <c r="G171" s="215"/>
      <c r="H171" s="215"/>
      <c r="I171" s="215"/>
      <c r="J171" s="149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W171" s="149"/>
      <c r="X171" s="149"/>
      <c r="Y171" s="149"/>
      <c r="Z171" s="149"/>
    </row>
    <row r="172" ht="11.25" customHeight="1">
      <c r="A172" s="149"/>
      <c r="B172" s="149"/>
      <c r="C172" s="149"/>
      <c r="D172" s="149"/>
      <c r="E172" s="149"/>
      <c r="F172" s="149"/>
      <c r="G172" s="215"/>
      <c r="H172" s="215"/>
      <c r="I172" s="215"/>
      <c r="J172" s="149"/>
      <c r="K172" s="149"/>
      <c r="L172" s="149"/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W172" s="149"/>
      <c r="X172" s="149"/>
      <c r="Y172" s="149"/>
      <c r="Z172" s="149"/>
    </row>
    <row r="173" ht="11.25" customHeight="1">
      <c r="A173" s="149"/>
      <c r="B173" s="149"/>
      <c r="C173" s="149"/>
      <c r="D173" s="149"/>
      <c r="E173" s="149"/>
      <c r="F173" s="149"/>
      <c r="G173" s="215"/>
      <c r="H173" s="215"/>
      <c r="I173" s="215"/>
      <c r="J173" s="149"/>
      <c r="K173" s="149"/>
      <c r="L173" s="149"/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W173" s="149"/>
      <c r="X173" s="149"/>
      <c r="Y173" s="149"/>
      <c r="Z173" s="149"/>
    </row>
    <row r="174" ht="11.25" customHeight="1">
      <c r="A174" s="149"/>
      <c r="B174" s="149"/>
      <c r="C174" s="149"/>
      <c r="D174" s="149"/>
      <c r="E174" s="149"/>
      <c r="F174" s="149"/>
      <c r="G174" s="215"/>
      <c r="H174" s="215"/>
      <c r="I174" s="215"/>
      <c r="J174" s="149"/>
      <c r="K174" s="149"/>
      <c r="L174" s="149"/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W174" s="149"/>
      <c r="X174" s="149"/>
      <c r="Y174" s="149"/>
      <c r="Z174" s="149"/>
    </row>
    <row r="175" ht="11.25" customHeight="1">
      <c r="A175" s="149"/>
      <c r="B175" s="149"/>
      <c r="C175" s="149"/>
      <c r="D175" s="149"/>
      <c r="E175" s="149"/>
      <c r="F175" s="149"/>
      <c r="G175" s="215"/>
      <c r="H175" s="215"/>
      <c r="I175" s="215"/>
      <c r="J175" s="149"/>
      <c r="K175" s="149"/>
      <c r="L175" s="149"/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W175" s="149"/>
      <c r="X175" s="149"/>
      <c r="Y175" s="149"/>
      <c r="Z175" s="149"/>
    </row>
    <row r="176" ht="11.25" customHeight="1">
      <c r="A176" s="149"/>
      <c r="B176" s="149"/>
      <c r="C176" s="149"/>
      <c r="D176" s="149"/>
      <c r="E176" s="149"/>
      <c r="F176" s="149"/>
      <c r="G176" s="215"/>
      <c r="H176" s="215"/>
      <c r="I176" s="215"/>
      <c r="J176" s="149"/>
      <c r="K176" s="149"/>
      <c r="L176" s="149"/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W176" s="149"/>
      <c r="X176" s="149"/>
      <c r="Y176" s="149"/>
      <c r="Z176" s="149"/>
    </row>
    <row r="177" ht="11.25" customHeight="1">
      <c r="A177" s="149"/>
      <c r="B177" s="149"/>
      <c r="C177" s="149"/>
      <c r="D177" s="149"/>
      <c r="E177" s="149"/>
      <c r="F177" s="149"/>
      <c r="G177" s="215"/>
      <c r="H177" s="215"/>
      <c r="I177" s="215"/>
      <c r="J177" s="149"/>
      <c r="K177" s="149"/>
      <c r="L177" s="149"/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W177" s="149"/>
      <c r="X177" s="149"/>
      <c r="Y177" s="149"/>
      <c r="Z177" s="149"/>
    </row>
    <row r="178" ht="11.25" customHeight="1">
      <c r="A178" s="149"/>
      <c r="B178" s="149"/>
      <c r="C178" s="149"/>
      <c r="D178" s="149"/>
      <c r="E178" s="149"/>
      <c r="F178" s="149"/>
      <c r="G178" s="215"/>
      <c r="H178" s="215"/>
      <c r="I178" s="215"/>
      <c r="J178" s="149"/>
      <c r="K178" s="149"/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W178" s="149"/>
      <c r="X178" s="149"/>
      <c r="Y178" s="149"/>
      <c r="Z178" s="149"/>
    </row>
    <row r="179" ht="11.25" customHeight="1">
      <c r="A179" s="149"/>
      <c r="B179" s="149"/>
      <c r="C179" s="149"/>
      <c r="D179" s="149"/>
      <c r="E179" s="149"/>
      <c r="F179" s="149"/>
      <c r="G179" s="215"/>
      <c r="H179" s="215"/>
      <c r="I179" s="215"/>
      <c r="J179" s="149"/>
      <c r="K179" s="149"/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W179" s="149"/>
      <c r="X179" s="149"/>
      <c r="Y179" s="149"/>
      <c r="Z179" s="149"/>
    </row>
    <row r="180" ht="11.25" customHeight="1">
      <c r="A180" s="149"/>
      <c r="B180" s="149"/>
      <c r="C180" s="149"/>
      <c r="D180" s="149"/>
      <c r="E180" s="149"/>
      <c r="F180" s="149"/>
      <c r="G180" s="215"/>
      <c r="H180" s="215"/>
      <c r="I180" s="215"/>
      <c r="J180" s="149"/>
      <c r="K180" s="149"/>
      <c r="L180" s="149"/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W180" s="149"/>
      <c r="X180" s="149"/>
      <c r="Y180" s="149"/>
      <c r="Z180" s="149"/>
    </row>
    <row r="181" ht="11.25" customHeight="1">
      <c r="A181" s="149"/>
      <c r="B181" s="149"/>
      <c r="C181" s="149"/>
      <c r="D181" s="149"/>
      <c r="E181" s="149"/>
      <c r="F181" s="149"/>
      <c r="G181" s="215"/>
      <c r="H181" s="215"/>
      <c r="I181" s="215"/>
      <c r="J181" s="149"/>
      <c r="K181" s="149"/>
      <c r="L181" s="149"/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W181" s="149"/>
      <c r="X181" s="149"/>
      <c r="Y181" s="149"/>
      <c r="Z181" s="149"/>
    </row>
    <row r="182" ht="11.25" customHeight="1">
      <c r="A182" s="149"/>
      <c r="B182" s="149"/>
      <c r="C182" s="149"/>
      <c r="D182" s="149"/>
      <c r="E182" s="149"/>
      <c r="F182" s="149"/>
      <c r="G182" s="215"/>
      <c r="H182" s="215"/>
      <c r="I182" s="215"/>
      <c r="J182" s="149"/>
      <c r="K182" s="149"/>
      <c r="L182" s="149"/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W182" s="149"/>
      <c r="X182" s="149"/>
      <c r="Y182" s="149"/>
      <c r="Z182" s="149"/>
    </row>
    <row r="183" ht="11.25" customHeight="1">
      <c r="A183" s="149"/>
      <c r="B183" s="149"/>
      <c r="C183" s="149"/>
      <c r="D183" s="149"/>
      <c r="E183" s="149"/>
      <c r="F183" s="149"/>
      <c r="G183" s="215"/>
      <c r="H183" s="215"/>
      <c r="I183" s="215"/>
      <c r="J183" s="149"/>
      <c r="K183" s="149"/>
      <c r="L183" s="149"/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W183" s="149"/>
      <c r="X183" s="149"/>
      <c r="Y183" s="149"/>
      <c r="Z183" s="149"/>
    </row>
    <row r="184" ht="11.25" customHeight="1">
      <c r="A184" s="149"/>
      <c r="B184" s="149"/>
      <c r="C184" s="149"/>
      <c r="D184" s="149"/>
      <c r="E184" s="149"/>
      <c r="F184" s="149"/>
      <c r="G184" s="215"/>
      <c r="H184" s="215"/>
      <c r="I184" s="215"/>
      <c r="J184" s="149"/>
      <c r="K184" s="149"/>
      <c r="L184" s="149"/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W184" s="149"/>
      <c r="X184" s="149"/>
      <c r="Y184" s="149"/>
      <c r="Z184" s="149"/>
    </row>
    <row r="185" ht="11.25" customHeight="1">
      <c r="A185" s="149"/>
      <c r="B185" s="149"/>
      <c r="C185" s="149"/>
      <c r="D185" s="149"/>
      <c r="E185" s="149"/>
      <c r="F185" s="149"/>
      <c r="G185" s="215"/>
      <c r="H185" s="215"/>
      <c r="I185" s="215"/>
      <c r="J185" s="149"/>
      <c r="K185" s="149"/>
      <c r="L185" s="149"/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W185" s="149"/>
      <c r="X185" s="149"/>
      <c r="Y185" s="149"/>
      <c r="Z185" s="149"/>
    </row>
    <row r="186" ht="11.25" customHeight="1">
      <c r="A186" s="149"/>
      <c r="B186" s="149"/>
      <c r="C186" s="149"/>
      <c r="D186" s="149"/>
      <c r="E186" s="149"/>
      <c r="F186" s="149"/>
      <c r="G186" s="215"/>
      <c r="H186" s="215"/>
      <c r="I186" s="215"/>
      <c r="J186" s="149"/>
      <c r="K186" s="149"/>
      <c r="L186" s="149"/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W186" s="149"/>
      <c r="X186" s="149"/>
      <c r="Y186" s="149"/>
      <c r="Z186" s="149"/>
    </row>
    <row r="187" ht="11.25" customHeight="1">
      <c r="A187" s="149"/>
      <c r="B187" s="149"/>
      <c r="C187" s="149"/>
      <c r="D187" s="149"/>
      <c r="E187" s="149"/>
      <c r="F187" s="149"/>
      <c r="G187" s="215"/>
      <c r="H187" s="215"/>
      <c r="I187" s="215"/>
      <c r="J187" s="149"/>
      <c r="K187" s="149"/>
      <c r="L187" s="149"/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W187" s="149"/>
      <c r="X187" s="149"/>
      <c r="Y187" s="149"/>
      <c r="Z187" s="149"/>
    </row>
    <row r="188" ht="11.25" customHeight="1">
      <c r="A188" s="149"/>
      <c r="B188" s="149"/>
      <c r="C188" s="149"/>
      <c r="D188" s="149"/>
      <c r="E188" s="149"/>
      <c r="F188" s="149"/>
      <c r="G188" s="215"/>
      <c r="H188" s="215"/>
      <c r="I188" s="215"/>
      <c r="J188" s="149"/>
      <c r="K188" s="149"/>
      <c r="L188" s="149"/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W188" s="149"/>
      <c r="X188" s="149"/>
      <c r="Y188" s="149"/>
      <c r="Z188" s="149"/>
    </row>
    <row r="189" ht="11.25" customHeight="1">
      <c r="A189" s="149"/>
      <c r="B189" s="149"/>
      <c r="C189" s="149"/>
      <c r="D189" s="149"/>
      <c r="E189" s="149"/>
      <c r="F189" s="149"/>
      <c r="G189" s="215"/>
      <c r="H189" s="215"/>
      <c r="I189" s="215"/>
      <c r="J189" s="149"/>
      <c r="K189" s="149"/>
      <c r="L189" s="149"/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W189" s="149"/>
      <c r="X189" s="149"/>
      <c r="Y189" s="149"/>
      <c r="Z189" s="149"/>
    </row>
    <row r="190" ht="11.25" customHeight="1">
      <c r="A190" s="149"/>
      <c r="B190" s="149"/>
      <c r="C190" s="149"/>
      <c r="D190" s="149"/>
      <c r="E190" s="149"/>
      <c r="F190" s="149"/>
      <c r="G190" s="215"/>
      <c r="H190" s="215"/>
      <c r="I190" s="215"/>
      <c r="J190" s="149"/>
      <c r="K190" s="149"/>
      <c r="L190" s="149"/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W190" s="149"/>
      <c r="X190" s="149"/>
      <c r="Y190" s="149"/>
      <c r="Z190" s="149"/>
    </row>
    <row r="191" ht="11.25" customHeight="1">
      <c r="A191" s="149"/>
      <c r="B191" s="149"/>
      <c r="C191" s="149"/>
      <c r="D191" s="149"/>
      <c r="E191" s="149"/>
      <c r="F191" s="149"/>
      <c r="G191" s="215"/>
      <c r="H191" s="215"/>
      <c r="I191" s="215"/>
      <c r="J191" s="149"/>
      <c r="K191" s="149"/>
      <c r="L191" s="149"/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W191" s="149"/>
      <c r="X191" s="149"/>
      <c r="Y191" s="149"/>
      <c r="Z191" s="149"/>
    </row>
    <row r="192" ht="11.25" customHeight="1">
      <c r="A192" s="149"/>
      <c r="B192" s="149"/>
      <c r="C192" s="149"/>
      <c r="D192" s="149"/>
      <c r="E192" s="149"/>
      <c r="F192" s="149"/>
      <c r="G192" s="215"/>
      <c r="H192" s="215"/>
      <c r="I192" s="215"/>
      <c r="J192" s="149"/>
      <c r="K192" s="149"/>
      <c r="L192" s="149"/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W192" s="149"/>
      <c r="X192" s="149"/>
      <c r="Y192" s="149"/>
      <c r="Z192" s="149"/>
    </row>
    <row r="193" ht="11.25" customHeight="1">
      <c r="A193" s="149"/>
      <c r="B193" s="149"/>
      <c r="C193" s="149"/>
      <c r="D193" s="149"/>
      <c r="E193" s="149"/>
      <c r="F193" s="149"/>
      <c r="G193" s="215"/>
      <c r="H193" s="215"/>
      <c r="I193" s="215"/>
      <c r="J193" s="149"/>
      <c r="K193" s="149"/>
      <c r="L193" s="149"/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W193" s="149"/>
      <c r="X193" s="149"/>
      <c r="Y193" s="149"/>
      <c r="Z193" s="149"/>
    </row>
    <row r="194" ht="11.25" customHeight="1">
      <c r="A194" s="149"/>
      <c r="B194" s="149"/>
      <c r="C194" s="149"/>
      <c r="D194" s="149"/>
      <c r="E194" s="149"/>
      <c r="F194" s="149"/>
      <c r="G194" s="215"/>
      <c r="H194" s="215"/>
      <c r="I194" s="215"/>
      <c r="J194" s="149"/>
      <c r="K194" s="149"/>
      <c r="L194" s="149"/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W194" s="149"/>
      <c r="X194" s="149"/>
      <c r="Y194" s="149"/>
      <c r="Z194" s="149"/>
    </row>
    <row r="195" ht="11.25" customHeight="1">
      <c r="A195" s="149"/>
      <c r="B195" s="149"/>
      <c r="C195" s="149"/>
      <c r="D195" s="149"/>
      <c r="E195" s="149"/>
      <c r="F195" s="149"/>
      <c r="G195" s="215"/>
      <c r="H195" s="215"/>
      <c r="I195" s="215"/>
      <c r="J195" s="149"/>
      <c r="K195" s="149"/>
      <c r="L195" s="149"/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W195" s="149"/>
      <c r="X195" s="149"/>
      <c r="Y195" s="149"/>
      <c r="Z195" s="149"/>
    </row>
    <row r="196" ht="11.25" customHeight="1">
      <c r="A196" s="149"/>
      <c r="B196" s="149"/>
      <c r="C196" s="149"/>
      <c r="D196" s="149"/>
      <c r="E196" s="149"/>
      <c r="F196" s="149"/>
      <c r="G196" s="215"/>
      <c r="H196" s="215"/>
      <c r="I196" s="215"/>
      <c r="J196" s="149"/>
      <c r="K196" s="149"/>
      <c r="L196" s="149"/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W196" s="149"/>
      <c r="X196" s="149"/>
      <c r="Y196" s="149"/>
      <c r="Z196" s="149"/>
    </row>
    <row r="197" ht="11.25" customHeight="1">
      <c r="A197" s="149"/>
      <c r="B197" s="149"/>
      <c r="C197" s="149"/>
      <c r="D197" s="149"/>
      <c r="E197" s="149"/>
      <c r="F197" s="149"/>
      <c r="G197" s="215"/>
      <c r="H197" s="215"/>
      <c r="I197" s="215"/>
      <c r="J197" s="149"/>
      <c r="K197" s="149"/>
      <c r="L197" s="149"/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W197" s="149"/>
      <c r="X197" s="149"/>
      <c r="Y197" s="149"/>
      <c r="Z197" s="149"/>
    </row>
    <row r="198" ht="11.25" customHeight="1">
      <c r="A198" s="149"/>
      <c r="B198" s="149"/>
      <c r="C198" s="149"/>
      <c r="D198" s="149"/>
      <c r="E198" s="149"/>
      <c r="F198" s="149"/>
      <c r="G198" s="215"/>
      <c r="H198" s="215"/>
      <c r="I198" s="215"/>
      <c r="J198" s="149"/>
      <c r="K198" s="149"/>
      <c r="L198" s="149"/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W198" s="149"/>
      <c r="X198" s="149"/>
      <c r="Y198" s="149"/>
      <c r="Z198" s="149"/>
    </row>
    <row r="199" ht="11.25" customHeight="1">
      <c r="A199" s="149"/>
      <c r="B199" s="149"/>
      <c r="C199" s="149"/>
      <c r="D199" s="149"/>
      <c r="E199" s="149"/>
      <c r="F199" s="149"/>
      <c r="G199" s="215"/>
      <c r="H199" s="215"/>
      <c r="I199" s="215"/>
      <c r="J199" s="149"/>
      <c r="K199" s="149"/>
      <c r="L199" s="149"/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W199" s="149"/>
      <c r="X199" s="149"/>
      <c r="Y199" s="149"/>
      <c r="Z199" s="149"/>
    </row>
    <row r="200" ht="11.25" customHeight="1">
      <c r="A200" s="149"/>
      <c r="B200" s="149"/>
      <c r="C200" s="149"/>
      <c r="D200" s="149"/>
      <c r="E200" s="149"/>
      <c r="F200" s="149"/>
      <c r="G200" s="215"/>
      <c r="H200" s="215"/>
      <c r="I200" s="215"/>
      <c r="J200" s="149"/>
      <c r="K200" s="149"/>
      <c r="L200" s="149"/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W200" s="149"/>
      <c r="X200" s="149"/>
      <c r="Y200" s="149"/>
      <c r="Z200" s="149"/>
    </row>
    <row r="201" ht="11.25" customHeight="1">
      <c r="A201" s="149"/>
      <c r="B201" s="149"/>
      <c r="C201" s="149"/>
      <c r="D201" s="149"/>
      <c r="E201" s="149"/>
      <c r="F201" s="149"/>
      <c r="G201" s="215"/>
      <c r="H201" s="215"/>
      <c r="I201" s="215"/>
      <c r="J201" s="149"/>
      <c r="K201" s="149"/>
      <c r="L201" s="149"/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W201" s="149"/>
      <c r="X201" s="149"/>
      <c r="Y201" s="149"/>
      <c r="Z201" s="149"/>
    </row>
    <row r="202" ht="11.25" customHeight="1">
      <c r="A202" s="149"/>
      <c r="B202" s="149"/>
      <c r="C202" s="149"/>
      <c r="D202" s="149"/>
      <c r="E202" s="149"/>
      <c r="F202" s="149"/>
      <c r="G202" s="215"/>
      <c r="H202" s="215"/>
      <c r="I202" s="215"/>
      <c r="J202" s="149"/>
      <c r="K202" s="149"/>
      <c r="L202" s="149"/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W202" s="149"/>
      <c r="X202" s="149"/>
      <c r="Y202" s="149"/>
      <c r="Z202" s="149"/>
    </row>
    <row r="203" ht="11.25" customHeight="1">
      <c r="A203" s="149"/>
      <c r="B203" s="149"/>
      <c r="C203" s="149"/>
      <c r="D203" s="149"/>
      <c r="E203" s="149"/>
      <c r="F203" s="149"/>
      <c r="G203" s="215"/>
      <c r="H203" s="215"/>
      <c r="I203" s="215"/>
      <c r="J203" s="149"/>
      <c r="K203" s="149"/>
      <c r="L203" s="149"/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W203" s="149"/>
      <c r="X203" s="149"/>
      <c r="Y203" s="149"/>
      <c r="Z203" s="149"/>
    </row>
    <row r="204" ht="11.25" customHeight="1">
      <c r="A204" s="149"/>
      <c r="B204" s="149"/>
      <c r="C204" s="149"/>
      <c r="D204" s="149"/>
      <c r="E204" s="149"/>
      <c r="F204" s="149"/>
      <c r="G204" s="215"/>
      <c r="H204" s="215"/>
      <c r="I204" s="215"/>
      <c r="J204" s="149"/>
      <c r="K204" s="149"/>
      <c r="L204" s="149"/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W204" s="149"/>
      <c r="X204" s="149"/>
      <c r="Y204" s="149"/>
      <c r="Z204" s="149"/>
    </row>
    <row r="205" ht="11.25" customHeight="1">
      <c r="A205" s="149"/>
      <c r="B205" s="149"/>
      <c r="C205" s="149"/>
      <c r="D205" s="149"/>
      <c r="E205" s="149"/>
      <c r="F205" s="149"/>
      <c r="G205" s="215"/>
      <c r="H205" s="215"/>
      <c r="I205" s="215"/>
      <c r="J205" s="149"/>
      <c r="K205" s="149"/>
      <c r="L205" s="149"/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W205" s="149"/>
      <c r="X205" s="149"/>
      <c r="Y205" s="149"/>
      <c r="Z205" s="149"/>
    </row>
    <row r="206" ht="11.25" customHeight="1">
      <c r="A206" s="149"/>
      <c r="B206" s="149"/>
      <c r="C206" s="149"/>
      <c r="D206" s="149"/>
      <c r="E206" s="149"/>
      <c r="F206" s="149"/>
      <c r="G206" s="215"/>
      <c r="H206" s="215"/>
      <c r="I206" s="215"/>
      <c r="J206" s="149"/>
      <c r="K206" s="149"/>
      <c r="L206" s="149"/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W206" s="149"/>
      <c r="X206" s="149"/>
      <c r="Y206" s="149"/>
      <c r="Z206" s="149"/>
    </row>
    <row r="207" ht="11.25" customHeight="1">
      <c r="A207" s="149"/>
      <c r="B207" s="149"/>
      <c r="C207" s="149"/>
      <c r="D207" s="149"/>
      <c r="E207" s="149"/>
      <c r="F207" s="149"/>
      <c r="G207" s="215"/>
      <c r="H207" s="215"/>
      <c r="I207" s="215"/>
      <c r="J207" s="149"/>
      <c r="K207" s="149"/>
      <c r="L207" s="149"/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W207" s="149"/>
      <c r="X207" s="149"/>
      <c r="Y207" s="149"/>
      <c r="Z207" s="149"/>
    </row>
    <row r="208" ht="11.25" customHeight="1">
      <c r="A208" s="149"/>
      <c r="B208" s="149"/>
      <c r="C208" s="149"/>
      <c r="D208" s="149"/>
      <c r="E208" s="149"/>
      <c r="F208" s="149"/>
      <c r="G208" s="215"/>
      <c r="H208" s="215"/>
      <c r="I208" s="215"/>
      <c r="J208" s="149"/>
      <c r="K208" s="149"/>
      <c r="L208" s="149"/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W208" s="149"/>
      <c r="X208" s="149"/>
      <c r="Y208" s="149"/>
      <c r="Z208" s="149"/>
    </row>
    <row r="209" ht="11.25" customHeight="1">
      <c r="A209" s="149"/>
      <c r="B209" s="149"/>
      <c r="C209" s="149"/>
      <c r="D209" s="149"/>
      <c r="E209" s="149"/>
      <c r="F209" s="149"/>
      <c r="G209" s="215"/>
      <c r="H209" s="215"/>
      <c r="I209" s="215"/>
      <c r="J209" s="149"/>
      <c r="K209" s="149"/>
      <c r="L209" s="149"/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W209" s="149"/>
      <c r="X209" s="149"/>
      <c r="Y209" s="149"/>
      <c r="Z209" s="149"/>
    </row>
    <row r="210" ht="11.25" customHeight="1">
      <c r="A210" s="149"/>
      <c r="B210" s="149"/>
      <c r="C210" s="149"/>
      <c r="D210" s="149"/>
      <c r="E210" s="149"/>
      <c r="F210" s="149"/>
      <c r="G210" s="215"/>
      <c r="H210" s="215"/>
      <c r="I210" s="215"/>
      <c r="J210" s="149"/>
      <c r="K210" s="149"/>
      <c r="L210" s="149"/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W210" s="149"/>
      <c r="X210" s="149"/>
      <c r="Y210" s="149"/>
      <c r="Z210" s="149"/>
    </row>
    <row r="211" ht="11.25" customHeight="1">
      <c r="A211" s="149"/>
      <c r="B211" s="149"/>
      <c r="C211" s="149"/>
      <c r="D211" s="149"/>
      <c r="E211" s="149"/>
      <c r="F211" s="149"/>
      <c r="G211" s="215"/>
      <c r="H211" s="215"/>
      <c r="I211" s="215"/>
      <c r="J211" s="149"/>
      <c r="K211" s="149"/>
      <c r="L211" s="149"/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W211" s="149"/>
      <c r="X211" s="149"/>
      <c r="Y211" s="149"/>
      <c r="Z211" s="149"/>
    </row>
    <row r="212" ht="11.25" customHeight="1">
      <c r="A212" s="149"/>
      <c r="B212" s="149"/>
      <c r="C212" s="149"/>
      <c r="D212" s="149"/>
      <c r="E212" s="149"/>
      <c r="F212" s="149"/>
      <c r="G212" s="215"/>
      <c r="H212" s="215"/>
      <c r="I212" s="215"/>
      <c r="J212" s="149"/>
      <c r="K212" s="149"/>
      <c r="L212" s="149"/>
      <c r="M212" s="149"/>
      <c r="N212" s="149"/>
      <c r="O212" s="149"/>
      <c r="P212" s="149"/>
      <c r="Q212" s="149"/>
      <c r="R212" s="149"/>
      <c r="S212" s="149"/>
      <c r="T212" s="149"/>
      <c r="U212" s="149"/>
      <c r="V212" s="149"/>
      <c r="W212" s="149"/>
      <c r="X212" s="149"/>
      <c r="Y212" s="149"/>
      <c r="Z212" s="149"/>
    </row>
    <row r="213" ht="11.25" customHeight="1">
      <c r="A213" s="149"/>
      <c r="B213" s="149"/>
      <c r="C213" s="149"/>
      <c r="D213" s="149"/>
      <c r="E213" s="149"/>
      <c r="F213" s="149"/>
      <c r="G213" s="215"/>
      <c r="H213" s="215"/>
      <c r="I213" s="215"/>
      <c r="J213" s="149"/>
      <c r="K213" s="149"/>
      <c r="L213" s="149"/>
      <c r="M213" s="149"/>
      <c r="N213" s="149"/>
      <c r="O213" s="149"/>
      <c r="P213" s="149"/>
      <c r="Q213" s="149"/>
      <c r="R213" s="149"/>
      <c r="S213" s="149"/>
      <c r="T213" s="149"/>
      <c r="U213" s="149"/>
      <c r="V213" s="149"/>
      <c r="W213" s="149"/>
      <c r="X213" s="149"/>
      <c r="Y213" s="149"/>
      <c r="Z213" s="149"/>
    </row>
    <row r="214" ht="11.25" customHeight="1">
      <c r="A214" s="149"/>
      <c r="B214" s="149"/>
      <c r="C214" s="149"/>
      <c r="D214" s="149"/>
      <c r="E214" s="149"/>
      <c r="F214" s="149"/>
      <c r="G214" s="215"/>
      <c r="H214" s="215"/>
      <c r="I214" s="215"/>
      <c r="J214" s="149"/>
      <c r="K214" s="149"/>
      <c r="L214" s="149"/>
      <c r="M214" s="149"/>
      <c r="N214" s="149"/>
      <c r="O214" s="149"/>
      <c r="P214" s="149"/>
      <c r="Q214" s="149"/>
      <c r="R214" s="149"/>
      <c r="S214" s="149"/>
      <c r="T214" s="149"/>
      <c r="U214" s="149"/>
      <c r="V214" s="149"/>
      <c r="W214" s="149"/>
      <c r="X214" s="149"/>
      <c r="Y214" s="149"/>
      <c r="Z214" s="149"/>
    </row>
    <row r="215" ht="11.25" customHeight="1">
      <c r="A215" s="149"/>
      <c r="B215" s="149"/>
      <c r="C215" s="149"/>
      <c r="D215" s="149"/>
      <c r="E215" s="149"/>
      <c r="F215" s="149"/>
      <c r="G215" s="215"/>
      <c r="H215" s="215"/>
      <c r="I215" s="215"/>
      <c r="J215" s="149"/>
      <c r="K215" s="149"/>
      <c r="L215" s="149"/>
      <c r="M215" s="149"/>
      <c r="N215" s="149"/>
      <c r="O215" s="149"/>
      <c r="P215" s="149"/>
      <c r="Q215" s="149"/>
      <c r="R215" s="149"/>
      <c r="S215" s="149"/>
      <c r="T215" s="149"/>
      <c r="U215" s="149"/>
      <c r="V215" s="149"/>
      <c r="W215" s="149"/>
      <c r="X215" s="149"/>
      <c r="Y215" s="149"/>
      <c r="Z215" s="149"/>
    </row>
    <row r="216" ht="11.25" customHeight="1">
      <c r="A216" s="149"/>
      <c r="B216" s="149"/>
      <c r="C216" s="149"/>
      <c r="D216" s="149"/>
      <c r="E216" s="149"/>
      <c r="F216" s="149"/>
      <c r="G216" s="215"/>
      <c r="H216" s="215"/>
      <c r="I216" s="215"/>
      <c r="J216" s="149"/>
      <c r="K216" s="149"/>
      <c r="L216" s="149"/>
      <c r="M216" s="149"/>
      <c r="N216" s="149"/>
      <c r="O216" s="149"/>
      <c r="P216" s="149"/>
      <c r="Q216" s="149"/>
      <c r="R216" s="149"/>
      <c r="S216" s="149"/>
      <c r="T216" s="149"/>
      <c r="U216" s="149"/>
      <c r="V216" s="149"/>
      <c r="W216" s="149"/>
      <c r="X216" s="149"/>
      <c r="Y216" s="149"/>
      <c r="Z216" s="149"/>
    </row>
    <row r="217" ht="11.25" customHeight="1">
      <c r="A217" s="149"/>
      <c r="B217" s="149"/>
      <c r="C217" s="149"/>
      <c r="D217" s="149"/>
      <c r="E217" s="149"/>
      <c r="F217" s="149"/>
      <c r="G217" s="215"/>
      <c r="H217" s="215"/>
      <c r="I217" s="215"/>
      <c r="J217" s="149"/>
      <c r="K217" s="149"/>
      <c r="L217" s="149"/>
      <c r="M217" s="149"/>
      <c r="N217" s="149"/>
      <c r="O217" s="149"/>
      <c r="P217" s="149"/>
      <c r="Q217" s="149"/>
      <c r="R217" s="149"/>
      <c r="S217" s="149"/>
      <c r="T217" s="149"/>
      <c r="U217" s="149"/>
      <c r="V217" s="149"/>
      <c r="W217" s="149"/>
      <c r="X217" s="149"/>
      <c r="Y217" s="149"/>
      <c r="Z217" s="149"/>
    </row>
    <row r="218" ht="11.25" customHeight="1">
      <c r="A218" s="149"/>
      <c r="B218" s="149"/>
      <c r="C218" s="149"/>
      <c r="D218" s="149"/>
      <c r="E218" s="149"/>
      <c r="F218" s="149"/>
      <c r="G218" s="215"/>
      <c r="H218" s="215"/>
      <c r="I218" s="215"/>
      <c r="J218" s="149"/>
      <c r="K218" s="149"/>
      <c r="L218" s="149"/>
      <c r="M218" s="149"/>
      <c r="N218" s="149"/>
      <c r="O218" s="149"/>
      <c r="P218" s="149"/>
      <c r="Q218" s="149"/>
      <c r="R218" s="149"/>
      <c r="S218" s="149"/>
      <c r="T218" s="149"/>
      <c r="U218" s="149"/>
      <c r="V218" s="149"/>
      <c r="W218" s="149"/>
      <c r="X218" s="149"/>
      <c r="Y218" s="149"/>
      <c r="Z218" s="149"/>
    </row>
    <row r="219" ht="11.25" customHeight="1">
      <c r="A219" s="149"/>
      <c r="B219" s="149"/>
      <c r="C219" s="149"/>
      <c r="D219" s="149"/>
      <c r="E219" s="149"/>
      <c r="F219" s="149"/>
      <c r="G219" s="215"/>
      <c r="H219" s="215"/>
      <c r="I219" s="215"/>
      <c r="J219" s="149"/>
      <c r="K219" s="149"/>
      <c r="L219" s="149"/>
      <c r="M219" s="149"/>
      <c r="N219" s="149"/>
      <c r="O219" s="149"/>
      <c r="P219" s="149"/>
      <c r="Q219" s="149"/>
      <c r="R219" s="149"/>
      <c r="S219" s="149"/>
      <c r="T219" s="149"/>
      <c r="U219" s="149"/>
      <c r="V219" s="149"/>
      <c r="W219" s="149"/>
      <c r="X219" s="149"/>
      <c r="Y219" s="149"/>
      <c r="Z219" s="149"/>
    </row>
    <row r="220" ht="11.25" customHeight="1">
      <c r="A220" s="149"/>
      <c r="B220" s="149"/>
      <c r="C220" s="149"/>
      <c r="D220" s="149"/>
      <c r="E220" s="149"/>
      <c r="F220" s="149"/>
      <c r="G220" s="215"/>
      <c r="H220" s="215"/>
      <c r="I220" s="215"/>
      <c r="J220" s="149"/>
      <c r="K220" s="149"/>
      <c r="L220" s="149"/>
      <c r="M220" s="149"/>
      <c r="N220" s="149"/>
      <c r="O220" s="149"/>
      <c r="P220" s="149"/>
      <c r="Q220" s="149"/>
      <c r="R220" s="149"/>
      <c r="S220" s="149"/>
      <c r="T220" s="149"/>
      <c r="U220" s="149"/>
      <c r="V220" s="149"/>
      <c r="W220" s="149"/>
      <c r="X220" s="149"/>
      <c r="Y220" s="149"/>
      <c r="Z220" s="149"/>
    </row>
    <row r="221" ht="11.25" customHeight="1">
      <c r="A221" s="149"/>
      <c r="B221" s="149"/>
      <c r="C221" s="149"/>
      <c r="D221" s="149"/>
      <c r="E221" s="149"/>
      <c r="F221" s="149"/>
      <c r="G221" s="215"/>
      <c r="H221" s="215"/>
      <c r="I221" s="215"/>
      <c r="J221" s="149"/>
      <c r="K221" s="149"/>
      <c r="L221" s="149"/>
      <c r="M221" s="149"/>
      <c r="N221" s="149"/>
      <c r="O221" s="149"/>
      <c r="P221" s="149"/>
      <c r="Q221" s="149"/>
      <c r="R221" s="149"/>
      <c r="S221" s="149"/>
      <c r="T221" s="149"/>
      <c r="U221" s="149"/>
      <c r="V221" s="149"/>
      <c r="W221" s="149"/>
      <c r="X221" s="149"/>
      <c r="Y221" s="149"/>
      <c r="Z221" s="149"/>
    </row>
    <row r="222" ht="11.25" customHeight="1">
      <c r="A222" s="149"/>
      <c r="B222" s="149"/>
      <c r="C222" s="149"/>
      <c r="D222" s="149"/>
      <c r="E222" s="149"/>
      <c r="F222" s="149"/>
      <c r="G222" s="215"/>
      <c r="H222" s="215"/>
      <c r="I222" s="215"/>
      <c r="J222" s="149"/>
      <c r="K222" s="149"/>
      <c r="L222" s="149"/>
      <c r="M222" s="149"/>
      <c r="N222" s="149"/>
      <c r="O222" s="149"/>
      <c r="P222" s="149"/>
      <c r="Q222" s="149"/>
      <c r="R222" s="149"/>
      <c r="S222" s="149"/>
      <c r="T222" s="149"/>
      <c r="U222" s="149"/>
      <c r="V222" s="149"/>
      <c r="W222" s="149"/>
      <c r="X222" s="149"/>
      <c r="Y222" s="149"/>
      <c r="Z222" s="149"/>
    </row>
    <row r="223" ht="11.25" customHeight="1">
      <c r="A223" s="149"/>
      <c r="B223" s="149"/>
      <c r="C223" s="149"/>
      <c r="D223" s="149"/>
      <c r="E223" s="149"/>
      <c r="F223" s="149"/>
      <c r="G223" s="215"/>
      <c r="H223" s="215"/>
      <c r="I223" s="215"/>
      <c r="J223" s="149"/>
      <c r="K223" s="149"/>
      <c r="L223" s="149"/>
      <c r="M223" s="149"/>
      <c r="N223" s="149"/>
      <c r="O223" s="149"/>
      <c r="P223" s="149"/>
      <c r="Q223" s="149"/>
      <c r="R223" s="149"/>
      <c r="S223" s="149"/>
      <c r="T223" s="149"/>
      <c r="U223" s="149"/>
      <c r="V223" s="149"/>
      <c r="W223" s="149"/>
      <c r="X223" s="149"/>
      <c r="Y223" s="149"/>
      <c r="Z223" s="149"/>
    </row>
    <row r="224" ht="11.25" customHeight="1">
      <c r="A224" s="149"/>
      <c r="B224" s="149"/>
      <c r="C224" s="149"/>
      <c r="D224" s="149"/>
      <c r="E224" s="149"/>
      <c r="F224" s="149"/>
      <c r="G224" s="215"/>
      <c r="H224" s="215"/>
      <c r="I224" s="215"/>
      <c r="J224" s="149"/>
      <c r="K224" s="149"/>
      <c r="L224" s="149"/>
      <c r="M224" s="149"/>
      <c r="N224" s="149"/>
      <c r="O224" s="149"/>
      <c r="P224" s="149"/>
      <c r="Q224" s="149"/>
      <c r="R224" s="149"/>
      <c r="S224" s="149"/>
      <c r="T224" s="149"/>
      <c r="U224" s="149"/>
      <c r="V224" s="149"/>
      <c r="W224" s="149"/>
      <c r="X224" s="149"/>
      <c r="Y224" s="149"/>
      <c r="Z224" s="149"/>
    </row>
    <row r="225" ht="11.25" customHeight="1">
      <c r="A225" s="149"/>
      <c r="B225" s="149"/>
      <c r="C225" s="149"/>
      <c r="D225" s="149"/>
      <c r="E225" s="149"/>
      <c r="F225" s="149"/>
      <c r="G225" s="215"/>
      <c r="H225" s="215"/>
      <c r="I225" s="215"/>
      <c r="J225" s="149"/>
      <c r="K225" s="149"/>
      <c r="L225" s="149"/>
      <c r="M225" s="149"/>
      <c r="N225" s="149"/>
      <c r="O225" s="149"/>
      <c r="P225" s="149"/>
      <c r="Q225" s="149"/>
      <c r="R225" s="149"/>
      <c r="S225" s="149"/>
      <c r="T225" s="149"/>
      <c r="U225" s="149"/>
      <c r="V225" s="149"/>
      <c r="W225" s="149"/>
      <c r="X225" s="149"/>
      <c r="Y225" s="149"/>
      <c r="Z225" s="149"/>
    </row>
    <row r="226" ht="11.25" customHeight="1">
      <c r="A226" s="149"/>
      <c r="B226" s="149"/>
      <c r="C226" s="149"/>
      <c r="D226" s="149"/>
      <c r="E226" s="149"/>
      <c r="F226" s="149"/>
      <c r="G226" s="215"/>
      <c r="H226" s="215"/>
      <c r="I226" s="215"/>
      <c r="J226" s="149"/>
      <c r="K226" s="149"/>
      <c r="L226" s="149"/>
      <c r="M226" s="149"/>
      <c r="N226" s="149"/>
      <c r="O226" s="149"/>
      <c r="P226" s="149"/>
      <c r="Q226" s="149"/>
      <c r="R226" s="149"/>
      <c r="S226" s="149"/>
      <c r="T226" s="149"/>
      <c r="U226" s="149"/>
      <c r="V226" s="149"/>
      <c r="W226" s="149"/>
      <c r="X226" s="149"/>
      <c r="Y226" s="149"/>
      <c r="Z226" s="149"/>
    </row>
    <row r="227" ht="11.25" customHeight="1">
      <c r="A227" s="149"/>
      <c r="B227" s="149"/>
      <c r="C227" s="149"/>
      <c r="D227" s="149"/>
      <c r="E227" s="149"/>
      <c r="F227" s="149"/>
      <c r="G227" s="215"/>
      <c r="H227" s="215"/>
      <c r="I227" s="215"/>
      <c r="J227" s="149"/>
      <c r="K227" s="149"/>
      <c r="L227" s="149"/>
      <c r="M227" s="149"/>
      <c r="N227" s="149"/>
      <c r="O227" s="149"/>
      <c r="P227" s="149"/>
      <c r="Q227" s="149"/>
      <c r="R227" s="149"/>
      <c r="S227" s="149"/>
      <c r="T227" s="149"/>
      <c r="U227" s="149"/>
      <c r="V227" s="149"/>
      <c r="W227" s="149"/>
      <c r="X227" s="149"/>
      <c r="Y227" s="149"/>
      <c r="Z227" s="149"/>
    </row>
    <row r="228" ht="11.25" customHeight="1">
      <c r="A228" s="149"/>
      <c r="B228" s="149"/>
      <c r="C228" s="149"/>
      <c r="D228" s="149"/>
      <c r="E228" s="149"/>
      <c r="F228" s="149"/>
      <c r="G228" s="215"/>
      <c r="H228" s="215"/>
      <c r="I228" s="215"/>
      <c r="J228" s="149"/>
      <c r="K228" s="149"/>
      <c r="L228" s="149"/>
      <c r="M228" s="149"/>
      <c r="N228" s="149"/>
      <c r="O228" s="149"/>
      <c r="P228" s="149"/>
      <c r="Q228" s="149"/>
      <c r="R228" s="149"/>
      <c r="S228" s="149"/>
      <c r="T228" s="149"/>
      <c r="U228" s="149"/>
      <c r="V228" s="149"/>
      <c r="W228" s="149"/>
      <c r="X228" s="149"/>
      <c r="Y228" s="149"/>
      <c r="Z228" s="149"/>
    </row>
    <row r="229" ht="11.25" customHeight="1">
      <c r="A229" s="149"/>
      <c r="B229" s="149"/>
      <c r="C229" s="149"/>
      <c r="D229" s="149"/>
      <c r="E229" s="149"/>
      <c r="F229" s="149"/>
      <c r="G229" s="215"/>
      <c r="H229" s="215"/>
      <c r="I229" s="215"/>
      <c r="J229" s="149"/>
      <c r="K229" s="149"/>
      <c r="L229" s="149"/>
      <c r="M229" s="149"/>
      <c r="N229" s="149"/>
      <c r="O229" s="149"/>
      <c r="P229" s="149"/>
      <c r="Q229" s="149"/>
      <c r="R229" s="149"/>
      <c r="S229" s="149"/>
      <c r="T229" s="149"/>
      <c r="U229" s="149"/>
      <c r="V229" s="149"/>
      <c r="W229" s="149"/>
      <c r="X229" s="149"/>
      <c r="Y229" s="149"/>
      <c r="Z229" s="149"/>
    </row>
    <row r="230" ht="11.25" customHeight="1">
      <c r="A230" s="149"/>
      <c r="B230" s="149"/>
      <c r="C230" s="149"/>
      <c r="D230" s="149"/>
      <c r="E230" s="149"/>
      <c r="F230" s="149"/>
      <c r="G230" s="215"/>
      <c r="H230" s="215"/>
      <c r="I230" s="215"/>
      <c r="J230" s="149"/>
      <c r="K230" s="149"/>
      <c r="L230" s="149"/>
      <c r="M230" s="149"/>
      <c r="N230" s="149"/>
      <c r="O230" s="149"/>
      <c r="P230" s="149"/>
      <c r="Q230" s="149"/>
      <c r="R230" s="149"/>
      <c r="S230" s="149"/>
      <c r="T230" s="149"/>
      <c r="U230" s="149"/>
      <c r="V230" s="149"/>
      <c r="W230" s="149"/>
      <c r="X230" s="149"/>
      <c r="Y230" s="149"/>
      <c r="Z230" s="149"/>
    </row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7" footer="0.0" header="0.0" left="0.36" right="0.25" top="0.92"/>
  <pageSetup scale="90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6.75"/>
    <col customWidth="1" min="3" max="3" width="10.88"/>
    <col customWidth="1" min="4" max="4" width="7.38"/>
    <col customWidth="1" min="5" max="5" width="7.0"/>
    <col customWidth="1" min="6" max="6" width="8.63"/>
    <col customWidth="1" min="7" max="7" width="10.75"/>
    <col customWidth="1" min="8" max="8" width="9.88"/>
    <col customWidth="1" min="9" max="9" width="20.88"/>
    <col customWidth="1" min="10" max="10" width="9.88"/>
    <col customWidth="1" min="11" max="26" width="9.13"/>
  </cols>
  <sheetData>
    <row r="1" ht="11.25" customHeight="1">
      <c r="A1" s="149"/>
      <c r="B1" s="149"/>
      <c r="C1" s="149"/>
      <c r="D1" s="149"/>
      <c r="E1" s="149"/>
      <c r="F1" s="149"/>
      <c r="G1" s="215"/>
      <c r="H1" s="215"/>
      <c r="I1" s="215"/>
      <c r="J1" s="215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</row>
    <row r="2" ht="11.25" customHeight="1">
      <c r="A2" s="184" t="s">
        <v>515</v>
      </c>
      <c r="B2" s="184" t="s">
        <v>482</v>
      </c>
      <c r="C2" s="184" t="s">
        <v>568</v>
      </c>
      <c r="D2" s="184" t="s">
        <v>569</v>
      </c>
      <c r="E2" s="184" t="s">
        <v>570</v>
      </c>
      <c r="F2" s="184" t="s">
        <v>571</v>
      </c>
      <c r="G2" s="184" t="s">
        <v>572</v>
      </c>
      <c r="H2" s="184" t="s">
        <v>573</v>
      </c>
      <c r="I2" s="184" t="s">
        <v>574</v>
      </c>
      <c r="J2" s="184" t="s">
        <v>575</v>
      </c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</row>
    <row r="3" ht="11.25" customHeight="1">
      <c r="A3" s="193"/>
      <c r="B3" s="149"/>
      <c r="C3" s="149"/>
      <c r="D3" s="149"/>
      <c r="E3" s="149"/>
      <c r="F3" s="149"/>
      <c r="G3" s="215"/>
      <c r="H3" s="196"/>
      <c r="I3" s="215"/>
      <c r="J3" s="19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9"/>
      <c r="X3" s="149"/>
      <c r="Y3" s="149"/>
      <c r="Z3" s="149"/>
    </row>
    <row r="4" ht="11.25" customHeight="1">
      <c r="A4" s="198" t="s">
        <v>10</v>
      </c>
      <c r="B4" s="149"/>
      <c r="C4" s="149"/>
      <c r="D4" s="149"/>
      <c r="E4" s="149"/>
      <c r="F4" s="149"/>
      <c r="G4" s="215"/>
      <c r="H4" s="196"/>
      <c r="I4" s="215"/>
      <c r="J4" s="19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</row>
    <row r="5" ht="11.25" customHeight="1">
      <c r="A5" s="200" t="s">
        <v>543</v>
      </c>
      <c r="B5" s="201"/>
      <c r="C5" s="201"/>
      <c r="D5" s="202"/>
      <c r="E5" s="201"/>
      <c r="F5" s="202"/>
      <c r="G5" s="216"/>
      <c r="H5" s="203"/>
      <c r="I5" s="203"/>
      <c r="J5" s="204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  <c r="Y5" s="149"/>
      <c r="Z5" s="149"/>
    </row>
    <row r="6" ht="11.25" customHeight="1">
      <c r="A6" s="200" t="s">
        <v>544</v>
      </c>
      <c r="B6" s="201"/>
      <c r="C6" s="201"/>
      <c r="D6" s="202"/>
      <c r="E6" s="201"/>
      <c r="F6" s="202"/>
      <c r="G6" s="216"/>
      <c r="H6" s="203"/>
      <c r="I6" s="203"/>
      <c r="J6" s="204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</row>
    <row r="7" ht="11.25" customHeight="1">
      <c r="A7" s="200" t="s">
        <v>545</v>
      </c>
      <c r="B7" s="201"/>
      <c r="C7" s="201"/>
      <c r="D7" s="206"/>
      <c r="E7" s="201"/>
      <c r="F7" s="202"/>
      <c r="G7" s="216"/>
      <c r="H7" s="203"/>
      <c r="I7" s="203"/>
      <c r="J7" s="204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</row>
    <row r="8" ht="11.25" customHeight="1">
      <c r="A8" s="200" t="s">
        <v>546</v>
      </c>
      <c r="B8" s="201"/>
      <c r="C8" s="201"/>
      <c r="D8" s="206"/>
      <c r="E8" s="201"/>
      <c r="F8" s="202"/>
      <c r="G8" s="216"/>
      <c r="H8" s="203"/>
      <c r="I8" s="203"/>
      <c r="J8" s="204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</row>
    <row r="9" ht="11.25" customHeight="1">
      <c r="A9" s="200" t="s">
        <v>547</v>
      </c>
      <c r="B9" s="201"/>
      <c r="C9" s="201"/>
      <c r="D9" s="206"/>
      <c r="E9" s="201"/>
      <c r="F9" s="202"/>
      <c r="G9" s="216"/>
      <c r="H9" s="203"/>
      <c r="I9" s="203"/>
      <c r="J9" s="204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</row>
    <row r="10" ht="11.25" customHeight="1">
      <c r="A10" s="207" t="s">
        <v>541</v>
      </c>
      <c r="B10" s="217"/>
      <c r="C10" s="217"/>
      <c r="D10" s="218"/>
      <c r="E10" s="217"/>
      <c r="F10" s="218"/>
      <c r="G10" s="219"/>
      <c r="H10" s="220"/>
      <c r="I10" s="219"/>
      <c r="J10" s="221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</row>
    <row r="11" ht="11.25" customHeight="1">
      <c r="A11" s="193"/>
      <c r="B11" s="169"/>
      <c r="C11" s="149"/>
      <c r="D11" s="149"/>
      <c r="E11" s="149"/>
      <c r="F11" s="170"/>
      <c r="G11" s="215"/>
      <c r="H11" s="196"/>
      <c r="I11" s="215"/>
      <c r="J11" s="197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</row>
    <row r="12" ht="11.25" customHeight="1">
      <c r="A12" s="198" t="s">
        <v>13</v>
      </c>
      <c r="B12" s="169"/>
      <c r="C12" s="169"/>
      <c r="D12" s="149"/>
      <c r="E12" s="169"/>
      <c r="F12" s="170"/>
      <c r="G12" s="215"/>
      <c r="H12" s="196"/>
      <c r="I12" s="215"/>
      <c r="J12" s="197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  <c r="X12" s="149"/>
      <c r="Y12" s="149"/>
      <c r="Z12" s="149"/>
    </row>
    <row r="13" ht="11.25" customHeight="1">
      <c r="A13" s="200" t="s">
        <v>522</v>
      </c>
      <c r="B13" s="201"/>
      <c r="C13" s="201"/>
      <c r="D13" s="202"/>
      <c r="E13" s="201"/>
      <c r="F13" s="202"/>
      <c r="G13" s="203"/>
      <c r="H13" s="203"/>
      <c r="I13" s="203"/>
      <c r="J13" s="204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  <c r="Y13" s="149"/>
      <c r="Z13" s="149"/>
    </row>
    <row r="14" ht="11.25" customHeight="1">
      <c r="A14" s="200" t="s">
        <v>523</v>
      </c>
      <c r="B14" s="201"/>
      <c r="C14" s="201"/>
      <c r="D14" s="202"/>
      <c r="E14" s="201"/>
      <c r="F14" s="202"/>
      <c r="G14" s="203"/>
      <c r="H14" s="203"/>
      <c r="I14" s="203"/>
      <c r="J14" s="204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149"/>
      <c r="Z14" s="149"/>
    </row>
    <row r="15" ht="11.25" customHeight="1">
      <c r="A15" s="200" t="s">
        <v>524</v>
      </c>
      <c r="B15" s="201"/>
      <c r="C15" s="201"/>
      <c r="D15" s="202"/>
      <c r="E15" s="201"/>
      <c r="F15" s="202"/>
      <c r="G15" s="203"/>
      <c r="H15" s="203"/>
      <c r="I15" s="203"/>
      <c r="J15" s="204"/>
      <c r="K15" s="149"/>
      <c r="L15" s="149"/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W15" s="149"/>
      <c r="X15" s="149"/>
      <c r="Y15" s="149"/>
      <c r="Z15" s="149"/>
    </row>
    <row r="16" ht="11.25" customHeight="1">
      <c r="A16" s="200" t="s">
        <v>525</v>
      </c>
      <c r="B16" s="201"/>
      <c r="C16" s="201"/>
      <c r="D16" s="202"/>
      <c r="E16" s="201"/>
      <c r="F16" s="202"/>
      <c r="G16" s="203"/>
      <c r="H16" s="203"/>
      <c r="I16" s="203"/>
      <c r="J16" s="204"/>
      <c r="K16" s="149"/>
      <c r="L16" s="149"/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W16" s="149"/>
      <c r="X16" s="149"/>
      <c r="Y16" s="149"/>
      <c r="Z16" s="149"/>
    </row>
    <row r="17" ht="11.25" customHeight="1">
      <c r="A17" s="200" t="s">
        <v>526</v>
      </c>
      <c r="B17" s="201"/>
      <c r="C17" s="201"/>
      <c r="D17" s="202"/>
      <c r="E17" s="201"/>
      <c r="F17" s="202"/>
      <c r="G17" s="203"/>
      <c r="H17" s="203"/>
      <c r="I17" s="203"/>
      <c r="J17" s="204"/>
      <c r="K17" s="149"/>
      <c r="L17" s="149"/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W17" s="149"/>
      <c r="X17" s="149"/>
      <c r="Y17" s="149"/>
      <c r="Z17" s="149"/>
    </row>
    <row r="18" ht="11.25" customHeight="1">
      <c r="A18" s="200" t="s">
        <v>529</v>
      </c>
      <c r="B18" s="201"/>
      <c r="C18" s="201"/>
      <c r="D18" s="202"/>
      <c r="E18" s="201"/>
      <c r="F18" s="202"/>
      <c r="G18" s="203"/>
      <c r="H18" s="203"/>
      <c r="I18" s="203"/>
      <c r="J18" s="204"/>
      <c r="K18" s="149"/>
      <c r="L18" s="149"/>
      <c r="M18" s="149"/>
      <c r="N18" s="149"/>
      <c r="O18" s="149"/>
      <c r="P18" s="149"/>
      <c r="Q18" s="149"/>
      <c r="R18" s="149"/>
      <c r="S18" s="149"/>
      <c r="T18" s="149"/>
      <c r="U18" s="149"/>
      <c r="V18" s="149"/>
      <c r="W18" s="149"/>
      <c r="X18" s="149"/>
      <c r="Y18" s="149"/>
      <c r="Z18" s="149"/>
    </row>
    <row r="19" ht="11.25" customHeight="1">
      <c r="A19" s="200" t="s">
        <v>527</v>
      </c>
      <c r="B19" s="201"/>
      <c r="C19" s="201"/>
      <c r="D19" s="202"/>
      <c r="E19" s="201"/>
      <c r="F19" s="202"/>
      <c r="G19" s="203"/>
      <c r="H19" s="203"/>
      <c r="I19" s="203"/>
      <c r="J19" s="204"/>
      <c r="K19" s="149"/>
      <c r="L19" s="149"/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W19" s="149"/>
      <c r="X19" s="149"/>
      <c r="Y19" s="149"/>
      <c r="Z19" s="149"/>
    </row>
    <row r="20" ht="11.25" customHeight="1">
      <c r="A20" s="200" t="s">
        <v>528</v>
      </c>
      <c r="B20" s="201"/>
      <c r="C20" s="201"/>
      <c r="D20" s="202"/>
      <c r="E20" s="201"/>
      <c r="F20" s="202"/>
      <c r="G20" s="203"/>
      <c r="H20" s="203"/>
      <c r="I20" s="203"/>
      <c r="J20" s="204"/>
      <c r="K20" s="149"/>
      <c r="L20" s="149"/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W20" s="149"/>
      <c r="X20" s="149"/>
      <c r="Y20" s="149"/>
      <c r="Z20" s="149"/>
    </row>
    <row r="21" ht="11.25" customHeight="1">
      <c r="A21" s="200" t="s">
        <v>530</v>
      </c>
      <c r="B21" s="201"/>
      <c r="C21" s="201"/>
      <c r="D21" s="202"/>
      <c r="E21" s="201"/>
      <c r="F21" s="202"/>
      <c r="G21" s="203"/>
      <c r="H21" s="203"/>
      <c r="I21" s="203"/>
      <c r="J21" s="204"/>
      <c r="K21" s="149"/>
      <c r="L21" s="149"/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W21" s="149"/>
      <c r="X21" s="149"/>
      <c r="Y21" s="149"/>
      <c r="Z21" s="149"/>
    </row>
    <row r="22" ht="11.25" customHeight="1">
      <c r="A22" s="200" t="s">
        <v>531</v>
      </c>
      <c r="B22" s="201"/>
      <c r="C22" s="201"/>
      <c r="D22" s="202"/>
      <c r="E22" s="201"/>
      <c r="F22" s="202"/>
      <c r="G22" s="203"/>
      <c r="H22" s="203"/>
      <c r="I22" s="203"/>
      <c r="J22" s="204"/>
      <c r="K22" s="149"/>
      <c r="L22" s="149"/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W22" s="149"/>
      <c r="X22" s="149"/>
      <c r="Y22" s="149"/>
      <c r="Z22" s="149"/>
    </row>
    <row r="23" ht="11.25" customHeight="1">
      <c r="A23" s="200" t="s">
        <v>532</v>
      </c>
      <c r="B23" s="201"/>
      <c r="C23" s="201"/>
      <c r="D23" s="202"/>
      <c r="E23" s="201"/>
      <c r="F23" s="202"/>
      <c r="G23" s="203"/>
      <c r="H23" s="203"/>
      <c r="I23" s="203"/>
      <c r="J23" s="204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</row>
    <row r="24" ht="11.25" customHeight="1">
      <c r="A24" s="200" t="s">
        <v>533</v>
      </c>
      <c r="B24" s="201"/>
      <c r="C24" s="201"/>
      <c r="D24" s="202"/>
      <c r="E24" s="201"/>
      <c r="F24" s="202"/>
      <c r="G24" s="203"/>
      <c r="H24" s="203"/>
      <c r="I24" s="203"/>
      <c r="J24" s="204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</row>
    <row r="25" ht="11.25" customHeight="1">
      <c r="A25" s="200" t="s">
        <v>534</v>
      </c>
      <c r="B25" s="201"/>
      <c r="C25" s="201"/>
      <c r="D25" s="202"/>
      <c r="E25" s="201"/>
      <c r="F25" s="202"/>
      <c r="G25" s="203"/>
      <c r="H25" s="203"/>
      <c r="I25" s="203"/>
      <c r="J25" s="204"/>
      <c r="K25" s="149"/>
      <c r="L25" s="149"/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W25" s="149"/>
      <c r="X25" s="149"/>
      <c r="Y25" s="149"/>
      <c r="Z25" s="149"/>
    </row>
    <row r="26" ht="11.25" customHeight="1">
      <c r="A26" s="200" t="s">
        <v>535</v>
      </c>
      <c r="B26" s="201"/>
      <c r="C26" s="201"/>
      <c r="D26" s="202"/>
      <c r="E26" s="201"/>
      <c r="F26" s="202"/>
      <c r="G26" s="203"/>
      <c r="H26" s="203"/>
      <c r="I26" s="203"/>
      <c r="J26" s="204"/>
      <c r="K26" s="149"/>
      <c r="L26" s="149"/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W26" s="149"/>
      <c r="X26" s="149"/>
      <c r="Y26" s="149"/>
      <c r="Z26" s="149"/>
    </row>
    <row r="27" ht="11.25" customHeight="1">
      <c r="A27" s="200" t="s">
        <v>537</v>
      </c>
      <c r="B27" s="201"/>
      <c r="C27" s="201"/>
      <c r="D27" s="202"/>
      <c r="E27" s="201"/>
      <c r="F27" s="202"/>
      <c r="G27" s="203"/>
      <c r="H27" s="203"/>
      <c r="I27" s="203"/>
      <c r="J27" s="204"/>
      <c r="K27" s="149"/>
      <c r="L27" s="149"/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W27" s="149"/>
      <c r="X27" s="149"/>
      <c r="Y27" s="149"/>
      <c r="Z27" s="149"/>
    </row>
    <row r="28" ht="11.25" customHeight="1">
      <c r="A28" s="200" t="s">
        <v>538</v>
      </c>
      <c r="B28" s="201"/>
      <c r="C28" s="201"/>
      <c r="D28" s="202"/>
      <c r="E28" s="201"/>
      <c r="F28" s="202"/>
      <c r="G28" s="203"/>
      <c r="H28" s="203"/>
      <c r="I28" s="203"/>
      <c r="J28" s="204"/>
      <c r="K28" s="149"/>
      <c r="L28" s="149"/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W28" s="149"/>
      <c r="X28" s="149"/>
      <c r="Y28" s="149"/>
      <c r="Z28" s="149"/>
    </row>
    <row r="29" ht="11.25" customHeight="1">
      <c r="A29" s="207" t="s">
        <v>541</v>
      </c>
      <c r="B29" s="217"/>
      <c r="C29" s="217"/>
      <c r="D29" s="218"/>
      <c r="E29" s="217"/>
      <c r="F29" s="218"/>
      <c r="G29" s="219"/>
      <c r="H29" s="220"/>
      <c r="I29" s="219"/>
      <c r="J29" s="221"/>
      <c r="K29" s="149"/>
      <c r="L29" s="149"/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W29" s="149"/>
      <c r="X29" s="149"/>
      <c r="Y29" s="149"/>
      <c r="Z29" s="149"/>
    </row>
    <row r="30" ht="11.25" customHeight="1">
      <c r="A30" s="193"/>
      <c r="B30" s="149"/>
      <c r="C30" s="149"/>
      <c r="D30" s="149"/>
      <c r="E30" s="149"/>
      <c r="F30" s="170"/>
      <c r="G30" s="215"/>
      <c r="H30" s="196"/>
      <c r="I30" s="215"/>
      <c r="J30" s="197"/>
      <c r="K30" s="149"/>
      <c r="L30" s="149"/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W30" s="149"/>
      <c r="X30" s="149"/>
      <c r="Y30" s="149"/>
      <c r="Z30" s="149"/>
    </row>
    <row r="31" ht="11.25" customHeight="1">
      <c r="A31" s="193"/>
      <c r="B31" s="149"/>
      <c r="C31" s="149"/>
      <c r="D31" s="149"/>
      <c r="E31" s="149"/>
      <c r="F31" s="149"/>
      <c r="G31" s="214"/>
      <c r="H31" s="214"/>
      <c r="I31" s="214"/>
      <c r="J31" s="199"/>
      <c r="K31" s="149"/>
      <c r="L31" s="149"/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W31" s="149"/>
      <c r="X31" s="149"/>
      <c r="Y31" s="149"/>
      <c r="Z31" s="149"/>
    </row>
    <row r="32" ht="11.25" customHeight="1">
      <c r="A32" s="194" t="s">
        <v>576</v>
      </c>
      <c r="B32" s="195"/>
      <c r="C32" s="195"/>
      <c r="D32" s="195"/>
      <c r="E32" s="195"/>
      <c r="F32" s="195"/>
      <c r="G32" s="222"/>
      <c r="H32" s="222"/>
      <c r="I32" s="222"/>
      <c r="J32" s="223"/>
      <c r="K32" s="149"/>
      <c r="L32" s="149"/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W32" s="149"/>
      <c r="X32" s="149"/>
      <c r="Y32" s="149"/>
      <c r="Z32" s="149"/>
    </row>
    <row r="33" ht="11.25" customHeight="1">
      <c r="A33" s="149"/>
      <c r="B33" s="149"/>
      <c r="C33" s="149"/>
      <c r="D33" s="149"/>
      <c r="E33" s="149"/>
      <c r="F33" s="149"/>
      <c r="G33" s="215"/>
      <c r="H33" s="215"/>
      <c r="I33" s="215"/>
      <c r="J33" s="215"/>
      <c r="K33" s="149"/>
      <c r="L33" s="149"/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9"/>
      <c r="Y33" s="149"/>
      <c r="Z33" s="149"/>
    </row>
    <row r="34" ht="11.25" customHeight="1">
      <c r="A34" s="149"/>
      <c r="B34" s="149"/>
      <c r="C34" s="149"/>
      <c r="D34" s="149"/>
      <c r="E34" s="149"/>
      <c r="F34" s="149"/>
      <c r="G34" s="215"/>
      <c r="H34" s="215"/>
      <c r="I34" s="215"/>
      <c r="J34" s="215"/>
      <c r="K34" s="149"/>
      <c r="L34" s="149"/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W34" s="149"/>
      <c r="X34" s="149"/>
      <c r="Y34" s="149"/>
      <c r="Z34" s="149"/>
    </row>
    <row r="35" ht="11.25" customHeight="1">
      <c r="A35" s="149"/>
      <c r="B35" s="149"/>
      <c r="C35" s="149"/>
      <c r="D35" s="149"/>
      <c r="E35" s="149"/>
      <c r="F35" s="149"/>
      <c r="G35" s="215"/>
      <c r="H35" s="215"/>
      <c r="I35" s="215"/>
      <c r="J35" s="215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</row>
    <row r="36" ht="11.25" customHeight="1">
      <c r="A36" s="149"/>
      <c r="B36" s="149"/>
      <c r="C36" s="149"/>
      <c r="D36" s="149"/>
      <c r="E36" s="149"/>
      <c r="F36" s="149"/>
      <c r="G36" s="215"/>
      <c r="H36" s="215"/>
      <c r="I36" s="215"/>
      <c r="J36" s="215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</row>
    <row r="37" ht="11.25" customHeight="1">
      <c r="A37" s="149"/>
      <c r="B37" s="149"/>
      <c r="C37" s="149"/>
      <c r="D37" s="149"/>
      <c r="E37" s="149"/>
      <c r="F37" s="149"/>
      <c r="G37" s="215"/>
      <c r="H37" s="215"/>
      <c r="I37" s="215"/>
      <c r="J37" s="215"/>
      <c r="K37" s="149"/>
      <c r="L37" s="149"/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W37" s="149"/>
      <c r="X37" s="149"/>
      <c r="Y37" s="149"/>
      <c r="Z37" s="149"/>
    </row>
    <row r="38" ht="11.25" customHeight="1">
      <c r="A38" s="149"/>
      <c r="B38" s="149"/>
      <c r="C38" s="149"/>
      <c r="D38" s="149"/>
      <c r="E38" s="149"/>
      <c r="F38" s="149"/>
      <c r="G38" s="215"/>
      <c r="H38" s="215"/>
      <c r="I38" s="215"/>
      <c r="J38" s="215"/>
      <c r="K38" s="149"/>
      <c r="L38" s="149"/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W38" s="149"/>
      <c r="X38" s="149"/>
      <c r="Y38" s="149"/>
      <c r="Z38" s="149"/>
    </row>
    <row r="39" ht="11.25" customHeight="1">
      <c r="A39" s="149"/>
      <c r="B39" s="149"/>
      <c r="C39" s="149"/>
      <c r="D39" s="149"/>
      <c r="E39" s="149"/>
      <c r="F39" s="149"/>
      <c r="G39" s="215"/>
      <c r="H39" s="215"/>
      <c r="I39" s="215"/>
      <c r="J39" s="215"/>
      <c r="K39" s="149"/>
      <c r="L39" s="149"/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W39" s="149"/>
      <c r="X39" s="149"/>
      <c r="Y39" s="149"/>
      <c r="Z39" s="149"/>
    </row>
    <row r="40" ht="11.25" customHeight="1">
      <c r="A40" s="149"/>
      <c r="B40" s="149"/>
      <c r="C40" s="149"/>
      <c r="D40" s="149"/>
      <c r="E40" s="149"/>
      <c r="F40" s="149"/>
      <c r="G40" s="215"/>
      <c r="H40" s="215"/>
      <c r="I40" s="215"/>
      <c r="J40" s="215"/>
      <c r="K40" s="149"/>
      <c r="L40" s="149"/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W40" s="149"/>
      <c r="X40" s="149"/>
      <c r="Y40" s="149"/>
      <c r="Z40" s="149"/>
    </row>
    <row r="41" ht="11.25" customHeight="1">
      <c r="A41" s="149"/>
      <c r="B41" s="149"/>
      <c r="C41" s="149"/>
      <c r="D41" s="149"/>
      <c r="E41" s="149"/>
      <c r="F41" s="149"/>
      <c r="G41" s="215"/>
      <c r="H41" s="215"/>
      <c r="I41" s="215"/>
      <c r="J41" s="215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</row>
    <row r="42" ht="11.25" customHeight="1">
      <c r="A42" s="149"/>
      <c r="B42" s="149"/>
      <c r="C42" s="149"/>
      <c r="D42" s="149"/>
      <c r="E42" s="149"/>
      <c r="F42" s="149"/>
      <c r="G42" s="215"/>
      <c r="H42" s="215"/>
      <c r="I42" s="215"/>
      <c r="J42" s="215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49"/>
      <c r="Y42" s="149"/>
      <c r="Z42" s="149"/>
    </row>
    <row r="43" ht="11.25" customHeight="1">
      <c r="A43" s="149"/>
      <c r="B43" s="149"/>
      <c r="C43" s="149"/>
      <c r="D43" s="149"/>
      <c r="E43" s="149"/>
      <c r="F43" s="149"/>
      <c r="G43" s="215"/>
      <c r="H43" s="215"/>
      <c r="I43" s="215"/>
      <c r="J43" s="215"/>
      <c r="K43" s="149"/>
      <c r="L43" s="149"/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W43" s="149"/>
      <c r="X43" s="149"/>
      <c r="Y43" s="149"/>
      <c r="Z43" s="149"/>
    </row>
    <row r="44" ht="11.25" customHeight="1">
      <c r="A44" s="149"/>
      <c r="B44" s="149"/>
      <c r="C44" s="149"/>
      <c r="D44" s="149"/>
      <c r="E44" s="149"/>
      <c r="F44" s="149"/>
      <c r="G44" s="215"/>
      <c r="H44" s="215"/>
      <c r="I44" s="215"/>
      <c r="J44" s="215"/>
      <c r="K44" s="149"/>
      <c r="L44" s="149"/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W44" s="149"/>
      <c r="X44" s="149"/>
      <c r="Y44" s="149"/>
      <c r="Z44" s="149"/>
    </row>
    <row r="45" ht="11.25" customHeight="1">
      <c r="A45" s="149"/>
      <c r="B45" s="149"/>
      <c r="C45" s="149"/>
      <c r="D45" s="149"/>
      <c r="E45" s="149"/>
      <c r="F45" s="149"/>
      <c r="G45" s="215"/>
      <c r="H45" s="215"/>
      <c r="I45" s="215"/>
      <c r="J45" s="215"/>
      <c r="K45" s="149"/>
      <c r="L45" s="149"/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W45" s="149"/>
      <c r="X45" s="149"/>
      <c r="Y45" s="149"/>
      <c r="Z45" s="149"/>
    </row>
    <row r="46" ht="11.25" customHeight="1">
      <c r="A46" s="149"/>
      <c r="B46" s="149"/>
      <c r="C46" s="149"/>
      <c r="D46" s="149"/>
      <c r="E46" s="149"/>
      <c r="F46" s="149"/>
      <c r="G46" s="215"/>
      <c r="H46" s="215"/>
      <c r="I46" s="215"/>
      <c r="J46" s="215"/>
      <c r="K46" s="149"/>
      <c r="L46" s="149"/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W46" s="149"/>
      <c r="X46" s="149"/>
      <c r="Y46" s="149"/>
      <c r="Z46" s="149"/>
    </row>
    <row r="47" ht="11.25" customHeight="1">
      <c r="A47" s="149"/>
      <c r="B47" s="149"/>
      <c r="C47" s="149"/>
      <c r="D47" s="149"/>
      <c r="E47" s="149"/>
      <c r="F47" s="149"/>
      <c r="G47" s="215"/>
      <c r="H47" s="215"/>
      <c r="I47" s="215"/>
      <c r="J47" s="215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</row>
    <row r="48" ht="11.25" customHeight="1">
      <c r="A48" s="149"/>
      <c r="B48" s="149"/>
      <c r="C48" s="149"/>
      <c r="D48" s="149"/>
      <c r="E48" s="149"/>
      <c r="F48" s="149"/>
      <c r="G48" s="215"/>
      <c r="H48" s="215"/>
      <c r="I48" s="215"/>
      <c r="J48" s="215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</row>
    <row r="49" ht="11.25" customHeight="1">
      <c r="A49" s="149"/>
      <c r="B49" s="149"/>
      <c r="C49" s="149"/>
      <c r="D49" s="149"/>
      <c r="E49" s="149"/>
      <c r="F49" s="149"/>
      <c r="G49" s="215"/>
      <c r="H49" s="215"/>
      <c r="I49" s="215"/>
      <c r="J49" s="215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  <c r="W49" s="149"/>
      <c r="X49" s="149"/>
      <c r="Y49" s="149"/>
      <c r="Z49" s="149"/>
    </row>
    <row r="50" ht="11.25" customHeight="1">
      <c r="A50" s="149"/>
      <c r="B50" s="149"/>
      <c r="C50" s="149"/>
      <c r="D50" s="149"/>
      <c r="E50" s="149"/>
      <c r="F50" s="149"/>
      <c r="G50" s="215"/>
      <c r="H50" s="215"/>
      <c r="I50" s="215"/>
      <c r="J50" s="215"/>
      <c r="K50" s="149"/>
      <c r="L50" s="149"/>
      <c r="M50" s="149"/>
      <c r="N50" s="149"/>
      <c r="O50" s="149"/>
      <c r="P50" s="149"/>
      <c r="Q50" s="149"/>
      <c r="R50" s="149"/>
      <c r="S50" s="149"/>
      <c r="T50" s="149"/>
      <c r="U50" s="149"/>
      <c r="V50" s="149"/>
      <c r="W50" s="149"/>
      <c r="X50" s="149"/>
      <c r="Y50" s="149"/>
      <c r="Z50" s="149"/>
    </row>
    <row r="51" ht="11.25" customHeight="1">
      <c r="A51" s="149"/>
      <c r="B51" s="149"/>
      <c r="C51" s="149"/>
      <c r="D51" s="149"/>
      <c r="E51" s="149"/>
      <c r="F51" s="149"/>
      <c r="G51" s="215"/>
      <c r="H51" s="215"/>
      <c r="I51" s="215"/>
      <c r="J51" s="215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</row>
    <row r="52" ht="11.25" customHeight="1">
      <c r="A52" s="149"/>
      <c r="B52" s="149"/>
      <c r="C52" s="149"/>
      <c r="D52" s="149"/>
      <c r="E52" s="149"/>
      <c r="F52" s="149"/>
      <c r="G52" s="215"/>
      <c r="H52" s="215"/>
      <c r="I52" s="215"/>
      <c r="J52" s="215"/>
      <c r="K52" s="149"/>
      <c r="L52" s="149"/>
      <c r="M52" s="149"/>
      <c r="N52" s="149"/>
      <c r="O52" s="149"/>
      <c r="P52" s="149"/>
      <c r="Q52" s="149"/>
      <c r="R52" s="149"/>
      <c r="S52" s="149"/>
      <c r="T52" s="149"/>
      <c r="U52" s="149"/>
      <c r="V52" s="149"/>
      <c r="W52" s="149"/>
      <c r="X52" s="149"/>
      <c r="Y52" s="149"/>
      <c r="Z52" s="149"/>
    </row>
    <row r="53" ht="11.25" customHeight="1">
      <c r="A53" s="149"/>
      <c r="B53" s="149"/>
      <c r="C53" s="149"/>
      <c r="D53" s="149"/>
      <c r="E53" s="149"/>
      <c r="F53" s="149"/>
      <c r="G53" s="215"/>
      <c r="H53" s="215"/>
      <c r="I53" s="215"/>
      <c r="J53" s="215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  <c r="W53" s="149"/>
      <c r="X53" s="149"/>
      <c r="Y53" s="149"/>
      <c r="Z53" s="149"/>
    </row>
    <row r="54" ht="11.25" customHeight="1">
      <c r="A54" s="149"/>
      <c r="B54" s="149"/>
      <c r="C54" s="149"/>
      <c r="D54" s="149"/>
      <c r="E54" s="149"/>
      <c r="F54" s="149"/>
      <c r="G54" s="215"/>
      <c r="H54" s="215"/>
      <c r="I54" s="215"/>
      <c r="J54" s="215"/>
      <c r="K54" s="149"/>
      <c r="L54" s="149"/>
      <c r="M54" s="149"/>
      <c r="N54" s="149"/>
      <c r="O54" s="149"/>
      <c r="P54" s="149"/>
      <c r="Q54" s="149"/>
      <c r="R54" s="149"/>
      <c r="S54" s="149"/>
      <c r="T54" s="149"/>
      <c r="U54" s="149"/>
      <c r="V54" s="149"/>
      <c r="W54" s="149"/>
      <c r="X54" s="149"/>
      <c r="Y54" s="149"/>
      <c r="Z54" s="149"/>
    </row>
    <row r="55" ht="11.25" customHeight="1">
      <c r="A55" s="149"/>
      <c r="B55" s="149"/>
      <c r="C55" s="149"/>
      <c r="D55" s="149"/>
      <c r="E55" s="149"/>
      <c r="F55" s="149"/>
      <c r="G55" s="215"/>
      <c r="H55" s="215"/>
      <c r="I55" s="215"/>
      <c r="J55" s="215"/>
      <c r="K55" s="149"/>
      <c r="L55" s="149"/>
      <c r="M55" s="149"/>
      <c r="N55" s="149"/>
      <c r="O55" s="149"/>
      <c r="P55" s="149"/>
      <c r="Q55" s="149"/>
      <c r="R55" s="149"/>
      <c r="S55" s="149"/>
      <c r="T55" s="149"/>
      <c r="U55" s="149"/>
      <c r="V55" s="149"/>
      <c r="W55" s="149"/>
      <c r="X55" s="149"/>
      <c r="Y55" s="149"/>
      <c r="Z55" s="149"/>
    </row>
    <row r="56" ht="11.25" customHeight="1">
      <c r="A56" s="149"/>
      <c r="B56" s="149"/>
      <c r="C56" s="149"/>
      <c r="D56" s="149"/>
      <c r="E56" s="149"/>
      <c r="F56" s="149"/>
      <c r="G56" s="215"/>
      <c r="H56" s="215"/>
      <c r="I56" s="215"/>
      <c r="J56" s="215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/>
      <c r="Y56" s="149"/>
      <c r="Z56" s="149"/>
    </row>
    <row r="57" ht="11.25" customHeight="1">
      <c r="A57" s="149"/>
      <c r="B57" s="149"/>
      <c r="C57" s="149"/>
      <c r="D57" s="149"/>
      <c r="E57" s="149"/>
      <c r="F57" s="149"/>
      <c r="G57" s="215"/>
      <c r="H57" s="215"/>
      <c r="I57" s="215"/>
      <c r="J57" s="215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  <c r="Y57" s="149"/>
      <c r="Z57" s="149"/>
    </row>
    <row r="58" ht="11.25" customHeight="1">
      <c r="A58" s="149"/>
      <c r="B58" s="149"/>
      <c r="C58" s="149"/>
      <c r="D58" s="149"/>
      <c r="E58" s="149"/>
      <c r="F58" s="149"/>
      <c r="G58" s="215"/>
      <c r="H58" s="215"/>
      <c r="I58" s="215"/>
      <c r="J58" s="215"/>
      <c r="K58" s="149"/>
      <c r="L58" s="149"/>
      <c r="M58" s="149"/>
      <c r="N58" s="149"/>
      <c r="O58" s="149"/>
      <c r="P58" s="149"/>
      <c r="Q58" s="149"/>
      <c r="R58" s="149"/>
      <c r="S58" s="149"/>
      <c r="T58" s="149"/>
      <c r="U58" s="149"/>
      <c r="V58" s="149"/>
      <c r="W58" s="149"/>
      <c r="X58" s="149"/>
      <c r="Y58" s="149"/>
      <c r="Z58" s="149"/>
    </row>
    <row r="59" ht="11.25" customHeight="1">
      <c r="A59" s="149"/>
      <c r="B59" s="149"/>
      <c r="C59" s="149"/>
      <c r="D59" s="149"/>
      <c r="E59" s="149"/>
      <c r="F59" s="149"/>
      <c r="G59" s="215"/>
      <c r="H59" s="215"/>
      <c r="I59" s="215"/>
      <c r="J59" s="215"/>
      <c r="K59" s="149"/>
      <c r="L59" s="149"/>
      <c r="M59" s="149"/>
      <c r="N59" s="149"/>
      <c r="O59" s="149"/>
      <c r="P59" s="149"/>
      <c r="Q59" s="149"/>
      <c r="R59" s="149"/>
      <c r="S59" s="149"/>
      <c r="T59" s="149"/>
      <c r="U59" s="149"/>
      <c r="V59" s="149"/>
      <c r="W59" s="149"/>
      <c r="X59" s="149"/>
      <c r="Y59" s="149"/>
      <c r="Z59" s="149"/>
    </row>
    <row r="60" ht="11.25" customHeight="1">
      <c r="A60" s="149"/>
      <c r="B60" s="149"/>
      <c r="C60" s="149"/>
      <c r="D60" s="149"/>
      <c r="E60" s="149"/>
      <c r="F60" s="149"/>
      <c r="G60" s="215"/>
      <c r="H60" s="215"/>
      <c r="I60" s="215"/>
      <c r="J60" s="215"/>
      <c r="K60" s="149"/>
      <c r="L60" s="149"/>
      <c r="M60" s="149"/>
      <c r="N60" s="149"/>
      <c r="O60" s="149"/>
      <c r="P60" s="149"/>
      <c r="Q60" s="149"/>
      <c r="R60" s="149"/>
      <c r="S60" s="149"/>
      <c r="T60" s="149"/>
      <c r="U60" s="149"/>
      <c r="V60" s="149"/>
      <c r="W60" s="149"/>
      <c r="X60" s="149"/>
      <c r="Y60" s="149"/>
      <c r="Z60" s="149"/>
    </row>
    <row r="61" ht="11.25" customHeight="1">
      <c r="A61" s="149"/>
      <c r="B61" s="149"/>
      <c r="C61" s="149"/>
      <c r="D61" s="149"/>
      <c r="E61" s="149"/>
      <c r="F61" s="149"/>
      <c r="G61" s="215"/>
      <c r="H61" s="215"/>
      <c r="I61" s="215"/>
      <c r="J61" s="215"/>
      <c r="K61" s="149"/>
      <c r="L61" s="149"/>
      <c r="M61" s="149"/>
      <c r="N61" s="149"/>
      <c r="O61" s="149"/>
      <c r="P61" s="149"/>
      <c r="Q61" s="149"/>
      <c r="R61" s="149"/>
      <c r="S61" s="149"/>
      <c r="T61" s="149"/>
      <c r="U61" s="149"/>
      <c r="V61" s="149"/>
      <c r="W61" s="149"/>
      <c r="X61" s="149"/>
      <c r="Y61" s="149"/>
      <c r="Z61" s="149"/>
    </row>
    <row r="62" ht="11.25" customHeight="1">
      <c r="A62" s="149"/>
      <c r="B62" s="149"/>
      <c r="C62" s="149"/>
      <c r="D62" s="149"/>
      <c r="E62" s="149"/>
      <c r="F62" s="149"/>
      <c r="G62" s="215"/>
      <c r="H62" s="215"/>
      <c r="I62" s="215"/>
      <c r="J62" s="215"/>
      <c r="K62" s="149"/>
      <c r="L62" s="149"/>
      <c r="M62" s="149"/>
      <c r="N62" s="149"/>
      <c r="O62" s="149"/>
      <c r="P62" s="149"/>
      <c r="Q62" s="149"/>
      <c r="R62" s="149"/>
      <c r="S62" s="149"/>
      <c r="T62" s="149"/>
      <c r="U62" s="149"/>
      <c r="V62" s="149"/>
      <c r="W62" s="149"/>
      <c r="X62" s="149"/>
      <c r="Y62" s="149"/>
      <c r="Z62" s="149"/>
    </row>
    <row r="63" ht="11.25" customHeight="1">
      <c r="A63" s="149"/>
      <c r="B63" s="149"/>
      <c r="C63" s="149"/>
      <c r="D63" s="149"/>
      <c r="E63" s="149"/>
      <c r="F63" s="149"/>
      <c r="G63" s="215"/>
      <c r="H63" s="215"/>
      <c r="I63" s="215"/>
      <c r="J63" s="215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</row>
    <row r="64" ht="11.25" customHeight="1">
      <c r="A64" s="149"/>
      <c r="B64" s="149"/>
      <c r="C64" s="149"/>
      <c r="D64" s="149"/>
      <c r="E64" s="149"/>
      <c r="F64" s="149"/>
      <c r="G64" s="215"/>
      <c r="H64" s="215"/>
      <c r="I64" s="215"/>
      <c r="J64" s="215"/>
      <c r="K64" s="149"/>
      <c r="L64" s="149"/>
      <c r="M64" s="149"/>
      <c r="N64" s="149"/>
      <c r="O64" s="149"/>
      <c r="P64" s="149"/>
      <c r="Q64" s="149"/>
      <c r="R64" s="149"/>
      <c r="S64" s="149"/>
      <c r="T64" s="149"/>
      <c r="U64" s="149"/>
      <c r="V64" s="149"/>
      <c r="W64" s="149"/>
      <c r="X64" s="149"/>
      <c r="Y64" s="149"/>
      <c r="Z64" s="149"/>
    </row>
    <row r="65" ht="11.25" customHeight="1">
      <c r="A65" s="149"/>
      <c r="B65" s="149"/>
      <c r="C65" s="149"/>
      <c r="D65" s="149"/>
      <c r="E65" s="149"/>
      <c r="F65" s="149"/>
      <c r="G65" s="215"/>
      <c r="H65" s="215"/>
      <c r="I65" s="215"/>
      <c r="J65" s="215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  <c r="Z65" s="149"/>
    </row>
    <row r="66" ht="11.25" customHeight="1">
      <c r="A66" s="149"/>
      <c r="B66" s="149"/>
      <c r="C66" s="149"/>
      <c r="D66" s="149"/>
      <c r="E66" s="149"/>
      <c r="F66" s="149"/>
      <c r="G66" s="215"/>
      <c r="H66" s="215"/>
      <c r="I66" s="215"/>
      <c r="J66" s="215"/>
      <c r="K66" s="149"/>
      <c r="L66" s="149"/>
      <c r="M66" s="149"/>
      <c r="N66" s="149"/>
      <c r="O66" s="149"/>
      <c r="P66" s="149"/>
      <c r="Q66" s="149"/>
      <c r="R66" s="149"/>
      <c r="S66" s="149"/>
      <c r="T66" s="149"/>
      <c r="U66" s="149"/>
      <c r="V66" s="149"/>
      <c r="W66" s="149"/>
      <c r="X66" s="149"/>
      <c r="Y66" s="149"/>
      <c r="Z66" s="149"/>
    </row>
    <row r="67" ht="11.25" customHeight="1">
      <c r="A67" s="149"/>
      <c r="B67" s="149"/>
      <c r="C67" s="149"/>
      <c r="D67" s="149"/>
      <c r="E67" s="149"/>
      <c r="F67" s="149"/>
      <c r="G67" s="215"/>
      <c r="H67" s="215"/>
      <c r="I67" s="215"/>
      <c r="J67" s="215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  <c r="V67" s="149"/>
      <c r="W67" s="149"/>
      <c r="X67" s="149"/>
      <c r="Y67" s="149"/>
      <c r="Z67" s="149"/>
    </row>
    <row r="68" ht="11.25" customHeight="1">
      <c r="A68" s="149"/>
      <c r="B68" s="149"/>
      <c r="C68" s="149"/>
      <c r="D68" s="149"/>
      <c r="E68" s="149"/>
      <c r="F68" s="149"/>
      <c r="G68" s="215"/>
      <c r="H68" s="215"/>
      <c r="I68" s="215"/>
      <c r="J68" s="215"/>
      <c r="K68" s="149"/>
      <c r="L68" s="149"/>
      <c r="M68" s="149"/>
      <c r="N68" s="149"/>
      <c r="O68" s="149"/>
      <c r="P68" s="149"/>
      <c r="Q68" s="149"/>
      <c r="R68" s="149"/>
      <c r="S68" s="149"/>
      <c r="T68" s="149"/>
      <c r="U68" s="149"/>
      <c r="V68" s="149"/>
      <c r="W68" s="149"/>
      <c r="X68" s="149"/>
      <c r="Y68" s="149"/>
      <c r="Z68" s="149"/>
    </row>
    <row r="69" ht="11.25" customHeight="1">
      <c r="A69" s="149"/>
      <c r="B69" s="149"/>
      <c r="C69" s="149"/>
      <c r="D69" s="149"/>
      <c r="E69" s="149"/>
      <c r="F69" s="149"/>
      <c r="G69" s="215"/>
      <c r="H69" s="215"/>
      <c r="I69" s="215"/>
      <c r="J69" s="215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49"/>
      <c r="Y69" s="149"/>
      <c r="Z69" s="149"/>
    </row>
    <row r="70" ht="11.25" customHeight="1">
      <c r="A70" s="149"/>
      <c r="B70" s="149"/>
      <c r="C70" s="149"/>
      <c r="D70" s="149"/>
      <c r="E70" s="149"/>
      <c r="F70" s="149"/>
      <c r="G70" s="215"/>
      <c r="H70" s="215"/>
      <c r="I70" s="215"/>
      <c r="J70" s="215"/>
      <c r="K70" s="149"/>
      <c r="L70" s="149"/>
      <c r="M70" s="149"/>
      <c r="N70" s="149"/>
      <c r="O70" s="149"/>
      <c r="P70" s="149"/>
      <c r="Q70" s="149"/>
      <c r="R70" s="149"/>
      <c r="S70" s="149"/>
      <c r="T70" s="149"/>
      <c r="U70" s="149"/>
      <c r="V70" s="149"/>
      <c r="W70" s="149"/>
      <c r="X70" s="149"/>
      <c r="Y70" s="149"/>
      <c r="Z70" s="149"/>
    </row>
    <row r="71" ht="11.25" customHeight="1">
      <c r="A71" s="149"/>
      <c r="B71" s="149"/>
      <c r="C71" s="149"/>
      <c r="D71" s="149"/>
      <c r="E71" s="149"/>
      <c r="F71" s="149"/>
      <c r="G71" s="215"/>
      <c r="H71" s="215"/>
      <c r="I71" s="215"/>
      <c r="J71" s="215"/>
      <c r="K71" s="149"/>
      <c r="L71" s="149"/>
      <c r="M71" s="149"/>
      <c r="N71" s="149"/>
      <c r="O71" s="149"/>
      <c r="P71" s="149"/>
      <c r="Q71" s="149"/>
      <c r="R71" s="149"/>
      <c r="S71" s="149"/>
      <c r="T71" s="149"/>
      <c r="U71" s="149"/>
      <c r="V71" s="149"/>
      <c r="W71" s="149"/>
      <c r="X71" s="149"/>
      <c r="Y71" s="149"/>
      <c r="Z71" s="149"/>
    </row>
    <row r="72" ht="11.25" customHeight="1">
      <c r="A72" s="149"/>
      <c r="B72" s="149"/>
      <c r="C72" s="149"/>
      <c r="D72" s="149"/>
      <c r="E72" s="149"/>
      <c r="F72" s="149"/>
      <c r="G72" s="215"/>
      <c r="H72" s="215"/>
      <c r="I72" s="215"/>
      <c r="J72" s="215"/>
      <c r="K72" s="149"/>
      <c r="L72" s="149"/>
      <c r="M72" s="149"/>
      <c r="N72" s="149"/>
      <c r="O72" s="149"/>
      <c r="P72" s="149"/>
      <c r="Q72" s="149"/>
      <c r="R72" s="149"/>
      <c r="S72" s="149"/>
      <c r="T72" s="149"/>
      <c r="U72" s="149"/>
      <c r="V72" s="149"/>
      <c r="W72" s="149"/>
      <c r="X72" s="149"/>
      <c r="Y72" s="149"/>
      <c r="Z72" s="149"/>
    </row>
    <row r="73" ht="11.25" customHeight="1">
      <c r="A73" s="149"/>
      <c r="B73" s="149"/>
      <c r="C73" s="149"/>
      <c r="D73" s="149"/>
      <c r="E73" s="149"/>
      <c r="F73" s="149"/>
      <c r="G73" s="215"/>
      <c r="H73" s="215"/>
      <c r="I73" s="215"/>
      <c r="J73" s="215"/>
      <c r="K73" s="149"/>
      <c r="L73" s="149"/>
      <c r="M73" s="149"/>
      <c r="N73" s="149"/>
      <c r="O73" s="149"/>
      <c r="P73" s="149"/>
      <c r="Q73" s="149"/>
      <c r="R73" s="149"/>
      <c r="S73" s="149"/>
      <c r="T73" s="149"/>
      <c r="U73" s="149"/>
      <c r="V73" s="149"/>
      <c r="W73" s="149"/>
      <c r="X73" s="149"/>
      <c r="Y73" s="149"/>
      <c r="Z73" s="149"/>
    </row>
    <row r="74" ht="11.25" customHeight="1">
      <c r="A74" s="149"/>
      <c r="B74" s="149"/>
      <c r="C74" s="149"/>
      <c r="D74" s="149"/>
      <c r="E74" s="149"/>
      <c r="F74" s="149"/>
      <c r="G74" s="215"/>
      <c r="H74" s="215"/>
      <c r="I74" s="215"/>
      <c r="J74" s="215"/>
      <c r="K74" s="149"/>
      <c r="L74" s="149"/>
      <c r="M74" s="149"/>
      <c r="N74" s="149"/>
      <c r="O74" s="149"/>
      <c r="P74" s="149"/>
      <c r="Q74" s="149"/>
      <c r="R74" s="149"/>
      <c r="S74" s="149"/>
      <c r="T74" s="149"/>
      <c r="U74" s="149"/>
      <c r="V74" s="149"/>
      <c r="W74" s="149"/>
      <c r="X74" s="149"/>
      <c r="Y74" s="149"/>
      <c r="Z74" s="149"/>
    </row>
    <row r="75" ht="11.25" customHeight="1">
      <c r="A75" s="149"/>
      <c r="B75" s="149"/>
      <c r="C75" s="149"/>
      <c r="D75" s="149"/>
      <c r="E75" s="149"/>
      <c r="F75" s="149"/>
      <c r="G75" s="215"/>
      <c r="H75" s="215"/>
      <c r="I75" s="215"/>
      <c r="J75" s="215"/>
      <c r="K75" s="149"/>
      <c r="L75" s="149"/>
      <c r="M75" s="149"/>
      <c r="N75" s="149"/>
      <c r="O75" s="149"/>
      <c r="P75" s="149"/>
      <c r="Q75" s="149"/>
      <c r="R75" s="149"/>
      <c r="S75" s="149"/>
      <c r="T75" s="149"/>
      <c r="U75" s="149"/>
      <c r="V75" s="149"/>
      <c r="W75" s="149"/>
      <c r="X75" s="149"/>
      <c r="Y75" s="149"/>
      <c r="Z75" s="149"/>
    </row>
    <row r="76" ht="11.25" customHeight="1">
      <c r="A76" s="149"/>
      <c r="B76" s="149"/>
      <c r="C76" s="149"/>
      <c r="D76" s="149"/>
      <c r="E76" s="149"/>
      <c r="F76" s="149"/>
      <c r="G76" s="215"/>
      <c r="H76" s="215"/>
      <c r="I76" s="215"/>
      <c r="J76" s="215"/>
      <c r="K76" s="149"/>
      <c r="L76" s="149"/>
      <c r="M76" s="149"/>
      <c r="N76" s="149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</row>
    <row r="77" ht="11.25" customHeight="1">
      <c r="A77" s="149"/>
      <c r="B77" s="149"/>
      <c r="C77" s="149"/>
      <c r="D77" s="149"/>
      <c r="E77" s="149"/>
      <c r="F77" s="149"/>
      <c r="G77" s="215"/>
      <c r="H77" s="215"/>
      <c r="I77" s="215"/>
      <c r="J77" s="215"/>
      <c r="K77" s="149"/>
      <c r="L77" s="149"/>
      <c r="M77" s="149"/>
      <c r="N77" s="149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</row>
    <row r="78" ht="11.25" customHeight="1">
      <c r="A78" s="149"/>
      <c r="B78" s="149"/>
      <c r="C78" s="149"/>
      <c r="D78" s="149"/>
      <c r="E78" s="149"/>
      <c r="F78" s="149"/>
      <c r="G78" s="215"/>
      <c r="H78" s="215"/>
      <c r="I78" s="215"/>
      <c r="J78" s="215"/>
      <c r="K78" s="149"/>
      <c r="L78" s="149"/>
      <c r="M78" s="149"/>
      <c r="N78" s="149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</row>
    <row r="79" ht="11.25" customHeight="1">
      <c r="A79" s="149"/>
      <c r="B79" s="149"/>
      <c r="C79" s="149"/>
      <c r="D79" s="149"/>
      <c r="E79" s="149"/>
      <c r="F79" s="149"/>
      <c r="G79" s="215"/>
      <c r="H79" s="215"/>
      <c r="I79" s="215"/>
      <c r="J79" s="215"/>
      <c r="K79" s="149"/>
      <c r="L79" s="149"/>
      <c r="M79" s="149"/>
      <c r="N79" s="149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</row>
    <row r="80" ht="11.25" customHeight="1">
      <c r="A80" s="149"/>
      <c r="B80" s="149"/>
      <c r="C80" s="149"/>
      <c r="D80" s="149"/>
      <c r="E80" s="149"/>
      <c r="F80" s="149"/>
      <c r="G80" s="215"/>
      <c r="H80" s="215"/>
      <c r="I80" s="215"/>
      <c r="J80" s="215"/>
      <c r="K80" s="149"/>
      <c r="L80" s="149"/>
      <c r="M80" s="149"/>
      <c r="N80" s="149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</row>
    <row r="81" ht="11.25" customHeight="1">
      <c r="A81" s="149"/>
      <c r="B81" s="149"/>
      <c r="C81" s="149"/>
      <c r="D81" s="149"/>
      <c r="E81" s="149"/>
      <c r="F81" s="149"/>
      <c r="G81" s="215"/>
      <c r="H81" s="215"/>
      <c r="I81" s="215"/>
      <c r="J81" s="215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</row>
    <row r="82" ht="11.25" customHeight="1">
      <c r="A82" s="149"/>
      <c r="B82" s="149"/>
      <c r="C82" s="149"/>
      <c r="D82" s="149"/>
      <c r="E82" s="149"/>
      <c r="F82" s="149"/>
      <c r="G82" s="215"/>
      <c r="H82" s="215"/>
      <c r="I82" s="215"/>
      <c r="J82" s="215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</row>
    <row r="83" ht="11.25" customHeight="1">
      <c r="A83" s="149"/>
      <c r="B83" s="149"/>
      <c r="C83" s="149"/>
      <c r="D83" s="149"/>
      <c r="E83" s="149"/>
      <c r="F83" s="149"/>
      <c r="G83" s="215"/>
      <c r="H83" s="215"/>
      <c r="I83" s="215"/>
      <c r="J83" s="215"/>
      <c r="K83" s="149"/>
      <c r="L83" s="149"/>
      <c r="M83" s="149"/>
      <c r="N83" s="149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</row>
    <row r="84" ht="11.25" customHeight="1">
      <c r="A84" s="149"/>
      <c r="B84" s="149"/>
      <c r="C84" s="149"/>
      <c r="D84" s="149"/>
      <c r="E84" s="149"/>
      <c r="F84" s="149"/>
      <c r="G84" s="215"/>
      <c r="H84" s="215"/>
      <c r="I84" s="215"/>
      <c r="J84" s="215"/>
      <c r="K84" s="149"/>
      <c r="L84" s="149"/>
      <c r="M84" s="149"/>
      <c r="N84" s="149"/>
      <c r="O84" s="149"/>
      <c r="P84" s="149"/>
      <c r="Q84" s="149"/>
      <c r="R84" s="149"/>
      <c r="S84" s="149"/>
      <c r="T84" s="149"/>
      <c r="U84" s="149"/>
      <c r="V84" s="149"/>
      <c r="W84" s="149"/>
      <c r="X84" s="149"/>
      <c r="Y84" s="149"/>
      <c r="Z84" s="149"/>
    </row>
    <row r="85" ht="11.25" customHeight="1">
      <c r="A85" s="149"/>
      <c r="B85" s="149"/>
      <c r="C85" s="149"/>
      <c r="D85" s="149"/>
      <c r="E85" s="149"/>
      <c r="F85" s="149"/>
      <c r="G85" s="215"/>
      <c r="H85" s="215"/>
      <c r="I85" s="215"/>
      <c r="J85" s="215"/>
      <c r="K85" s="149"/>
      <c r="L85" s="149"/>
      <c r="M85" s="149"/>
      <c r="N85" s="149"/>
      <c r="O85" s="149"/>
      <c r="P85" s="149"/>
      <c r="Q85" s="149"/>
      <c r="R85" s="149"/>
      <c r="S85" s="149"/>
      <c r="T85" s="149"/>
      <c r="U85" s="149"/>
      <c r="V85" s="149"/>
      <c r="W85" s="149"/>
      <c r="X85" s="149"/>
      <c r="Y85" s="149"/>
      <c r="Z85" s="149"/>
    </row>
    <row r="86" ht="11.25" customHeight="1">
      <c r="A86" s="149"/>
      <c r="B86" s="149"/>
      <c r="C86" s="149"/>
      <c r="D86" s="149"/>
      <c r="E86" s="149"/>
      <c r="F86" s="149"/>
      <c r="G86" s="215"/>
      <c r="H86" s="215"/>
      <c r="I86" s="215"/>
      <c r="J86" s="215"/>
      <c r="K86" s="149"/>
      <c r="L86" s="149"/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</row>
    <row r="87" ht="11.25" customHeight="1">
      <c r="A87" s="149"/>
      <c r="B87" s="149"/>
      <c r="C87" s="149"/>
      <c r="D87" s="149"/>
      <c r="E87" s="149"/>
      <c r="F87" s="149"/>
      <c r="G87" s="215"/>
      <c r="H87" s="215"/>
      <c r="I87" s="215"/>
      <c r="J87" s="215"/>
      <c r="K87" s="149"/>
      <c r="L87" s="149"/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</row>
    <row r="88" ht="11.25" customHeight="1">
      <c r="A88" s="149"/>
      <c r="B88" s="149"/>
      <c r="C88" s="149"/>
      <c r="D88" s="149"/>
      <c r="E88" s="149"/>
      <c r="F88" s="149"/>
      <c r="G88" s="215"/>
      <c r="H88" s="215"/>
      <c r="I88" s="215"/>
      <c r="J88" s="215"/>
      <c r="K88" s="149"/>
      <c r="L88" s="149"/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W88" s="149"/>
      <c r="X88" s="149"/>
      <c r="Y88" s="149"/>
      <c r="Z88" s="149"/>
    </row>
    <row r="89" ht="11.25" customHeight="1">
      <c r="A89" s="149"/>
      <c r="B89" s="149"/>
      <c r="C89" s="149"/>
      <c r="D89" s="149"/>
      <c r="E89" s="149"/>
      <c r="F89" s="149"/>
      <c r="G89" s="215"/>
      <c r="H89" s="215"/>
      <c r="I89" s="215"/>
      <c r="J89" s="215"/>
      <c r="K89" s="149"/>
      <c r="L89" s="149"/>
      <c r="M89" s="149"/>
      <c r="N89" s="149"/>
      <c r="O89" s="149"/>
      <c r="P89" s="149"/>
      <c r="Q89" s="149"/>
      <c r="R89" s="149"/>
      <c r="S89" s="149"/>
      <c r="T89" s="149"/>
      <c r="U89" s="149"/>
      <c r="V89" s="149"/>
      <c r="W89" s="149"/>
      <c r="X89" s="149"/>
      <c r="Y89" s="149"/>
      <c r="Z89" s="149"/>
    </row>
    <row r="90" ht="11.25" customHeight="1">
      <c r="A90" s="149"/>
      <c r="B90" s="149"/>
      <c r="C90" s="149"/>
      <c r="D90" s="149"/>
      <c r="E90" s="149"/>
      <c r="F90" s="149"/>
      <c r="G90" s="215"/>
      <c r="H90" s="215"/>
      <c r="I90" s="215"/>
      <c r="J90" s="215"/>
      <c r="K90" s="149"/>
      <c r="L90" s="149"/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W90" s="149"/>
      <c r="X90" s="149"/>
      <c r="Y90" s="149"/>
      <c r="Z90" s="149"/>
    </row>
    <row r="91" ht="11.25" customHeight="1">
      <c r="A91" s="149"/>
      <c r="B91" s="149"/>
      <c r="C91" s="149"/>
      <c r="D91" s="149"/>
      <c r="E91" s="149"/>
      <c r="F91" s="149"/>
      <c r="G91" s="215"/>
      <c r="H91" s="215"/>
      <c r="I91" s="215"/>
      <c r="J91" s="215"/>
      <c r="K91" s="149"/>
      <c r="L91" s="149"/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W91" s="149"/>
      <c r="X91" s="149"/>
      <c r="Y91" s="149"/>
      <c r="Z91" s="149"/>
    </row>
    <row r="92" ht="11.25" customHeight="1">
      <c r="A92" s="149"/>
      <c r="B92" s="149"/>
      <c r="C92" s="149"/>
      <c r="D92" s="149"/>
      <c r="E92" s="149"/>
      <c r="F92" s="149"/>
      <c r="G92" s="215"/>
      <c r="H92" s="215"/>
      <c r="I92" s="215"/>
      <c r="J92" s="215"/>
      <c r="K92" s="149"/>
      <c r="L92" s="149"/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W92" s="149"/>
      <c r="X92" s="149"/>
      <c r="Y92" s="149"/>
      <c r="Z92" s="149"/>
    </row>
    <row r="93" ht="11.25" customHeight="1">
      <c r="A93" s="149"/>
      <c r="B93" s="149"/>
      <c r="C93" s="149"/>
      <c r="D93" s="149"/>
      <c r="E93" s="149"/>
      <c r="F93" s="149"/>
      <c r="G93" s="215"/>
      <c r="H93" s="215"/>
      <c r="I93" s="215"/>
      <c r="J93" s="215"/>
      <c r="K93" s="149"/>
      <c r="L93" s="149"/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W93" s="149"/>
      <c r="X93" s="149"/>
      <c r="Y93" s="149"/>
      <c r="Z93" s="149"/>
    </row>
    <row r="94" ht="11.25" customHeight="1">
      <c r="A94" s="149"/>
      <c r="B94" s="149"/>
      <c r="C94" s="149"/>
      <c r="D94" s="149"/>
      <c r="E94" s="149"/>
      <c r="F94" s="149"/>
      <c r="G94" s="215"/>
      <c r="H94" s="215"/>
      <c r="I94" s="215"/>
      <c r="J94" s="215"/>
      <c r="K94" s="149"/>
      <c r="L94" s="149"/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W94" s="149"/>
      <c r="X94" s="149"/>
      <c r="Y94" s="149"/>
      <c r="Z94" s="149"/>
    </row>
    <row r="95" ht="11.25" customHeight="1">
      <c r="A95" s="149"/>
      <c r="B95" s="149"/>
      <c r="C95" s="149"/>
      <c r="D95" s="149"/>
      <c r="E95" s="149"/>
      <c r="F95" s="149"/>
      <c r="G95" s="215"/>
      <c r="H95" s="215"/>
      <c r="I95" s="215"/>
      <c r="J95" s="215"/>
      <c r="K95" s="149"/>
      <c r="L95" s="149"/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W95" s="149"/>
      <c r="X95" s="149"/>
      <c r="Y95" s="149"/>
      <c r="Z95" s="149"/>
    </row>
    <row r="96" ht="11.25" customHeight="1">
      <c r="A96" s="149"/>
      <c r="B96" s="149"/>
      <c r="C96" s="149"/>
      <c r="D96" s="149"/>
      <c r="E96" s="149"/>
      <c r="F96" s="149"/>
      <c r="G96" s="215"/>
      <c r="H96" s="215"/>
      <c r="I96" s="215"/>
      <c r="J96" s="215"/>
      <c r="K96" s="149"/>
      <c r="L96" s="149"/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W96" s="149"/>
      <c r="X96" s="149"/>
      <c r="Y96" s="149"/>
      <c r="Z96" s="149"/>
    </row>
    <row r="97" ht="11.25" customHeight="1">
      <c r="A97" s="149"/>
      <c r="B97" s="149"/>
      <c r="C97" s="149"/>
      <c r="D97" s="149"/>
      <c r="E97" s="149"/>
      <c r="F97" s="149"/>
      <c r="G97" s="215"/>
      <c r="H97" s="215"/>
      <c r="I97" s="215"/>
      <c r="J97" s="215"/>
      <c r="K97" s="149"/>
      <c r="L97" s="149"/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W97" s="149"/>
      <c r="X97" s="149"/>
      <c r="Y97" s="149"/>
      <c r="Z97" s="149"/>
    </row>
    <row r="98" ht="11.25" customHeight="1">
      <c r="A98" s="149"/>
      <c r="B98" s="149"/>
      <c r="C98" s="149"/>
      <c r="D98" s="149"/>
      <c r="E98" s="149"/>
      <c r="F98" s="149"/>
      <c r="G98" s="215"/>
      <c r="H98" s="215"/>
      <c r="I98" s="215"/>
      <c r="J98" s="215"/>
      <c r="K98" s="149"/>
      <c r="L98" s="149"/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W98" s="149"/>
      <c r="X98" s="149"/>
      <c r="Y98" s="149"/>
      <c r="Z98" s="149"/>
    </row>
    <row r="99" ht="11.25" customHeight="1">
      <c r="A99" s="149"/>
      <c r="B99" s="149"/>
      <c r="C99" s="149"/>
      <c r="D99" s="149"/>
      <c r="E99" s="149"/>
      <c r="F99" s="149"/>
      <c r="G99" s="215"/>
      <c r="H99" s="215"/>
      <c r="I99" s="215"/>
      <c r="J99" s="215"/>
      <c r="K99" s="149"/>
      <c r="L99" s="149"/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W99" s="149"/>
      <c r="X99" s="149"/>
      <c r="Y99" s="149"/>
      <c r="Z99" s="149"/>
    </row>
    <row r="100" ht="11.25" customHeight="1">
      <c r="A100" s="149"/>
      <c r="B100" s="149"/>
      <c r="C100" s="149"/>
      <c r="D100" s="149"/>
      <c r="E100" s="149"/>
      <c r="F100" s="149"/>
      <c r="G100" s="215"/>
      <c r="H100" s="215"/>
      <c r="I100" s="215"/>
      <c r="J100" s="215"/>
      <c r="K100" s="149"/>
      <c r="L100" s="149"/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W100" s="149"/>
      <c r="X100" s="149"/>
      <c r="Y100" s="149"/>
      <c r="Z100" s="149"/>
    </row>
    <row r="101" ht="11.25" customHeight="1">
      <c r="A101" s="149"/>
      <c r="B101" s="149"/>
      <c r="C101" s="149"/>
      <c r="D101" s="149"/>
      <c r="E101" s="149"/>
      <c r="F101" s="149"/>
      <c r="G101" s="215"/>
      <c r="H101" s="215"/>
      <c r="I101" s="215"/>
      <c r="J101" s="215"/>
      <c r="K101" s="149"/>
      <c r="L101" s="149"/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W101" s="149"/>
      <c r="X101" s="149"/>
      <c r="Y101" s="149"/>
      <c r="Z101" s="149"/>
    </row>
    <row r="102" ht="11.25" customHeight="1">
      <c r="A102" s="149"/>
      <c r="B102" s="149"/>
      <c r="C102" s="149"/>
      <c r="D102" s="149"/>
      <c r="E102" s="149"/>
      <c r="F102" s="149"/>
      <c r="G102" s="215"/>
      <c r="H102" s="215"/>
      <c r="I102" s="215"/>
      <c r="J102" s="215"/>
      <c r="K102" s="149"/>
      <c r="L102" s="149"/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W102" s="149"/>
      <c r="X102" s="149"/>
      <c r="Y102" s="149"/>
      <c r="Z102" s="149"/>
    </row>
    <row r="103" ht="11.25" customHeight="1">
      <c r="A103" s="149"/>
      <c r="B103" s="149"/>
      <c r="C103" s="149"/>
      <c r="D103" s="149"/>
      <c r="E103" s="149"/>
      <c r="F103" s="149"/>
      <c r="G103" s="215"/>
      <c r="H103" s="215"/>
      <c r="I103" s="215"/>
      <c r="J103" s="215"/>
      <c r="K103" s="149"/>
      <c r="L103" s="149"/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W103" s="149"/>
      <c r="X103" s="149"/>
      <c r="Y103" s="149"/>
      <c r="Z103" s="149"/>
    </row>
    <row r="104" ht="11.25" customHeight="1">
      <c r="A104" s="149"/>
      <c r="B104" s="149"/>
      <c r="C104" s="149"/>
      <c r="D104" s="149"/>
      <c r="E104" s="149"/>
      <c r="F104" s="149"/>
      <c r="G104" s="215"/>
      <c r="H104" s="215"/>
      <c r="I104" s="215"/>
      <c r="J104" s="215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</row>
    <row r="105" ht="11.25" customHeight="1">
      <c r="A105" s="149"/>
      <c r="B105" s="149"/>
      <c r="C105" s="149"/>
      <c r="D105" s="149"/>
      <c r="E105" s="149"/>
      <c r="F105" s="149"/>
      <c r="G105" s="215"/>
      <c r="H105" s="215"/>
      <c r="I105" s="215"/>
      <c r="J105" s="215"/>
      <c r="K105" s="149"/>
      <c r="L105" s="149"/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W105" s="149"/>
      <c r="X105" s="149"/>
      <c r="Y105" s="149"/>
      <c r="Z105" s="149"/>
    </row>
    <row r="106" ht="11.25" customHeight="1">
      <c r="A106" s="149"/>
      <c r="B106" s="149"/>
      <c r="C106" s="149"/>
      <c r="D106" s="149"/>
      <c r="E106" s="149"/>
      <c r="F106" s="149"/>
      <c r="G106" s="215"/>
      <c r="H106" s="215"/>
      <c r="I106" s="215"/>
      <c r="J106" s="215"/>
      <c r="K106" s="149"/>
      <c r="L106" s="149"/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W106" s="149"/>
      <c r="X106" s="149"/>
      <c r="Y106" s="149"/>
      <c r="Z106" s="149"/>
    </row>
    <row r="107" ht="11.25" customHeight="1">
      <c r="A107" s="149"/>
      <c r="B107" s="149"/>
      <c r="C107" s="149"/>
      <c r="D107" s="149"/>
      <c r="E107" s="149"/>
      <c r="F107" s="149"/>
      <c r="G107" s="215"/>
      <c r="H107" s="215"/>
      <c r="I107" s="215"/>
      <c r="J107" s="215"/>
      <c r="K107" s="149"/>
      <c r="L107" s="149"/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W107" s="149"/>
      <c r="X107" s="149"/>
      <c r="Y107" s="149"/>
      <c r="Z107" s="149"/>
    </row>
    <row r="108" ht="11.25" customHeight="1">
      <c r="A108" s="149"/>
      <c r="B108" s="149"/>
      <c r="C108" s="149"/>
      <c r="D108" s="149"/>
      <c r="E108" s="149"/>
      <c r="F108" s="149"/>
      <c r="G108" s="215"/>
      <c r="H108" s="215"/>
      <c r="I108" s="215"/>
      <c r="J108" s="215"/>
      <c r="K108" s="149"/>
      <c r="L108" s="149"/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W108" s="149"/>
      <c r="X108" s="149"/>
      <c r="Y108" s="149"/>
      <c r="Z108" s="149"/>
    </row>
    <row r="109" ht="11.25" customHeight="1">
      <c r="A109" s="149"/>
      <c r="B109" s="149"/>
      <c r="C109" s="149"/>
      <c r="D109" s="149"/>
      <c r="E109" s="149"/>
      <c r="F109" s="149"/>
      <c r="G109" s="215"/>
      <c r="H109" s="215"/>
      <c r="I109" s="215"/>
      <c r="J109" s="215"/>
      <c r="K109" s="149"/>
      <c r="L109" s="149"/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W109" s="149"/>
      <c r="X109" s="149"/>
      <c r="Y109" s="149"/>
      <c r="Z109" s="149"/>
    </row>
    <row r="110" ht="11.25" customHeight="1">
      <c r="A110" s="149"/>
      <c r="B110" s="149"/>
      <c r="C110" s="149"/>
      <c r="D110" s="149"/>
      <c r="E110" s="149"/>
      <c r="F110" s="149"/>
      <c r="G110" s="215"/>
      <c r="H110" s="215"/>
      <c r="I110" s="215"/>
      <c r="J110" s="215"/>
      <c r="K110" s="149"/>
      <c r="L110" s="149"/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W110" s="149"/>
      <c r="X110" s="149"/>
      <c r="Y110" s="149"/>
      <c r="Z110" s="149"/>
    </row>
    <row r="111" ht="11.25" customHeight="1">
      <c r="A111" s="149"/>
      <c r="B111" s="149"/>
      <c r="C111" s="149"/>
      <c r="D111" s="149"/>
      <c r="E111" s="149"/>
      <c r="F111" s="149"/>
      <c r="G111" s="215"/>
      <c r="H111" s="215"/>
      <c r="I111" s="215"/>
      <c r="J111" s="215"/>
      <c r="K111" s="149"/>
      <c r="L111" s="149"/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</row>
    <row r="112" ht="11.25" customHeight="1">
      <c r="A112" s="149"/>
      <c r="B112" s="149"/>
      <c r="C112" s="149"/>
      <c r="D112" s="149"/>
      <c r="E112" s="149"/>
      <c r="F112" s="149"/>
      <c r="G112" s="215"/>
      <c r="H112" s="215"/>
      <c r="I112" s="215"/>
      <c r="J112" s="215"/>
      <c r="K112" s="149"/>
      <c r="L112" s="149"/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W112" s="149"/>
      <c r="X112" s="149"/>
      <c r="Y112" s="149"/>
      <c r="Z112" s="149"/>
    </row>
    <row r="113" ht="11.25" customHeight="1">
      <c r="A113" s="149"/>
      <c r="B113" s="149"/>
      <c r="C113" s="149"/>
      <c r="D113" s="149"/>
      <c r="E113" s="149"/>
      <c r="F113" s="149"/>
      <c r="G113" s="215"/>
      <c r="H113" s="215"/>
      <c r="I113" s="215"/>
      <c r="J113" s="215"/>
      <c r="K113" s="149"/>
      <c r="L113" s="149"/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</row>
    <row r="114" ht="11.25" customHeight="1">
      <c r="A114" s="149"/>
      <c r="B114" s="149"/>
      <c r="C114" s="149"/>
      <c r="D114" s="149"/>
      <c r="E114" s="149"/>
      <c r="F114" s="149"/>
      <c r="G114" s="215"/>
      <c r="H114" s="215"/>
      <c r="I114" s="215"/>
      <c r="J114" s="215"/>
      <c r="K114" s="149"/>
      <c r="L114" s="149"/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</row>
    <row r="115" ht="11.25" customHeight="1">
      <c r="A115" s="149"/>
      <c r="B115" s="149"/>
      <c r="C115" s="149"/>
      <c r="D115" s="149"/>
      <c r="E115" s="149"/>
      <c r="F115" s="149"/>
      <c r="G115" s="215"/>
      <c r="H115" s="215"/>
      <c r="I115" s="215"/>
      <c r="J115" s="215"/>
      <c r="K115" s="149"/>
      <c r="L115" s="149"/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</row>
    <row r="116" ht="11.25" customHeight="1">
      <c r="A116" s="149"/>
      <c r="B116" s="149"/>
      <c r="C116" s="149"/>
      <c r="D116" s="149"/>
      <c r="E116" s="149"/>
      <c r="F116" s="149"/>
      <c r="G116" s="215"/>
      <c r="H116" s="215"/>
      <c r="I116" s="215"/>
      <c r="J116" s="215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  <c r="X116" s="149"/>
      <c r="Y116" s="149"/>
      <c r="Z116" s="149"/>
    </row>
    <row r="117" ht="11.25" customHeight="1">
      <c r="A117" s="149"/>
      <c r="B117" s="149"/>
      <c r="C117" s="149"/>
      <c r="D117" s="149"/>
      <c r="E117" s="149"/>
      <c r="F117" s="149"/>
      <c r="G117" s="215"/>
      <c r="H117" s="215"/>
      <c r="I117" s="215"/>
      <c r="J117" s="215"/>
      <c r="K117" s="149"/>
      <c r="L117" s="149"/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W117" s="149"/>
      <c r="X117" s="149"/>
      <c r="Y117" s="149"/>
      <c r="Z117" s="149"/>
    </row>
    <row r="118" ht="11.25" customHeight="1">
      <c r="A118" s="149"/>
      <c r="B118" s="149"/>
      <c r="C118" s="149"/>
      <c r="D118" s="149"/>
      <c r="E118" s="149"/>
      <c r="F118" s="149"/>
      <c r="G118" s="215"/>
      <c r="H118" s="215"/>
      <c r="I118" s="215"/>
      <c r="J118" s="215"/>
      <c r="K118" s="149"/>
      <c r="L118" s="149"/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W118" s="149"/>
      <c r="X118" s="149"/>
      <c r="Y118" s="149"/>
      <c r="Z118" s="149"/>
    </row>
    <row r="119" ht="11.25" customHeight="1">
      <c r="A119" s="149"/>
      <c r="B119" s="149"/>
      <c r="C119" s="149"/>
      <c r="D119" s="149"/>
      <c r="E119" s="149"/>
      <c r="F119" s="149"/>
      <c r="G119" s="215"/>
      <c r="H119" s="215"/>
      <c r="I119" s="215"/>
      <c r="J119" s="215"/>
      <c r="K119" s="149"/>
      <c r="L119" s="149"/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W119" s="149"/>
      <c r="X119" s="149"/>
      <c r="Y119" s="149"/>
      <c r="Z119" s="149"/>
    </row>
    <row r="120" ht="11.25" customHeight="1">
      <c r="A120" s="149"/>
      <c r="B120" s="149"/>
      <c r="C120" s="149"/>
      <c r="D120" s="149"/>
      <c r="E120" s="149"/>
      <c r="F120" s="149"/>
      <c r="G120" s="215"/>
      <c r="H120" s="215"/>
      <c r="I120" s="215"/>
      <c r="J120" s="215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  <c r="X120" s="149"/>
      <c r="Y120" s="149"/>
      <c r="Z120" s="149"/>
    </row>
    <row r="121" ht="11.25" customHeight="1">
      <c r="A121" s="149"/>
      <c r="B121" s="149"/>
      <c r="C121" s="149"/>
      <c r="D121" s="149"/>
      <c r="E121" s="149"/>
      <c r="F121" s="149"/>
      <c r="G121" s="215"/>
      <c r="H121" s="215"/>
      <c r="I121" s="215"/>
      <c r="J121" s="215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  <c r="X121" s="149"/>
      <c r="Y121" s="149"/>
      <c r="Z121" s="149"/>
    </row>
    <row r="122" ht="11.25" customHeight="1">
      <c r="A122" s="149"/>
      <c r="B122" s="149"/>
      <c r="C122" s="149"/>
      <c r="D122" s="149"/>
      <c r="E122" s="149"/>
      <c r="F122" s="149"/>
      <c r="G122" s="215"/>
      <c r="H122" s="215"/>
      <c r="I122" s="215"/>
      <c r="J122" s="215"/>
      <c r="K122" s="149"/>
      <c r="L122" s="149"/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W122" s="149"/>
      <c r="X122" s="149"/>
      <c r="Y122" s="149"/>
      <c r="Z122" s="149"/>
    </row>
    <row r="123" ht="11.25" customHeight="1">
      <c r="A123" s="149"/>
      <c r="B123" s="149"/>
      <c r="C123" s="149"/>
      <c r="D123" s="149"/>
      <c r="E123" s="149"/>
      <c r="F123" s="149"/>
      <c r="G123" s="215"/>
      <c r="H123" s="215"/>
      <c r="I123" s="215"/>
      <c r="J123" s="215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  <c r="X123" s="149"/>
      <c r="Y123" s="149"/>
      <c r="Z123" s="149"/>
    </row>
    <row r="124" ht="11.25" customHeight="1">
      <c r="A124" s="149"/>
      <c r="B124" s="149"/>
      <c r="C124" s="149"/>
      <c r="D124" s="149"/>
      <c r="E124" s="149"/>
      <c r="F124" s="149"/>
      <c r="G124" s="215"/>
      <c r="H124" s="215"/>
      <c r="I124" s="215"/>
      <c r="J124" s="215"/>
      <c r="K124" s="149"/>
      <c r="L124" s="149"/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W124" s="149"/>
      <c r="X124" s="149"/>
      <c r="Y124" s="149"/>
      <c r="Z124" s="149"/>
    </row>
    <row r="125" ht="11.25" customHeight="1">
      <c r="A125" s="149"/>
      <c r="B125" s="149"/>
      <c r="C125" s="149"/>
      <c r="D125" s="149"/>
      <c r="E125" s="149"/>
      <c r="F125" s="149"/>
      <c r="G125" s="215"/>
      <c r="H125" s="215"/>
      <c r="I125" s="215"/>
      <c r="J125" s="215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  <c r="X125" s="149"/>
      <c r="Y125" s="149"/>
      <c r="Z125" s="149"/>
    </row>
    <row r="126" ht="11.25" customHeight="1">
      <c r="A126" s="149"/>
      <c r="B126" s="149"/>
      <c r="C126" s="149"/>
      <c r="D126" s="149"/>
      <c r="E126" s="149"/>
      <c r="F126" s="149"/>
      <c r="G126" s="215"/>
      <c r="H126" s="215"/>
      <c r="I126" s="215"/>
      <c r="J126" s="215"/>
      <c r="K126" s="149"/>
      <c r="L126" s="149"/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W126" s="149"/>
      <c r="X126" s="149"/>
      <c r="Y126" s="149"/>
      <c r="Z126" s="149"/>
    </row>
    <row r="127" ht="11.25" customHeight="1">
      <c r="A127" s="149"/>
      <c r="B127" s="149"/>
      <c r="C127" s="149"/>
      <c r="D127" s="149"/>
      <c r="E127" s="149"/>
      <c r="F127" s="149"/>
      <c r="G127" s="215"/>
      <c r="H127" s="215"/>
      <c r="I127" s="215"/>
      <c r="J127" s="215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/>
      <c r="Y127" s="149"/>
      <c r="Z127" s="149"/>
    </row>
    <row r="128" ht="11.25" customHeight="1">
      <c r="A128" s="149"/>
      <c r="B128" s="149"/>
      <c r="C128" s="149"/>
      <c r="D128" s="149"/>
      <c r="E128" s="149"/>
      <c r="F128" s="149"/>
      <c r="G128" s="215"/>
      <c r="H128" s="215"/>
      <c r="I128" s="215"/>
      <c r="J128" s="215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  <c r="X128" s="149"/>
      <c r="Y128" s="149"/>
      <c r="Z128" s="149"/>
    </row>
    <row r="129" ht="11.25" customHeight="1">
      <c r="A129" s="149"/>
      <c r="B129" s="149"/>
      <c r="C129" s="149"/>
      <c r="D129" s="149"/>
      <c r="E129" s="149"/>
      <c r="F129" s="149"/>
      <c r="G129" s="215"/>
      <c r="H129" s="215"/>
      <c r="I129" s="215"/>
      <c r="J129" s="215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W129" s="149"/>
      <c r="X129" s="149"/>
      <c r="Y129" s="149"/>
      <c r="Z129" s="149"/>
    </row>
    <row r="130" ht="11.25" customHeight="1">
      <c r="A130" s="149"/>
      <c r="B130" s="149"/>
      <c r="C130" s="149"/>
      <c r="D130" s="149"/>
      <c r="E130" s="149"/>
      <c r="F130" s="149"/>
      <c r="G130" s="215"/>
      <c r="H130" s="215"/>
      <c r="I130" s="215"/>
      <c r="J130" s="215"/>
      <c r="K130" s="149"/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W130" s="149"/>
      <c r="X130" s="149"/>
      <c r="Y130" s="149"/>
      <c r="Z130" s="149"/>
    </row>
    <row r="131" ht="11.25" customHeight="1">
      <c r="A131" s="149"/>
      <c r="B131" s="149"/>
      <c r="C131" s="149"/>
      <c r="D131" s="149"/>
      <c r="E131" s="149"/>
      <c r="F131" s="149"/>
      <c r="G131" s="215"/>
      <c r="H131" s="215"/>
      <c r="I131" s="215"/>
      <c r="J131" s="215"/>
      <c r="K131" s="149"/>
      <c r="L131" s="149"/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W131" s="149"/>
      <c r="X131" s="149"/>
      <c r="Y131" s="149"/>
      <c r="Z131" s="149"/>
    </row>
    <row r="132" ht="11.25" customHeight="1">
      <c r="A132" s="149"/>
      <c r="B132" s="149"/>
      <c r="C132" s="149"/>
      <c r="D132" s="149"/>
      <c r="E132" s="149"/>
      <c r="F132" s="149"/>
      <c r="G132" s="215"/>
      <c r="H132" s="215"/>
      <c r="I132" s="215"/>
      <c r="J132" s="215"/>
      <c r="K132" s="149"/>
      <c r="L132" s="149"/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W132" s="149"/>
      <c r="X132" s="149"/>
      <c r="Y132" s="149"/>
      <c r="Z132" s="149"/>
    </row>
    <row r="133" ht="11.25" customHeight="1">
      <c r="A133" s="149"/>
      <c r="B133" s="149"/>
      <c r="C133" s="149"/>
      <c r="D133" s="149"/>
      <c r="E133" s="149"/>
      <c r="F133" s="149"/>
      <c r="G133" s="215"/>
      <c r="H133" s="215"/>
      <c r="I133" s="215"/>
      <c r="J133" s="215"/>
      <c r="K133" s="149"/>
      <c r="L133" s="149"/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W133" s="149"/>
      <c r="X133" s="149"/>
      <c r="Y133" s="149"/>
      <c r="Z133" s="149"/>
    </row>
    <row r="134" ht="11.25" customHeight="1">
      <c r="A134" s="149"/>
      <c r="B134" s="149"/>
      <c r="C134" s="149"/>
      <c r="D134" s="149"/>
      <c r="E134" s="149"/>
      <c r="F134" s="149"/>
      <c r="G134" s="215"/>
      <c r="H134" s="215"/>
      <c r="I134" s="215"/>
      <c r="J134" s="215"/>
      <c r="K134" s="149"/>
      <c r="L134" s="149"/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W134" s="149"/>
      <c r="X134" s="149"/>
      <c r="Y134" s="149"/>
      <c r="Z134" s="149"/>
    </row>
    <row r="135" ht="11.25" customHeight="1">
      <c r="A135" s="149"/>
      <c r="B135" s="149"/>
      <c r="C135" s="149"/>
      <c r="D135" s="149"/>
      <c r="E135" s="149"/>
      <c r="F135" s="149"/>
      <c r="G135" s="215"/>
      <c r="H135" s="215"/>
      <c r="I135" s="215"/>
      <c r="J135" s="215"/>
      <c r="K135" s="149"/>
      <c r="L135" s="149"/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</row>
    <row r="136" ht="11.25" customHeight="1">
      <c r="A136" s="149"/>
      <c r="B136" s="149"/>
      <c r="C136" s="149"/>
      <c r="D136" s="149"/>
      <c r="E136" s="149"/>
      <c r="F136" s="149"/>
      <c r="G136" s="215"/>
      <c r="H136" s="215"/>
      <c r="I136" s="215"/>
      <c r="J136" s="215"/>
      <c r="K136" s="149"/>
      <c r="L136" s="149"/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</row>
    <row r="137" ht="11.25" customHeight="1">
      <c r="A137" s="149"/>
      <c r="B137" s="149"/>
      <c r="C137" s="149"/>
      <c r="D137" s="149"/>
      <c r="E137" s="149"/>
      <c r="F137" s="149"/>
      <c r="G137" s="215"/>
      <c r="H137" s="215"/>
      <c r="I137" s="215"/>
      <c r="J137" s="215"/>
      <c r="K137" s="149"/>
      <c r="L137" s="149"/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</row>
    <row r="138" ht="11.25" customHeight="1">
      <c r="A138" s="149"/>
      <c r="B138" s="149"/>
      <c r="C138" s="149"/>
      <c r="D138" s="149"/>
      <c r="E138" s="149"/>
      <c r="F138" s="149"/>
      <c r="G138" s="215"/>
      <c r="H138" s="215"/>
      <c r="I138" s="215"/>
      <c r="J138" s="215"/>
      <c r="K138" s="149"/>
      <c r="L138" s="149"/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</row>
    <row r="139" ht="11.25" customHeight="1">
      <c r="A139" s="149"/>
      <c r="B139" s="149"/>
      <c r="C139" s="149"/>
      <c r="D139" s="149"/>
      <c r="E139" s="149"/>
      <c r="F139" s="149"/>
      <c r="G139" s="215"/>
      <c r="H139" s="215"/>
      <c r="I139" s="215"/>
      <c r="J139" s="215"/>
      <c r="K139" s="149"/>
      <c r="L139" s="149"/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</row>
    <row r="140" ht="11.25" customHeight="1">
      <c r="A140" s="149"/>
      <c r="B140" s="149"/>
      <c r="C140" s="149"/>
      <c r="D140" s="149"/>
      <c r="E140" s="149"/>
      <c r="F140" s="149"/>
      <c r="G140" s="215"/>
      <c r="H140" s="215"/>
      <c r="I140" s="215"/>
      <c r="J140" s="215"/>
      <c r="K140" s="149"/>
      <c r="L140" s="149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</row>
    <row r="141" ht="11.25" customHeight="1">
      <c r="A141" s="149"/>
      <c r="B141" s="149"/>
      <c r="C141" s="149"/>
      <c r="D141" s="149"/>
      <c r="E141" s="149"/>
      <c r="F141" s="149"/>
      <c r="G141" s="215"/>
      <c r="H141" s="215"/>
      <c r="I141" s="215"/>
      <c r="J141" s="215"/>
      <c r="K141" s="149"/>
      <c r="L141" s="149"/>
      <c r="M141" s="149"/>
      <c r="N141" s="149"/>
      <c r="O141" s="149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</row>
    <row r="142" ht="11.25" customHeight="1">
      <c r="A142" s="149"/>
      <c r="B142" s="149"/>
      <c r="C142" s="149"/>
      <c r="D142" s="149"/>
      <c r="E142" s="149"/>
      <c r="F142" s="149"/>
      <c r="G142" s="215"/>
      <c r="H142" s="215"/>
      <c r="I142" s="215"/>
      <c r="J142" s="215"/>
      <c r="K142" s="149"/>
      <c r="L142" s="149"/>
      <c r="M142" s="149"/>
      <c r="N142" s="149"/>
      <c r="O142" s="149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</row>
    <row r="143" ht="11.25" customHeight="1">
      <c r="A143" s="149"/>
      <c r="B143" s="149"/>
      <c r="C143" s="149"/>
      <c r="D143" s="149"/>
      <c r="E143" s="149"/>
      <c r="F143" s="149"/>
      <c r="G143" s="215"/>
      <c r="H143" s="215"/>
      <c r="I143" s="215"/>
      <c r="J143" s="215"/>
      <c r="K143" s="149"/>
      <c r="L143" s="149"/>
      <c r="M143" s="149"/>
      <c r="N143" s="149"/>
      <c r="O143" s="149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</row>
    <row r="144" ht="11.25" customHeight="1">
      <c r="A144" s="149"/>
      <c r="B144" s="149"/>
      <c r="C144" s="149"/>
      <c r="D144" s="149"/>
      <c r="E144" s="149"/>
      <c r="F144" s="149"/>
      <c r="G144" s="215"/>
      <c r="H144" s="215"/>
      <c r="I144" s="215"/>
      <c r="J144" s="215"/>
      <c r="K144" s="149"/>
      <c r="L144" s="149"/>
      <c r="M144" s="149"/>
      <c r="N144" s="149"/>
      <c r="O144" s="149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</row>
    <row r="145" ht="11.25" customHeight="1">
      <c r="A145" s="149"/>
      <c r="B145" s="149"/>
      <c r="C145" s="149"/>
      <c r="D145" s="149"/>
      <c r="E145" s="149"/>
      <c r="F145" s="149"/>
      <c r="G145" s="215"/>
      <c r="H145" s="215"/>
      <c r="I145" s="215"/>
      <c r="J145" s="215"/>
      <c r="K145" s="149"/>
      <c r="L145" s="149"/>
      <c r="M145" s="149"/>
      <c r="N145" s="149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</row>
    <row r="146" ht="11.25" customHeight="1">
      <c r="A146" s="149"/>
      <c r="B146" s="149"/>
      <c r="C146" s="149"/>
      <c r="D146" s="149"/>
      <c r="E146" s="149"/>
      <c r="F146" s="149"/>
      <c r="G146" s="215"/>
      <c r="H146" s="215"/>
      <c r="I146" s="215"/>
      <c r="J146" s="215"/>
      <c r="K146" s="149"/>
      <c r="L146" s="149"/>
      <c r="M146" s="149"/>
      <c r="N146" s="149"/>
      <c r="O146" s="149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</row>
    <row r="147" ht="11.25" customHeight="1">
      <c r="A147" s="149"/>
      <c r="B147" s="149"/>
      <c r="C147" s="149"/>
      <c r="D147" s="149"/>
      <c r="E147" s="149"/>
      <c r="F147" s="149"/>
      <c r="G147" s="215"/>
      <c r="H147" s="215"/>
      <c r="I147" s="215"/>
      <c r="J147" s="215"/>
      <c r="K147" s="149"/>
      <c r="L147" s="149"/>
      <c r="M147" s="149"/>
      <c r="N147" s="149"/>
      <c r="O147" s="149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</row>
    <row r="148" ht="11.25" customHeight="1">
      <c r="A148" s="149"/>
      <c r="B148" s="149"/>
      <c r="C148" s="149"/>
      <c r="D148" s="149"/>
      <c r="E148" s="149"/>
      <c r="F148" s="149"/>
      <c r="G148" s="215"/>
      <c r="H148" s="215"/>
      <c r="I148" s="215"/>
      <c r="J148" s="215"/>
      <c r="K148" s="149"/>
      <c r="L148" s="149"/>
      <c r="M148" s="149"/>
      <c r="N148" s="149"/>
      <c r="O148" s="149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</row>
    <row r="149" ht="11.25" customHeight="1">
      <c r="A149" s="149"/>
      <c r="B149" s="149"/>
      <c r="C149" s="149"/>
      <c r="D149" s="149"/>
      <c r="E149" s="149"/>
      <c r="F149" s="149"/>
      <c r="G149" s="215"/>
      <c r="H149" s="215"/>
      <c r="I149" s="215"/>
      <c r="J149" s="215"/>
      <c r="K149" s="149"/>
      <c r="L149" s="149"/>
      <c r="M149" s="149"/>
      <c r="N149" s="149"/>
      <c r="O149" s="149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</row>
    <row r="150" ht="11.25" customHeight="1">
      <c r="A150" s="149"/>
      <c r="B150" s="149"/>
      <c r="C150" s="149"/>
      <c r="D150" s="149"/>
      <c r="E150" s="149"/>
      <c r="F150" s="149"/>
      <c r="G150" s="215"/>
      <c r="H150" s="215"/>
      <c r="I150" s="215"/>
      <c r="J150" s="215"/>
      <c r="K150" s="149"/>
      <c r="L150" s="149"/>
      <c r="M150" s="149"/>
      <c r="N150" s="149"/>
      <c r="O150" s="149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</row>
    <row r="151" ht="11.25" customHeight="1">
      <c r="A151" s="149"/>
      <c r="B151" s="149"/>
      <c r="C151" s="149"/>
      <c r="D151" s="149"/>
      <c r="E151" s="149"/>
      <c r="F151" s="149"/>
      <c r="G151" s="215"/>
      <c r="H151" s="215"/>
      <c r="I151" s="215"/>
      <c r="J151" s="215"/>
      <c r="K151" s="149"/>
      <c r="L151" s="149"/>
      <c r="M151" s="149"/>
      <c r="N151" s="149"/>
      <c r="O151" s="149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</row>
    <row r="152" ht="11.25" customHeight="1">
      <c r="A152" s="149"/>
      <c r="B152" s="149"/>
      <c r="C152" s="149"/>
      <c r="D152" s="149"/>
      <c r="E152" s="149"/>
      <c r="F152" s="149"/>
      <c r="G152" s="215"/>
      <c r="H152" s="215"/>
      <c r="I152" s="215"/>
      <c r="J152" s="215"/>
      <c r="K152" s="149"/>
      <c r="L152" s="149"/>
      <c r="M152" s="149"/>
      <c r="N152" s="149"/>
      <c r="O152" s="149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</row>
    <row r="153" ht="11.25" customHeight="1">
      <c r="A153" s="149"/>
      <c r="B153" s="149"/>
      <c r="C153" s="149"/>
      <c r="D153" s="149"/>
      <c r="E153" s="149"/>
      <c r="F153" s="149"/>
      <c r="G153" s="215"/>
      <c r="H153" s="215"/>
      <c r="I153" s="215"/>
      <c r="J153" s="215"/>
      <c r="K153" s="149"/>
      <c r="L153" s="149"/>
      <c r="M153" s="149"/>
      <c r="N153" s="149"/>
      <c r="O153" s="149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</row>
    <row r="154" ht="11.25" customHeight="1">
      <c r="A154" s="149"/>
      <c r="B154" s="149"/>
      <c r="C154" s="149"/>
      <c r="D154" s="149"/>
      <c r="E154" s="149"/>
      <c r="F154" s="149"/>
      <c r="G154" s="215"/>
      <c r="H154" s="215"/>
      <c r="I154" s="215"/>
      <c r="J154" s="215"/>
      <c r="K154" s="149"/>
      <c r="L154" s="149"/>
      <c r="M154" s="149"/>
      <c r="N154" s="149"/>
      <c r="O154" s="149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</row>
    <row r="155" ht="11.25" customHeight="1">
      <c r="A155" s="149"/>
      <c r="B155" s="149"/>
      <c r="C155" s="149"/>
      <c r="D155" s="149"/>
      <c r="E155" s="149"/>
      <c r="F155" s="149"/>
      <c r="G155" s="215"/>
      <c r="H155" s="215"/>
      <c r="I155" s="215"/>
      <c r="J155" s="215"/>
      <c r="K155" s="149"/>
      <c r="L155" s="149"/>
      <c r="M155" s="149"/>
      <c r="N155" s="149"/>
      <c r="O155" s="149"/>
      <c r="P155" s="149"/>
      <c r="Q155" s="149"/>
      <c r="R155" s="149"/>
      <c r="S155" s="149"/>
      <c r="T155" s="149"/>
      <c r="U155" s="149"/>
      <c r="V155" s="149"/>
      <c r="W155" s="149"/>
      <c r="X155" s="149"/>
      <c r="Y155" s="149"/>
      <c r="Z155" s="149"/>
    </row>
    <row r="156" ht="11.25" customHeight="1">
      <c r="A156" s="149"/>
      <c r="B156" s="149"/>
      <c r="C156" s="149"/>
      <c r="D156" s="149"/>
      <c r="E156" s="149"/>
      <c r="F156" s="149"/>
      <c r="G156" s="215"/>
      <c r="H156" s="215"/>
      <c r="I156" s="215"/>
      <c r="J156" s="215"/>
      <c r="K156" s="149"/>
      <c r="L156" s="149"/>
      <c r="M156" s="149"/>
      <c r="N156" s="149"/>
      <c r="O156" s="149"/>
      <c r="P156" s="149"/>
      <c r="Q156" s="149"/>
      <c r="R156" s="149"/>
      <c r="S156" s="149"/>
      <c r="T156" s="149"/>
      <c r="U156" s="149"/>
      <c r="V156" s="149"/>
      <c r="W156" s="149"/>
      <c r="X156" s="149"/>
      <c r="Y156" s="149"/>
      <c r="Z156" s="149"/>
    </row>
    <row r="157" ht="11.25" customHeight="1">
      <c r="A157" s="149"/>
      <c r="B157" s="149"/>
      <c r="C157" s="149"/>
      <c r="D157" s="149"/>
      <c r="E157" s="149"/>
      <c r="F157" s="149"/>
      <c r="G157" s="215"/>
      <c r="H157" s="215"/>
      <c r="I157" s="215"/>
      <c r="J157" s="215"/>
      <c r="K157" s="149"/>
      <c r="L157" s="149"/>
      <c r="M157" s="149"/>
      <c r="N157" s="149"/>
      <c r="O157" s="149"/>
      <c r="P157" s="149"/>
      <c r="Q157" s="149"/>
      <c r="R157" s="149"/>
      <c r="S157" s="149"/>
      <c r="T157" s="149"/>
      <c r="U157" s="149"/>
      <c r="V157" s="149"/>
      <c r="W157" s="149"/>
      <c r="X157" s="149"/>
      <c r="Y157" s="149"/>
      <c r="Z157" s="149"/>
    </row>
    <row r="158" ht="11.25" customHeight="1">
      <c r="A158" s="149"/>
      <c r="B158" s="149"/>
      <c r="C158" s="149"/>
      <c r="D158" s="149"/>
      <c r="E158" s="149"/>
      <c r="F158" s="149"/>
      <c r="G158" s="215"/>
      <c r="H158" s="215"/>
      <c r="I158" s="215"/>
      <c r="J158" s="215"/>
      <c r="K158" s="149"/>
      <c r="L158" s="149"/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W158" s="149"/>
      <c r="X158" s="149"/>
      <c r="Y158" s="149"/>
      <c r="Z158" s="149"/>
    </row>
    <row r="159" ht="11.25" customHeight="1">
      <c r="A159" s="149"/>
      <c r="B159" s="149"/>
      <c r="C159" s="149"/>
      <c r="D159" s="149"/>
      <c r="E159" s="149"/>
      <c r="F159" s="149"/>
      <c r="G159" s="215"/>
      <c r="H159" s="215"/>
      <c r="I159" s="215"/>
      <c r="J159" s="215"/>
      <c r="K159" s="149"/>
      <c r="L159" s="149"/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W159" s="149"/>
      <c r="X159" s="149"/>
      <c r="Y159" s="149"/>
      <c r="Z159" s="149"/>
    </row>
    <row r="160" ht="11.25" customHeight="1">
      <c r="A160" s="149"/>
      <c r="B160" s="149"/>
      <c r="C160" s="149"/>
      <c r="D160" s="149"/>
      <c r="E160" s="149"/>
      <c r="F160" s="149"/>
      <c r="G160" s="215"/>
      <c r="H160" s="215"/>
      <c r="I160" s="215"/>
      <c r="J160" s="215"/>
      <c r="K160" s="149"/>
      <c r="L160" s="149"/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W160" s="149"/>
      <c r="X160" s="149"/>
      <c r="Y160" s="149"/>
      <c r="Z160" s="149"/>
    </row>
    <row r="161" ht="11.25" customHeight="1">
      <c r="A161" s="149"/>
      <c r="B161" s="149"/>
      <c r="C161" s="149"/>
      <c r="D161" s="149"/>
      <c r="E161" s="149"/>
      <c r="F161" s="149"/>
      <c r="G161" s="215"/>
      <c r="H161" s="215"/>
      <c r="I161" s="215"/>
      <c r="J161" s="215"/>
      <c r="K161" s="149"/>
      <c r="L161" s="149"/>
      <c r="M161" s="149"/>
      <c r="N161" s="149"/>
      <c r="O161" s="149"/>
      <c r="P161" s="149"/>
      <c r="Q161" s="149"/>
      <c r="R161" s="149"/>
      <c r="S161" s="149"/>
      <c r="T161" s="149"/>
      <c r="U161" s="149"/>
      <c r="V161" s="149"/>
      <c r="W161" s="149"/>
      <c r="X161" s="149"/>
      <c r="Y161" s="149"/>
      <c r="Z161" s="149"/>
    </row>
    <row r="162" ht="11.25" customHeight="1">
      <c r="A162" s="149"/>
      <c r="B162" s="149"/>
      <c r="C162" s="149"/>
      <c r="D162" s="149"/>
      <c r="E162" s="149"/>
      <c r="F162" s="149"/>
      <c r="G162" s="215"/>
      <c r="H162" s="215"/>
      <c r="I162" s="215"/>
      <c r="J162" s="215"/>
      <c r="K162" s="149"/>
      <c r="L162" s="149"/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W162" s="149"/>
      <c r="X162" s="149"/>
      <c r="Y162" s="149"/>
      <c r="Z162" s="149"/>
    </row>
    <row r="163" ht="11.25" customHeight="1">
      <c r="A163" s="149"/>
      <c r="B163" s="149"/>
      <c r="C163" s="149"/>
      <c r="D163" s="149"/>
      <c r="E163" s="149"/>
      <c r="F163" s="149"/>
      <c r="G163" s="215"/>
      <c r="H163" s="215"/>
      <c r="I163" s="215"/>
      <c r="J163" s="215"/>
      <c r="K163" s="149"/>
      <c r="L163" s="149"/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W163" s="149"/>
      <c r="X163" s="149"/>
      <c r="Y163" s="149"/>
      <c r="Z163" s="149"/>
    </row>
    <row r="164" ht="11.25" customHeight="1">
      <c r="A164" s="149"/>
      <c r="B164" s="149"/>
      <c r="C164" s="149"/>
      <c r="D164" s="149"/>
      <c r="E164" s="149"/>
      <c r="F164" s="149"/>
      <c r="G164" s="215"/>
      <c r="H164" s="215"/>
      <c r="I164" s="215"/>
      <c r="J164" s="215"/>
      <c r="K164" s="149"/>
      <c r="L164" s="149"/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W164" s="149"/>
      <c r="X164" s="149"/>
      <c r="Y164" s="149"/>
      <c r="Z164" s="149"/>
    </row>
    <row r="165" ht="11.25" customHeight="1">
      <c r="A165" s="149"/>
      <c r="B165" s="149"/>
      <c r="C165" s="149"/>
      <c r="D165" s="149"/>
      <c r="E165" s="149"/>
      <c r="F165" s="149"/>
      <c r="G165" s="215"/>
      <c r="H165" s="215"/>
      <c r="I165" s="215"/>
      <c r="J165" s="215"/>
      <c r="K165" s="149"/>
      <c r="L165" s="149"/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W165" s="149"/>
      <c r="X165" s="149"/>
      <c r="Y165" s="149"/>
      <c r="Z165" s="149"/>
    </row>
    <row r="166" ht="11.25" customHeight="1">
      <c r="A166" s="149"/>
      <c r="B166" s="149"/>
      <c r="C166" s="149"/>
      <c r="D166" s="149"/>
      <c r="E166" s="149"/>
      <c r="F166" s="149"/>
      <c r="G166" s="215"/>
      <c r="H166" s="215"/>
      <c r="I166" s="215"/>
      <c r="J166" s="215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W166" s="149"/>
      <c r="X166" s="149"/>
      <c r="Y166" s="149"/>
      <c r="Z166" s="149"/>
    </row>
    <row r="167" ht="11.25" customHeight="1">
      <c r="A167" s="149"/>
      <c r="B167" s="149"/>
      <c r="C167" s="149"/>
      <c r="D167" s="149"/>
      <c r="E167" s="149"/>
      <c r="F167" s="149"/>
      <c r="G167" s="215"/>
      <c r="H167" s="215"/>
      <c r="I167" s="215"/>
      <c r="J167" s="215"/>
      <c r="K167" s="149"/>
      <c r="L167" s="149"/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W167" s="149"/>
      <c r="X167" s="149"/>
      <c r="Y167" s="149"/>
      <c r="Z167" s="149"/>
    </row>
    <row r="168" ht="11.25" customHeight="1">
      <c r="A168" s="149"/>
      <c r="B168" s="149"/>
      <c r="C168" s="149"/>
      <c r="D168" s="149"/>
      <c r="E168" s="149"/>
      <c r="F168" s="149"/>
      <c r="G168" s="215"/>
      <c r="H168" s="215"/>
      <c r="I168" s="215"/>
      <c r="J168" s="215"/>
      <c r="K168" s="149"/>
      <c r="L168" s="149"/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W168" s="149"/>
      <c r="X168" s="149"/>
      <c r="Y168" s="149"/>
      <c r="Z168" s="149"/>
    </row>
    <row r="169" ht="11.25" customHeight="1">
      <c r="A169" s="149"/>
      <c r="B169" s="149"/>
      <c r="C169" s="149"/>
      <c r="D169" s="149"/>
      <c r="E169" s="149"/>
      <c r="F169" s="149"/>
      <c r="G169" s="215"/>
      <c r="H169" s="215"/>
      <c r="I169" s="215"/>
      <c r="J169" s="215"/>
      <c r="K169" s="149"/>
      <c r="L169" s="149"/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W169" s="149"/>
      <c r="X169" s="149"/>
      <c r="Y169" s="149"/>
      <c r="Z169" s="149"/>
    </row>
    <row r="170" ht="11.25" customHeight="1">
      <c r="A170" s="149"/>
      <c r="B170" s="149"/>
      <c r="C170" s="149"/>
      <c r="D170" s="149"/>
      <c r="E170" s="149"/>
      <c r="F170" s="149"/>
      <c r="G170" s="215"/>
      <c r="H170" s="215"/>
      <c r="I170" s="215"/>
      <c r="J170" s="215"/>
      <c r="K170" s="149"/>
      <c r="L170" s="149"/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W170" s="149"/>
      <c r="X170" s="149"/>
      <c r="Y170" s="149"/>
      <c r="Z170" s="149"/>
    </row>
    <row r="171" ht="11.25" customHeight="1">
      <c r="A171" s="149"/>
      <c r="B171" s="149"/>
      <c r="C171" s="149"/>
      <c r="D171" s="149"/>
      <c r="E171" s="149"/>
      <c r="F171" s="149"/>
      <c r="G171" s="215"/>
      <c r="H171" s="215"/>
      <c r="I171" s="215"/>
      <c r="J171" s="215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W171" s="149"/>
      <c r="X171" s="149"/>
      <c r="Y171" s="149"/>
      <c r="Z171" s="149"/>
    </row>
    <row r="172" ht="11.25" customHeight="1">
      <c r="A172" s="149"/>
      <c r="B172" s="149"/>
      <c r="C172" s="149"/>
      <c r="D172" s="149"/>
      <c r="E172" s="149"/>
      <c r="F172" s="149"/>
      <c r="G172" s="215"/>
      <c r="H172" s="215"/>
      <c r="I172" s="215"/>
      <c r="J172" s="215"/>
      <c r="K172" s="149"/>
      <c r="L172" s="149"/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W172" s="149"/>
      <c r="X172" s="149"/>
      <c r="Y172" s="149"/>
      <c r="Z172" s="149"/>
    </row>
    <row r="173" ht="11.25" customHeight="1">
      <c r="A173" s="149"/>
      <c r="B173" s="149"/>
      <c r="C173" s="149"/>
      <c r="D173" s="149"/>
      <c r="E173" s="149"/>
      <c r="F173" s="149"/>
      <c r="G173" s="215"/>
      <c r="H173" s="215"/>
      <c r="I173" s="215"/>
      <c r="J173" s="215"/>
      <c r="K173" s="149"/>
      <c r="L173" s="149"/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W173" s="149"/>
      <c r="X173" s="149"/>
      <c r="Y173" s="149"/>
      <c r="Z173" s="149"/>
    </row>
    <row r="174" ht="11.25" customHeight="1">
      <c r="A174" s="149"/>
      <c r="B174" s="149"/>
      <c r="C174" s="149"/>
      <c r="D174" s="149"/>
      <c r="E174" s="149"/>
      <c r="F174" s="149"/>
      <c r="G174" s="215"/>
      <c r="H174" s="215"/>
      <c r="I174" s="215"/>
      <c r="J174" s="215"/>
      <c r="K174" s="149"/>
      <c r="L174" s="149"/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W174" s="149"/>
      <c r="X174" s="149"/>
      <c r="Y174" s="149"/>
      <c r="Z174" s="149"/>
    </row>
    <row r="175" ht="11.25" customHeight="1">
      <c r="A175" s="149"/>
      <c r="B175" s="149"/>
      <c r="C175" s="149"/>
      <c r="D175" s="149"/>
      <c r="E175" s="149"/>
      <c r="F175" s="149"/>
      <c r="G175" s="215"/>
      <c r="H175" s="215"/>
      <c r="I175" s="215"/>
      <c r="J175" s="215"/>
      <c r="K175" s="149"/>
      <c r="L175" s="149"/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W175" s="149"/>
      <c r="X175" s="149"/>
      <c r="Y175" s="149"/>
      <c r="Z175" s="149"/>
    </row>
    <row r="176" ht="11.25" customHeight="1">
      <c r="A176" s="149"/>
      <c r="B176" s="149"/>
      <c r="C176" s="149"/>
      <c r="D176" s="149"/>
      <c r="E176" s="149"/>
      <c r="F176" s="149"/>
      <c r="G176" s="215"/>
      <c r="H176" s="215"/>
      <c r="I176" s="215"/>
      <c r="J176" s="215"/>
      <c r="K176" s="149"/>
      <c r="L176" s="149"/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W176" s="149"/>
      <c r="X176" s="149"/>
      <c r="Y176" s="149"/>
      <c r="Z176" s="149"/>
    </row>
    <row r="177" ht="11.25" customHeight="1">
      <c r="A177" s="149"/>
      <c r="B177" s="149"/>
      <c r="C177" s="149"/>
      <c r="D177" s="149"/>
      <c r="E177" s="149"/>
      <c r="F177" s="149"/>
      <c r="G177" s="215"/>
      <c r="H177" s="215"/>
      <c r="I177" s="215"/>
      <c r="J177" s="215"/>
      <c r="K177" s="149"/>
      <c r="L177" s="149"/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W177" s="149"/>
      <c r="X177" s="149"/>
      <c r="Y177" s="149"/>
      <c r="Z177" s="149"/>
    </row>
    <row r="178" ht="11.25" customHeight="1">
      <c r="A178" s="149"/>
      <c r="B178" s="149"/>
      <c r="C178" s="149"/>
      <c r="D178" s="149"/>
      <c r="E178" s="149"/>
      <c r="F178" s="149"/>
      <c r="G178" s="215"/>
      <c r="H178" s="215"/>
      <c r="I178" s="215"/>
      <c r="J178" s="215"/>
      <c r="K178" s="149"/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W178" s="149"/>
      <c r="X178" s="149"/>
      <c r="Y178" s="149"/>
      <c r="Z178" s="149"/>
    </row>
    <row r="179" ht="11.25" customHeight="1">
      <c r="A179" s="149"/>
      <c r="B179" s="149"/>
      <c r="C179" s="149"/>
      <c r="D179" s="149"/>
      <c r="E179" s="149"/>
      <c r="F179" s="149"/>
      <c r="G179" s="215"/>
      <c r="H179" s="215"/>
      <c r="I179" s="215"/>
      <c r="J179" s="215"/>
      <c r="K179" s="149"/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W179" s="149"/>
      <c r="X179" s="149"/>
      <c r="Y179" s="149"/>
      <c r="Z179" s="149"/>
    </row>
    <row r="180" ht="11.25" customHeight="1">
      <c r="A180" s="149"/>
      <c r="B180" s="149"/>
      <c r="C180" s="149"/>
      <c r="D180" s="149"/>
      <c r="E180" s="149"/>
      <c r="F180" s="149"/>
      <c r="G180" s="215"/>
      <c r="H180" s="215"/>
      <c r="I180" s="215"/>
      <c r="J180" s="215"/>
      <c r="K180" s="149"/>
      <c r="L180" s="149"/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W180" s="149"/>
      <c r="X180" s="149"/>
      <c r="Y180" s="149"/>
      <c r="Z180" s="149"/>
    </row>
    <row r="181" ht="11.25" customHeight="1">
      <c r="A181" s="149"/>
      <c r="B181" s="149"/>
      <c r="C181" s="149"/>
      <c r="D181" s="149"/>
      <c r="E181" s="149"/>
      <c r="F181" s="149"/>
      <c r="G181" s="215"/>
      <c r="H181" s="215"/>
      <c r="I181" s="215"/>
      <c r="J181" s="215"/>
      <c r="K181" s="149"/>
      <c r="L181" s="149"/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W181" s="149"/>
      <c r="X181" s="149"/>
      <c r="Y181" s="149"/>
      <c r="Z181" s="149"/>
    </row>
    <row r="182" ht="11.25" customHeight="1">
      <c r="A182" s="149"/>
      <c r="B182" s="149"/>
      <c r="C182" s="149"/>
      <c r="D182" s="149"/>
      <c r="E182" s="149"/>
      <c r="F182" s="149"/>
      <c r="G182" s="215"/>
      <c r="H182" s="215"/>
      <c r="I182" s="215"/>
      <c r="J182" s="215"/>
      <c r="K182" s="149"/>
      <c r="L182" s="149"/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W182" s="149"/>
      <c r="X182" s="149"/>
      <c r="Y182" s="149"/>
      <c r="Z182" s="149"/>
    </row>
    <row r="183" ht="11.25" customHeight="1">
      <c r="A183" s="149"/>
      <c r="B183" s="149"/>
      <c r="C183" s="149"/>
      <c r="D183" s="149"/>
      <c r="E183" s="149"/>
      <c r="F183" s="149"/>
      <c r="G183" s="215"/>
      <c r="H183" s="215"/>
      <c r="I183" s="215"/>
      <c r="J183" s="215"/>
      <c r="K183" s="149"/>
      <c r="L183" s="149"/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W183" s="149"/>
      <c r="X183" s="149"/>
      <c r="Y183" s="149"/>
      <c r="Z183" s="149"/>
    </row>
    <row r="184" ht="11.25" customHeight="1">
      <c r="A184" s="149"/>
      <c r="B184" s="149"/>
      <c r="C184" s="149"/>
      <c r="D184" s="149"/>
      <c r="E184" s="149"/>
      <c r="F184" s="149"/>
      <c r="G184" s="215"/>
      <c r="H184" s="215"/>
      <c r="I184" s="215"/>
      <c r="J184" s="215"/>
      <c r="K184" s="149"/>
      <c r="L184" s="149"/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W184" s="149"/>
      <c r="X184" s="149"/>
      <c r="Y184" s="149"/>
      <c r="Z184" s="149"/>
    </row>
    <row r="185" ht="11.25" customHeight="1">
      <c r="A185" s="149"/>
      <c r="B185" s="149"/>
      <c r="C185" s="149"/>
      <c r="D185" s="149"/>
      <c r="E185" s="149"/>
      <c r="F185" s="149"/>
      <c r="G185" s="215"/>
      <c r="H185" s="215"/>
      <c r="I185" s="215"/>
      <c r="J185" s="215"/>
      <c r="K185" s="149"/>
      <c r="L185" s="149"/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W185" s="149"/>
      <c r="X185" s="149"/>
      <c r="Y185" s="149"/>
      <c r="Z185" s="149"/>
    </row>
    <row r="186" ht="11.25" customHeight="1">
      <c r="A186" s="149"/>
      <c r="B186" s="149"/>
      <c r="C186" s="149"/>
      <c r="D186" s="149"/>
      <c r="E186" s="149"/>
      <c r="F186" s="149"/>
      <c r="G186" s="215"/>
      <c r="H186" s="215"/>
      <c r="I186" s="215"/>
      <c r="J186" s="215"/>
      <c r="K186" s="149"/>
      <c r="L186" s="149"/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W186" s="149"/>
      <c r="X186" s="149"/>
      <c r="Y186" s="149"/>
      <c r="Z186" s="149"/>
    </row>
    <row r="187" ht="11.25" customHeight="1">
      <c r="A187" s="149"/>
      <c r="B187" s="149"/>
      <c r="C187" s="149"/>
      <c r="D187" s="149"/>
      <c r="E187" s="149"/>
      <c r="F187" s="149"/>
      <c r="G187" s="215"/>
      <c r="H187" s="215"/>
      <c r="I187" s="215"/>
      <c r="J187" s="215"/>
      <c r="K187" s="149"/>
      <c r="L187" s="149"/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W187" s="149"/>
      <c r="X187" s="149"/>
      <c r="Y187" s="149"/>
      <c r="Z187" s="149"/>
    </row>
    <row r="188" ht="11.25" customHeight="1">
      <c r="A188" s="149"/>
      <c r="B188" s="149"/>
      <c r="C188" s="149"/>
      <c r="D188" s="149"/>
      <c r="E188" s="149"/>
      <c r="F188" s="149"/>
      <c r="G188" s="215"/>
      <c r="H188" s="215"/>
      <c r="I188" s="215"/>
      <c r="J188" s="215"/>
      <c r="K188" s="149"/>
      <c r="L188" s="149"/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W188" s="149"/>
      <c r="X188" s="149"/>
      <c r="Y188" s="149"/>
      <c r="Z188" s="149"/>
    </row>
    <row r="189" ht="11.25" customHeight="1">
      <c r="A189" s="149"/>
      <c r="B189" s="149"/>
      <c r="C189" s="149"/>
      <c r="D189" s="149"/>
      <c r="E189" s="149"/>
      <c r="F189" s="149"/>
      <c r="G189" s="215"/>
      <c r="H189" s="215"/>
      <c r="I189" s="215"/>
      <c r="J189" s="215"/>
      <c r="K189" s="149"/>
      <c r="L189" s="149"/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W189" s="149"/>
      <c r="X189" s="149"/>
      <c r="Y189" s="149"/>
      <c r="Z189" s="149"/>
    </row>
    <row r="190" ht="11.25" customHeight="1">
      <c r="A190" s="149"/>
      <c r="B190" s="149"/>
      <c r="C190" s="149"/>
      <c r="D190" s="149"/>
      <c r="E190" s="149"/>
      <c r="F190" s="149"/>
      <c r="G190" s="215"/>
      <c r="H190" s="215"/>
      <c r="I190" s="215"/>
      <c r="J190" s="215"/>
      <c r="K190" s="149"/>
      <c r="L190" s="149"/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W190" s="149"/>
      <c r="X190" s="149"/>
      <c r="Y190" s="149"/>
      <c r="Z190" s="149"/>
    </row>
    <row r="191" ht="11.25" customHeight="1">
      <c r="A191" s="149"/>
      <c r="B191" s="149"/>
      <c r="C191" s="149"/>
      <c r="D191" s="149"/>
      <c r="E191" s="149"/>
      <c r="F191" s="149"/>
      <c r="G191" s="215"/>
      <c r="H191" s="215"/>
      <c r="I191" s="215"/>
      <c r="J191" s="215"/>
      <c r="K191" s="149"/>
      <c r="L191" s="149"/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W191" s="149"/>
      <c r="X191" s="149"/>
      <c r="Y191" s="149"/>
      <c r="Z191" s="149"/>
    </row>
    <row r="192" ht="11.25" customHeight="1">
      <c r="A192" s="149"/>
      <c r="B192" s="149"/>
      <c r="C192" s="149"/>
      <c r="D192" s="149"/>
      <c r="E192" s="149"/>
      <c r="F192" s="149"/>
      <c r="G192" s="215"/>
      <c r="H192" s="215"/>
      <c r="I192" s="215"/>
      <c r="J192" s="215"/>
      <c r="K192" s="149"/>
      <c r="L192" s="149"/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W192" s="149"/>
      <c r="X192" s="149"/>
      <c r="Y192" s="149"/>
      <c r="Z192" s="149"/>
    </row>
    <row r="193" ht="11.25" customHeight="1">
      <c r="A193" s="149"/>
      <c r="B193" s="149"/>
      <c r="C193" s="149"/>
      <c r="D193" s="149"/>
      <c r="E193" s="149"/>
      <c r="F193" s="149"/>
      <c r="G193" s="215"/>
      <c r="H193" s="215"/>
      <c r="I193" s="215"/>
      <c r="J193" s="215"/>
      <c r="K193" s="149"/>
      <c r="L193" s="149"/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W193" s="149"/>
      <c r="X193" s="149"/>
      <c r="Y193" s="149"/>
      <c r="Z193" s="149"/>
    </row>
    <row r="194" ht="11.25" customHeight="1">
      <c r="A194" s="149"/>
      <c r="B194" s="149"/>
      <c r="C194" s="149"/>
      <c r="D194" s="149"/>
      <c r="E194" s="149"/>
      <c r="F194" s="149"/>
      <c r="G194" s="215"/>
      <c r="H194" s="215"/>
      <c r="I194" s="215"/>
      <c r="J194" s="215"/>
      <c r="K194" s="149"/>
      <c r="L194" s="149"/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W194" s="149"/>
      <c r="X194" s="149"/>
      <c r="Y194" s="149"/>
      <c r="Z194" s="149"/>
    </row>
    <row r="195" ht="11.25" customHeight="1">
      <c r="A195" s="149"/>
      <c r="B195" s="149"/>
      <c r="C195" s="149"/>
      <c r="D195" s="149"/>
      <c r="E195" s="149"/>
      <c r="F195" s="149"/>
      <c r="G195" s="215"/>
      <c r="H195" s="215"/>
      <c r="I195" s="215"/>
      <c r="J195" s="215"/>
      <c r="K195" s="149"/>
      <c r="L195" s="149"/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W195" s="149"/>
      <c r="X195" s="149"/>
      <c r="Y195" s="149"/>
      <c r="Z195" s="149"/>
    </row>
    <row r="196" ht="11.25" customHeight="1">
      <c r="A196" s="149"/>
      <c r="B196" s="149"/>
      <c r="C196" s="149"/>
      <c r="D196" s="149"/>
      <c r="E196" s="149"/>
      <c r="F196" s="149"/>
      <c r="G196" s="215"/>
      <c r="H196" s="215"/>
      <c r="I196" s="215"/>
      <c r="J196" s="215"/>
      <c r="K196" s="149"/>
      <c r="L196" s="149"/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W196" s="149"/>
      <c r="X196" s="149"/>
      <c r="Y196" s="149"/>
      <c r="Z196" s="149"/>
    </row>
    <row r="197" ht="11.25" customHeight="1">
      <c r="A197" s="149"/>
      <c r="B197" s="149"/>
      <c r="C197" s="149"/>
      <c r="D197" s="149"/>
      <c r="E197" s="149"/>
      <c r="F197" s="149"/>
      <c r="G197" s="215"/>
      <c r="H197" s="215"/>
      <c r="I197" s="215"/>
      <c r="J197" s="215"/>
      <c r="K197" s="149"/>
      <c r="L197" s="149"/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W197" s="149"/>
      <c r="X197" s="149"/>
      <c r="Y197" s="149"/>
      <c r="Z197" s="149"/>
    </row>
    <row r="198" ht="11.25" customHeight="1">
      <c r="A198" s="149"/>
      <c r="B198" s="149"/>
      <c r="C198" s="149"/>
      <c r="D198" s="149"/>
      <c r="E198" s="149"/>
      <c r="F198" s="149"/>
      <c r="G198" s="215"/>
      <c r="H198" s="215"/>
      <c r="I198" s="215"/>
      <c r="J198" s="215"/>
      <c r="K198" s="149"/>
      <c r="L198" s="149"/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W198" s="149"/>
      <c r="X198" s="149"/>
      <c r="Y198" s="149"/>
      <c r="Z198" s="149"/>
    </row>
    <row r="199" ht="11.25" customHeight="1">
      <c r="A199" s="149"/>
      <c r="B199" s="149"/>
      <c r="C199" s="149"/>
      <c r="D199" s="149"/>
      <c r="E199" s="149"/>
      <c r="F199" s="149"/>
      <c r="G199" s="215"/>
      <c r="H199" s="215"/>
      <c r="I199" s="215"/>
      <c r="J199" s="215"/>
      <c r="K199" s="149"/>
      <c r="L199" s="149"/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W199" s="149"/>
      <c r="X199" s="149"/>
      <c r="Y199" s="149"/>
      <c r="Z199" s="149"/>
    </row>
    <row r="200" ht="11.25" customHeight="1">
      <c r="A200" s="149"/>
      <c r="B200" s="149"/>
      <c r="C200" s="149"/>
      <c r="D200" s="149"/>
      <c r="E200" s="149"/>
      <c r="F200" s="149"/>
      <c r="G200" s="215"/>
      <c r="H200" s="215"/>
      <c r="I200" s="215"/>
      <c r="J200" s="215"/>
      <c r="K200" s="149"/>
      <c r="L200" s="149"/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W200" s="149"/>
      <c r="X200" s="149"/>
      <c r="Y200" s="149"/>
      <c r="Z200" s="149"/>
    </row>
    <row r="201" ht="11.25" customHeight="1">
      <c r="A201" s="149"/>
      <c r="B201" s="149"/>
      <c r="C201" s="149"/>
      <c r="D201" s="149"/>
      <c r="E201" s="149"/>
      <c r="F201" s="149"/>
      <c r="G201" s="215"/>
      <c r="H201" s="215"/>
      <c r="I201" s="215"/>
      <c r="J201" s="215"/>
      <c r="K201" s="149"/>
      <c r="L201" s="149"/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W201" s="149"/>
      <c r="X201" s="149"/>
      <c r="Y201" s="149"/>
      <c r="Z201" s="149"/>
    </row>
    <row r="202" ht="11.25" customHeight="1">
      <c r="A202" s="149"/>
      <c r="B202" s="149"/>
      <c r="C202" s="149"/>
      <c r="D202" s="149"/>
      <c r="E202" s="149"/>
      <c r="F202" s="149"/>
      <c r="G202" s="215"/>
      <c r="H202" s="215"/>
      <c r="I202" s="215"/>
      <c r="J202" s="215"/>
      <c r="K202" s="149"/>
      <c r="L202" s="149"/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W202" s="149"/>
      <c r="X202" s="149"/>
      <c r="Y202" s="149"/>
      <c r="Z202" s="149"/>
    </row>
    <row r="203" ht="11.25" customHeight="1">
      <c r="A203" s="149"/>
      <c r="B203" s="149"/>
      <c r="C203" s="149"/>
      <c r="D203" s="149"/>
      <c r="E203" s="149"/>
      <c r="F203" s="149"/>
      <c r="G203" s="215"/>
      <c r="H203" s="215"/>
      <c r="I203" s="215"/>
      <c r="J203" s="215"/>
      <c r="K203" s="149"/>
      <c r="L203" s="149"/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W203" s="149"/>
      <c r="X203" s="149"/>
      <c r="Y203" s="149"/>
      <c r="Z203" s="149"/>
    </row>
    <row r="204" ht="11.25" customHeight="1">
      <c r="A204" s="149"/>
      <c r="B204" s="149"/>
      <c r="C204" s="149"/>
      <c r="D204" s="149"/>
      <c r="E204" s="149"/>
      <c r="F204" s="149"/>
      <c r="G204" s="215"/>
      <c r="H204" s="215"/>
      <c r="I204" s="215"/>
      <c r="J204" s="215"/>
      <c r="K204" s="149"/>
      <c r="L204" s="149"/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W204" s="149"/>
      <c r="X204" s="149"/>
      <c r="Y204" s="149"/>
      <c r="Z204" s="149"/>
    </row>
    <row r="205" ht="11.25" customHeight="1">
      <c r="A205" s="149"/>
      <c r="B205" s="149"/>
      <c r="C205" s="149"/>
      <c r="D205" s="149"/>
      <c r="E205" s="149"/>
      <c r="F205" s="149"/>
      <c r="G205" s="215"/>
      <c r="H205" s="215"/>
      <c r="I205" s="215"/>
      <c r="J205" s="215"/>
      <c r="K205" s="149"/>
      <c r="L205" s="149"/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W205" s="149"/>
      <c r="X205" s="149"/>
      <c r="Y205" s="149"/>
      <c r="Z205" s="149"/>
    </row>
    <row r="206" ht="11.25" customHeight="1">
      <c r="A206" s="149"/>
      <c r="B206" s="149"/>
      <c r="C206" s="149"/>
      <c r="D206" s="149"/>
      <c r="E206" s="149"/>
      <c r="F206" s="149"/>
      <c r="G206" s="215"/>
      <c r="H206" s="215"/>
      <c r="I206" s="215"/>
      <c r="J206" s="215"/>
      <c r="K206" s="149"/>
      <c r="L206" s="149"/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W206" s="149"/>
      <c r="X206" s="149"/>
      <c r="Y206" s="149"/>
      <c r="Z206" s="149"/>
    </row>
    <row r="207" ht="11.25" customHeight="1">
      <c r="A207" s="149"/>
      <c r="B207" s="149"/>
      <c r="C207" s="149"/>
      <c r="D207" s="149"/>
      <c r="E207" s="149"/>
      <c r="F207" s="149"/>
      <c r="G207" s="215"/>
      <c r="H207" s="215"/>
      <c r="I207" s="215"/>
      <c r="J207" s="215"/>
      <c r="K207" s="149"/>
      <c r="L207" s="149"/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W207" s="149"/>
      <c r="X207" s="149"/>
      <c r="Y207" s="149"/>
      <c r="Z207" s="149"/>
    </row>
    <row r="208" ht="11.25" customHeight="1">
      <c r="A208" s="149"/>
      <c r="B208" s="149"/>
      <c r="C208" s="149"/>
      <c r="D208" s="149"/>
      <c r="E208" s="149"/>
      <c r="F208" s="149"/>
      <c r="G208" s="215"/>
      <c r="H208" s="215"/>
      <c r="I208" s="215"/>
      <c r="J208" s="215"/>
      <c r="K208" s="149"/>
      <c r="L208" s="149"/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W208" s="149"/>
      <c r="X208" s="149"/>
      <c r="Y208" s="149"/>
      <c r="Z208" s="149"/>
    </row>
    <row r="209" ht="11.25" customHeight="1">
      <c r="A209" s="149"/>
      <c r="B209" s="149"/>
      <c r="C209" s="149"/>
      <c r="D209" s="149"/>
      <c r="E209" s="149"/>
      <c r="F209" s="149"/>
      <c r="G209" s="215"/>
      <c r="H209" s="215"/>
      <c r="I209" s="215"/>
      <c r="J209" s="215"/>
      <c r="K209" s="149"/>
      <c r="L209" s="149"/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W209" s="149"/>
      <c r="X209" s="149"/>
      <c r="Y209" s="149"/>
      <c r="Z209" s="149"/>
    </row>
    <row r="210" ht="11.25" customHeight="1">
      <c r="A210" s="149"/>
      <c r="B210" s="149"/>
      <c r="C210" s="149"/>
      <c r="D210" s="149"/>
      <c r="E210" s="149"/>
      <c r="F210" s="149"/>
      <c r="G210" s="215"/>
      <c r="H210" s="215"/>
      <c r="I210" s="215"/>
      <c r="J210" s="215"/>
      <c r="K210" s="149"/>
      <c r="L210" s="149"/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W210" s="149"/>
      <c r="X210" s="149"/>
      <c r="Y210" s="149"/>
      <c r="Z210" s="149"/>
    </row>
    <row r="211" ht="11.25" customHeight="1">
      <c r="A211" s="149"/>
      <c r="B211" s="149"/>
      <c r="C211" s="149"/>
      <c r="D211" s="149"/>
      <c r="E211" s="149"/>
      <c r="F211" s="149"/>
      <c r="G211" s="215"/>
      <c r="H211" s="215"/>
      <c r="I211" s="215"/>
      <c r="J211" s="215"/>
      <c r="K211" s="149"/>
      <c r="L211" s="149"/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W211" s="149"/>
      <c r="X211" s="149"/>
      <c r="Y211" s="149"/>
      <c r="Z211" s="149"/>
    </row>
    <row r="212" ht="11.25" customHeight="1">
      <c r="A212" s="149"/>
      <c r="B212" s="149"/>
      <c r="C212" s="149"/>
      <c r="D212" s="149"/>
      <c r="E212" s="149"/>
      <c r="F212" s="149"/>
      <c r="G212" s="215"/>
      <c r="H212" s="215"/>
      <c r="I212" s="215"/>
      <c r="J212" s="215"/>
      <c r="K212" s="149"/>
      <c r="L212" s="149"/>
      <c r="M212" s="149"/>
      <c r="N212" s="149"/>
      <c r="O212" s="149"/>
      <c r="P212" s="149"/>
      <c r="Q212" s="149"/>
      <c r="R212" s="149"/>
      <c r="S212" s="149"/>
      <c r="T212" s="149"/>
      <c r="U212" s="149"/>
      <c r="V212" s="149"/>
      <c r="W212" s="149"/>
      <c r="X212" s="149"/>
      <c r="Y212" s="149"/>
      <c r="Z212" s="149"/>
    </row>
    <row r="213" ht="11.25" customHeight="1">
      <c r="A213" s="149"/>
      <c r="B213" s="149"/>
      <c r="C213" s="149"/>
      <c r="D213" s="149"/>
      <c r="E213" s="149"/>
      <c r="F213" s="149"/>
      <c r="G213" s="215"/>
      <c r="H213" s="215"/>
      <c r="I213" s="215"/>
      <c r="J213" s="215"/>
      <c r="K213" s="149"/>
      <c r="L213" s="149"/>
      <c r="M213" s="149"/>
      <c r="N213" s="149"/>
      <c r="O213" s="149"/>
      <c r="P213" s="149"/>
      <c r="Q213" s="149"/>
      <c r="R213" s="149"/>
      <c r="S213" s="149"/>
      <c r="T213" s="149"/>
      <c r="U213" s="149"/>
      <c r="V213" s="149"/>
      <c r="W213" s="149"/>
      <c r="X213" s="149"/>
      <c r="Y213" s="149"/>
      <c r="Z213" s="149"/>
    </row>
    <row r="214" ht="11.25" customHeight="1">
      <c r="A214" s="149"/>
      <c r="B214" s="149"/>
      <c r="C214" s="149"/>
      <c r="D214" s="149"/>
      <c r="E214" s="149"/>
      <c r="F214" s="149"/>
      <c r="G214" s="215"/>
      <c r="H214" s="215"/>
      <c r="I214" s="215"/>
      <c r="J214" s="215"/>
      <c r="K214" s="149"/>
      <c r="L214" s="149"/>
      <c r="M214" s="149"/>
      <c r="N214" s="149"/>
      <c r="O214" s="149"/>
      <c r="P214" s="149"/>
      <c r="Q214" s="149"/>
      <c r="R214" s="149"/>
      <c r="S214" s="149"/>
      <c r="T214" s="149"/>
      <c r="U214" s="149"/>
      <c r="V214" s="149"/>
      <c r="W214" s="149"/>
      <c r="X214" s="149"/>
      <c r="Y214" s="149"/>
      <c r="Z214" s="149"/>
    </row>
    <row r="215" ht="11.25" customHeight="1">
      <c r="A215" s="149"/>
      <c r="B215" s="149"/>
      <c r="C215" s="149"/>
      <c r="D215" s="149"/>
      <c r="E215" s="149"/>
      <c r="F215" s="149"/>
      <c r="G215" s="215"/>
      <c r="H215" s="215"/>
      <c r="I215" s="215"/>
      <c r="J215" s="215"/>
      <c r="K215" s="149"/>
      <c r="L215" s="149"/>
      <c r="M215" s="149"/>
      <c r="N215" s="149"/>
      <c r="O215" s="149"/>
      <c r="P215" s="149"/>
      <c r="Q215" s="149"/>
      <c r="R215" s="149"/>
      <c r="S215" s="149"/>
      <c r="T215" s="149"/>
      <c r="U215" s="149"/>
      <c r="V215" s="149"/>
      <c r="W215" s="149"/>
      <c r="X215" s="149"/>
      <c r="Y215" s="149"/>
      <c r="Z215" s="149"/>
    </row>
    <row r="216" ht="11.25" customHeight="1">
      <c r="A216" s="149"/>
      <c r="B216" s="149"/>
      <c r="C216" s="149"/>
      <c r="D216" s="149"/>
      <c r="E216" s="149"/>
      <c r="F216" s="149"/>
      <c r="G216" s="215"/>
      <c r="H216" s="215"/>
      <c r="I216" s="215"/>
      <c r="J216" s="215"/>
      <c r="K216" s="149"/>
      <c r="L216" s="149"/>
      <c r="M216" s="149"/>
      <c r="N216" s="149"/>
      <c r="O216" s="149"/>
      <c r="P216" s="149"/>
      <c r="Q216" s="149"/>
      <c r="R216" s="149"/>
      <c r="S216" s="149"/>
      <c r="T216" s="149"/>
      <c r="U216" s="149"/>
      <c r="V216" s="149"/>
      <c r="W216" s="149"/>
      <c r="X216" s="149"/>
      <c r="Y216" s="149"/>
      <c r="Z216" s="149"/>
    </row>
    <row r="217" ht="11.25" customHeight="1">
      <c r="A217" s="149"/>
      <c r="B217" s="149"/>
      <c r="C217" s="149"/>
      <c r="D217" s="149"/>
      <c r="E217" s="149"/>
      <c r="F217" s="149"/>
      <c r="G217" s="215"/>
      <c r="H217" s="215"/>
      <c r="I217" s="215"/>
      <c r="J217" s="215"/>
      <c r="K217" s="149"/>
      <c r="L217" s="149"/>
      <c r="M217" s="149"/>
      <c r="N217" s="149"/>
      <c r="O217" s="149"/>
      <c r="P217" s="149"/>
      <c r="Q217" s="149"/>
      <c r="R217" s="149"/>
      <c r="S217" s="149"/>
      <c r="T217" s="149"/>
      <c r="U217" s="149"/>
      <c r="V217" s="149"/>
      <c r="W217" s="149"/>
      <c r="X217" s="149"/>
      <c r="Y217" s="149"/>
      <c r="Z217" s="149"/>
    </row>
    <row r="218" ht="11.25" customHeight="1">
      <c r="A218" s="149"/>
      <c r="B218" s="149"/>
      <c r="C218" s="149"/>
      <c r="D218" s="149"/>
      <c r="E218" s="149"/>
      <c r="F218" s="149"/>
      <c r="G218" s="215"/>
      <c r="H218" s="215"/>
      <c r="I218" s="215"/>
      <c r="J218" s="215"/>
      <c r="K218" s="149"/>
      <c r="L218" s="149"/>
      <c r="M218" s="149"/>
      <c r="N218" s="149"/>
      <c r="O218" s="149"/>
      <c r="P218" s="149"/>
      <c r="Q218" s="149"/>
      <c r="R218" s="149"/>
      <c r="S218" s="149"/>
      <c r="T218" s="149"/>
      <c r="U218" s="149"/>
      <c r="V218" s="149"/>
      <c r="W218" s="149"/>
      <c r="X218" s="149"/>
      <c r="Y218" s="149"/>
      <c r="Z218" s="149"/>
    </row>
    <row r="219" ht="11.25" customHeight="1">
      <c r="A219" s="149"/>
      <c r="B219" s="149"/>
      <c r="C219" s="149"/>
      <c r="D219" s="149"/>
      <c r="E219" s="149"/>
      <c r="F219" s="149"/>
      <c r="G219" s="215"/>
      <c r="H219" s="215"/>
      <c r="I219" s="215"/>
      <c r="J219" s="215"/>
      <c r="K219" s="149"/>
      <c r="L219" s="149"/>
      <c r="M219" s="149"/>
      <c r="N219" s="149"/>
      <c r="O219" s="149"/>
      <c r="P219" s="149"/>
      <c r="Q219" s="149"/>
      <c r="R219" s="149"/>
      <c r="S219" s="149"/>
      <c r="T219" s="149"/>
      <c r="U219" s="149"/>
      <c r="V219" s="149"/>
      <c r="W219" s="149"/>
      <c r="X219" s="149"/>
      <c r="Y219" s="149"/>
      <c r="Z219" s="149"/>
    </row>
    <row r="220" ht="11.25" customHeight="1">
      <c r="A220" s="149"/>
      <c r="B220" s="149"/>
      <c r="C220" s="149"/>
      <c r="D220" s="149"/>
      <c r="E220" s="149"/>
      <c r="F220" s="149"/>
      <c r="G220" s="215"/>
      <c r="H220" s="215"/>
      <c r="I220" s="215"/>
      <c r="J220" s="215"/>
      <c r="K220" s="149"/>
      <c r="L220" s="149"/>
      <c r="M220" s="149"/>
      <c r="N220" s="149"/>
      <c r="O220" s="149"/>
      <c r="P220" s="149"/>
      <c r="Q220" s="149"/>
      <c r="R220" s="149"/>
      <c r="S220" s="149"/>
      <c r="T220" s="149"/>
      <c r="U220" s="149"/>
      <c r="V220" s="149"/>
      <c r="W220" s="149"/>
      <c r="X220" s="149"/>
      <c r="Y220" s="149"/>
      <c r="Z220" s="149"/>
    </row>
    <row r="221" ht="11.25" customHeight="1">
      <c r="A221" s="149"/>
      <c r="B221" s="149"/>
      <c r="C221" s="149"/>
      <c r="D221" s="149"/>
      <c r="E221" s="149"/>
      <c r="F221" s="149"/>
      <c r="G221" s="215"/>
      <c r="H221" s="215"/>
      <c r="I221" s="215"/>
      <c r="J221" s="215"/>
      <c r="K221" s="149"/>
      <c r="L221" s="149"/>
      <c r="M221" s="149"/>
      <c r="N221" s="149"/>
      <c r="O221" s="149"/>
      <c r="P221" s="149"/>
      <c r="Q221" s="149"/>
      <c r="R221" s="149"/>
      <c r="S221" s="149"/>
      <c r="T221" s="149"/>
      <c r="U221" s="149"/>
      <c r="V221" s="149"/>
      <c r="W221" s="149"/>
      <c r="X221" s="149"/>
      <c r="Y221" s="149"/>
      <c r="Z221" s="149"/>
    </row>
    <row r="222" ht="11.25" customHeight="1">
      <c r="A222" s="149"/>
      <c r="B222" s="149"/>
      <c r="C222" s="149"/>
      <c r="D222" s="149"/>
      <c r="E222" s="149"/>
      <c r="F222" s="149"/>
      <c r="G222" s="215"/>
      <c r="H222" s="215"/>
      <c r="I222" s="215"/>
      <c r="J222" s="215"/>
      <c r="K222" s="149"/>
      <c r="L222" s="149"/>
      <c r="M222" s="149"/>
      <c r="N222" s="149"/>
      <c r="O222" s="149"/>
      <c r="P222" s="149"/>
      <c r="Q222" s="149"/>
      <c r="R222" s="149"/>
      <c r="S222" s="149"/>
      <c r="T222" s="149"/>
      <c r="U222" s="149"/>
      <c r="V222" s="149"/>
      <c r="W222" s="149"/>
      <c r="X222" s="149"/>
      <c r="Y222" s="149"/>
      <c r="Z222" s="149"/>
    </row>
    <row r="223" ht="11.25" customHeight="1">
      <c r="A223" s="149"/>
      <c r="B223" s="149"/>
      <c r="C223" s="149"/>
      <c r="D223" s="149"/>
      <c r="E223" s="149"/>
      <c r="F223" s="149"/>
      <c r="G223" s="215"/>
      <c r="H223" s="215"/>
      <c r="I223" s="215"/>
      <c r="J223" s="215"/>
      <c r="K223" s="149"/>
      <c r="L223" s="149"/>
      <c r="M223" s="149"/>
      <c r="N223" s="149"/>
      <c r="O223" s="149"/>
      <c r="P223" s="149"/>
      <c r="Q223" s="149"/>
      <c r="R223" s="149"/>
      <c r="S223" s="149"/>
      <c r="T223" s="149"/>
      <c r="U223" s="149"/>
      <c r="V223" s="149"/>
      <c r="W223" s="149"/>
      <c r="X223" s="149"/>
      <c r="Y223" s="149"/>
      <c r="Z223" s="149"/>
    </row>
    <row r="224" ht="11.25" customHeight="1">
      <c r="A224" s="149"/>
      <c r="B224" s="149"/>
      <c r="C224" s="149"/>
      <c r="D224" s="149"/>
      <c r="E224" s="149"/>
      <c r="F224" s="149"/>
      <c r="G224" s="215"/>
      <c r="H224" s="215"/>
      <c r="I224" s="215"/>
      <c r="J224" s="215"/>
      <c r="K224" s="149"/>
      <c r="L224" s="149"/>
      <c r="M224" s="149"/>
      <c r="N224" s="149"/>
      <c r="O224" s="149"/>
      <c r="P224" s="149"/>
      <c r="Q224" s="149"/>
      <c r="R224" s="149"/>
      <c r="S224" s="149"/>
      <c r="T224" s="149"/>
      <c r="U224" s="149"/>
      <c r="V224" s="149"/>
      <c r="W224" s="149"/>
      <c r="X224" s="149"/>
      <c r="Y224" s="149"/>
      <c r="Z224" s="149"/>
    </row>
    <row r="225" ht="11.25" customHeight="1">
      <c r="A225" s="149"/>
      <c r="B225" s="149"/>
      <c r="C225" s="149"/>
      <c r="D225" s="149"/>
      <c r="E225" s="149"/>
      <c r="F225" s="149"/>
      <c r="G225" s="215"/>
      <c r="H225" s="215"/>
      <c r="I225" s="215"/>
      <c r="J225" s="215"/>
      <c r="K225" s="149"/>
      <c r="L225" s="149"/>
      <c r="M225" s="149"/>
      <c r="N225" s="149"/>
      <c r="O225" s="149"/>
      <c r="P225" s="149"/>
      <c r="Q225" s="149"/>
      <c r="R225" s="149"/>
      <c r="S225" s="149"/>
      <c r="T225" s="149"/>
      <c r="U225" s="149"/>
      <c r="V225" s="149"/>
      <c r="W225" s="149"/>
      <c r="X225" s="149"/>
      <c r="Y225" s="149"/>
      <c r="Z225" s="149"/>
    </row>
    <row r="226" ht="11.25" customHeight="1">
      <c r="A226" s="149"/>
      <c r="B226" s="149"/>
      <c r="C226" s="149"/>
      <c r="D226" s="149"/>
      <c r="E226" s="149"/>
      <c r="F226" s="149"/>
      <c r="G226" s="215"/>
      <c r="H226" s="215"/>
      <c r="I226" s="215"/>
      <c r="J226" s="215"/>
      <c r="K226" s="149"/>
      <c r="L226" s="149"/>
      <c r="M226" s="149"/>
      <c r="N226" s="149"/>
      <c r="O226" s="149"/>
      <c r="P226" s="149"/>
      <c r="Q226" s="149"/>
      <c r="R226" s="149"/>
      <c r="S226" s="149"/>
      <c r="T226" s="149"/>
      <c r="U226" s="149"/>
      <c r="V226" s="149"/>
      <c r="W226" s="149"/>
      <c r="X226" s="149"/>
      <c r="Y226" s="149"/>
      <c r="Z226" s="149"/>
    </row>
    <row r="227" ht="11.25" customHeight="1">
      <c r="A227" s="149"/>
      <c r="B227" s="149"/>
      <c r="C227" s="149"/>
      <c r="D227" s="149"/>
      <c r="E227" s="149"/>
      <c r="F227" s="149"/>
      <c r="G227" s="215"/>
      <c r="H227" s="215"/>
      <c r="I227" s="215"/>
      <c r="J227" s="215"/>
      <c r="K227" s="149"/>
      <c r="L227" s="149"/>
      <c r="M227" s="149"/>
      <c r="N227" s="149"/>
      <c r="O227" s="149"/>
      <c r="P227" s="149"/>
      <c r="Q227" s="149"/>
      <c r="R227" s="149"/>
      <c r="S227" s="149"/>
      <c r="T227" s="149"/>
      <c r="U227" s="149"/>
      <c r="V227" s="149"/>
      <c r="W227" s="149"/>
      <c r="X227" s="149"/>
      <c r="Y227" s="149"/>
      <c r="Z227" s="149"/>
    </row>
    <row r="228" ht="11.25" customHeight="1">
      <c r="A228" s="149"/>
      <c r="B228" s="149"/>
      <c r="C228" s="149"/>
      <c r="D228" s="149"/>
      <c r="E228" s="149"/>
      <c r="F228" s="149"/>
      <c r="G228" s="215"/>
      <c r="H228" s="215"/>
      <c r="I228" s="215"/>
      <c r="J228" s="215"/>
      <c r="K228" s="149"/>
      <c r="L228" s="149"/>
      <c r="M228" s="149"/>
      <c r="N228" s="149"/>
      <c r="O228" s="149"/>
      <c r="P228" s="149"/>
      <c r="Q228" s="149"/>
      <c r="R228" s="149"/>
      <c r="S228" s="149"/>
      <c r="T228" s="149"/>
      <c r="U228" s="149"/>
      <c r="V228" s="149"/>
      <c r="W228" s="149"/>
      <c r="X228" s="149"/>
      <c r="Y228" s="149"/>
      <c r="Z228" s="149"/>
    </row>
    <row r="229" ht="11.25" customHeight="1">
      <c r="A229" s="149"/>
      <c r="B229" s="149"/>
      <c r="C229" s="149"/>
      <c r="D229" s="149"/>
      <c r="E229" s="149"/>
      <c r="F229" s="149"/>
      <c r="G229" s="215"/>
      <c r="H229" s="215"/>
      <c r="I229" s="215"/>
      <c r="J229" s="215"/>
      <c r="K229" s="149"/>
      <c r="L229" s="149"/>
      <c r="M229" s="149"/>
      <c r="N229" s="149"/>
      <c r="O229" s="149"/>
      <c r="P229" s="149"/>
      <c r="Q229" s="149"/>
      <c r="R229" s="149"/>
      <c r="S229" s="149"/>
      <c r="T229" s="149"/>
      <c r="U229" s="149"/>
      <c r="V229" s="149"/>
      <c r="W229" s="149"/>
      <c r="X229" s="149"/>
      <c r="Y229" s="149"/>
      <c r="Z229" s="149"/>
    </row>
    <row r="230" ht="11.25" customHeight="1">
      <c r="A230" s="149"/>
      <c r="B230" s="149"/>
      <c r="C230" s="149"/>
      <c r="D230" s="149"/>
      <c r="E230" s="149"/>
      <c r="F230" s="149"/>
      <c r="G230" s="215"/>
      <c r="H230" s="215"/>
      <c r="I230" s="215"/>
      <c r="J230" s="215"/>
      <c r="K230" s="149"/>
      <c r="L230" s="149"/>
      <c r="M230" s="149"/>
      <c r="N230" s="149"/>
      <c r="O230" s="149"/>
      <c r="P230" s="149"/>
      <c r="Q230" s="149"/>
      <c r="R230" s="149"/>
      <c r="S230" s="149"/>
      <c r="T230" s="149"/>
      <c r="U230" s="149"/>
      <c r="V230" s="149"/>
      <c r="W230" s="149"/>
      <c r="X230" s="149"/>
      <c r="Y230" s="149"/>
      <c r="Z230" s="149"/>
    </row>
    <row r="231" ht="11.25" customHeight="1">
      <c r="A231" s="149"/>
      <c r="B231" s="149"/>
      <c r="C231" s="149"/>
      <c r="D231" s="149"/>
      <c r="E231" s="149"/>
      <c r="F231" s="149"/>
      <c r="G231" s="215"/>
      <c r="H231" s="215"/>
      <c r="I231" s="215"/>
      <c r="J231" s="215"/>
      <c r="K231" s="149"/>
      <c r="L231" s="149"/>
      <c r="M231" s="149"/>
      <c r="N231" s="149"/>
      <c r="O231" s="149"/>
      <c r="P231" s="149"/>
      <c r="Q231" s="149"/>
      <c r="R231" s="149"/>
      <c r="S231" s="149"/>
      <c r="T231" s="149"/>
      <c r="U231" s="149"/>
      <c r="V231" s="149"/>
      <c r="W231" s="149"/>
      <c r="X231" s="149"/>
      <c r="Y231" s="149"/>
      <c r="Z231" s="149"/>
    </row>
    <row r="232" ht="11.25" customHeight="1">
      <c r="A232" s="149"/>
      <c r="B232" s="149"/>
      <c r="C232" s="149"/>
      <c r="D232" s="149"/>
      <c r="E232" s="149"/>
      <c r="F232" s="149"/>
      <c r="G232" s="215"/>
      <c r="H232" s="215"/>
      <c r="I232" s="215"/>
      <c r="J232" s="215"/>
      <c r="K232" s="149"/>
      <c r="L232" s="149"/>
      <c r="M232" s="149"/>
      <c r="N232" s="149"/>
      <c r="O232" s="149"/>
      <c r="P232" s="149"/>
      <c r="Q232" s="149"/>
      <c r="R232" s="149"/>
      <c r="S232" s="149"/>
      <c r="T232" s="149"/>
      <c r="U232" s="149"/>
      <c r="V232" s="149"/>
      <c r="W232" s="149"/>
      <c r="X232" s="149"/>
      <c r="Y232" s="149"/>
      <c r="Z232" s="149"/>
    </row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7" footer="0.0" header="0.0" left="0.25" right="0.25" top="0.73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26.25"/>
    <col customWidth="1" min="2" max="2" width="10.38"/>
    <col customWidth="1" min="3" max="3" width="10.88"/>
    <col customWidth="1" min="4" max="4" width="12.0"/>
    <col customWidth="1" min="5" max="5" width="15.13"/>
    <col customWidth="1" min="6" max="6" width="15.88"/>
    <col customWidth="1" min="7" max="26" width="9.13"/>
  </cols>
  <sheetData>
    <row r="1" ht="11.25" customHeight="1">
      <c r="A1" s="184" t="s">
        <v>515</v>
      </c>
      <c r="B1" s="184" t="s">
        <v>482</v>
      </c>
      <c r="C1" s="184" t="s">
        <v>563</v>
      </c>
      <c r="D1" s="184" t="s">
        <v>37</v>
      </c>
      <c r="E1" s="184" t="s">
        <v>564</v>
      </c>
      <c r="F1" s="184" t="s">
        <v>565</v>
      </c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</row>
    <row r="2" ht="11.25" customHeight="1">
      <c r="A2" s="193"/>
      <c r="B2" s="149"/>
      <c r="C2" s="149"/>
      <c r="D2" s="215"/>
      <c r="E2" s="196"/>
      <c r="F2" s="224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</row>
    <row r="3" ht="11.25" customHeight="1">
      <c r="A3" s="198" t="s">
        <v>10</v>
      </c>
      <c r="B3" s="149"/>
      <c r="C3" s="149"/>
      <c r="D3" s="215"/>
      <c r="E3" s="196"/>
      <c r="F3" s="224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9"/>
      <c r="X3" s="149"/>
      <c r="Y3" s="149"/>
      <c r="Z3" s="149"/>
    </row>
    <row r="4" ht="11.25" customHeight="1">
      <c r="A4" s="200" t="s">
        <v>543</v>
      </c>
      <c r="B4" s="201"/>
      <c r="C4" s="201"/>
      <c r="D4" s="206"/>
      <c r="E4" s="203"/>
      <c r="F4" s="203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</row>
    <row r="5" ht="11.25" customHeight="1">
      <c r="A5" s="200" t="s">
        <v>544</v>
      </c>
      <c r="B5" s="201"/>
      <c r="C5" s="201"/>
      <c r="D5" s="206"/>
      <c r="E5" s="203"/>
      <c r="F5" s="203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  <c r="Y5" s="149"/>
      <c r="Z5" s="149"/>
    </row>
    <row r="6" ht="11.25" customHeight="1">
      <c r="A6" s="200" t="s">
        <v>545</v>
      </c>
      <c r="B6" s="201"/>
      <c r="C6" s="201"/>
      <c r="D6" s="206"/>
      <c r="E6" s="203"/>
      <c r="F6" s="203"/>
      <c r="G6" s="149"/>
      <c r="H6" s="149"/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</row>
    <row r="7" ht="11.25" customHeight="1">
      <c r="A7" s="200" t="s">
        <v>546</v>
      </c>
      <c r="B7" s="201"/>
      <c r="C7" s="201"/>
      <c r="D7" s="206"/>
      <c r="E7" s="203"/>
      <c r="F7" s="203"/>
      <c r="G7" s="149"/>
      <c r="H7" s="149"/>
      <c r="I7" s="149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</row>
    <row r="8" ht="11.25" customHeight="1">
      <c r="A8" s="200" t="s">
        <v>547</v>
      </c>
      <c r="B8" s="201"/>
      <c r="C8" s="201"/>
      <c r="D8" s="206"/>
      <c r="E8" s="203"/>
      <c r="F8" s="203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</row>
    <row r="9" ht="11.25" customHeight="1">
      <c r="A9" s="225" t="s">
        <v>541</v>
      </c>
      <c r="B9" s="201"/>
      <c r="C9" s="201"/>
      <c r="D9" s="206"/>
      <c r="E9" s="203"/>
      <c r="F9" s="203"/>
      <c r="G9" s="149"/>
      <c r="H9" s="149"/>
      <c r="I9" s="149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</row>
    <row r="10" ht="11.25" customHeight="1">
      <c r="A10" s="193"/>
      <c r="B10" s="149"/>
      <c r="C10" s="149"/>
      <c r="D10" s="149"/>
      <c r="E10" s="196"/>
      <c r="F10" s="224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</row>
    <row r="11" ht="11.25" customHeight="1">
      <c r="A11" s="198" t="s">
        <v>13</v>
      </c>
      <c r="B11" s="169"/>
      <c r="C11" s="169"/>
      <c r="D11" s="149"/>
      <c r="E11" s="196"/>
      <c r="F11" s="224"/>
      <c r="G11" s="149"/>
      <c r="H11" s="149"/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</row>
    <row r="12" ht="11.25" customHeight="1">
      <c r="A12" s="200" t="s">
        <v>522</v>
      </c>
      <c r="B12" s="201"/>
      <c r="C12" s="201"/>
      <c r="D12" s="206"/>
      <c r="E12" s="203"/>
      <c r="F12" s="203"/>
      <c r="G12" s="149"/>
      <c r="H12" s="149"/>
      <c r="I12" s="149"/>
      <c r="J12" s="149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  <c r="X12" s="149"/>
      <c r="Y12" s="149"/>
      <c r="Z12" s="149"/>
    </row>
    <row r="13" ht="11.25" customHeight="1">
      <c r="A13" s="200" t="s">
        <v>523</v>
      </c>
      <c r="B13" s="201"/>
      <c r="C13" s="201"/>
      <c r="D13" s="206"/>
      <c r="E13" s="203"/>
      <c r="F13" s="203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  <c r="Y13" s="149"/>
      <c r="Z13" s="149"/>
    </row>
    <row r="14" ht="11.25" customHeight="1">
      <c r="A14" s="200" t="s">
        <v>524</v>
      </c>
      <c r="B14" s="201"/>
      <c r="C14" s="201"/>
      <c r="D14" s="206"/>
      <c r="E14" s="203"/>
      <c r="F14" s="203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149"/>
      <c r="Z14" s="149"/>
    </row>
    <row r="15" ht="11.25" customHeight="1">
      <c r="A15" s="200" t="s">
        <v>525</v>
      </c>
      <c r="B15" s="201"/>
      <c r="C15" s="201"/>
      <c r="D15" s="206"/>
      <c r="E15" s="203"/>
      <c r="F15" s="203"/>
      <c r="G15" s="149"/>
      <c r="H15" s="149"/>
      <c r="I15" s="149"/>
      <c r="J15" s="149"/>
      <c r="K15" s="149"/>
      <c r="L15" s="149"/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W15" s="149"/>
      <c r="X15" s="149"/>
      <c r="Y15" s="149"/>
      <c r="Z15" s="149"/>
    </row>
    <row r="16" ht="11.25" customHeight="1">
      <c r="A16" s="200" t="s">
        <v>526</v>
      </c>
      <c r="B16" s="201"/>
      <c r="C16" s="201"/>
      <c r="D16" s="206"/>
      <c r="E16" s="203"/>
      <c r="F16" s="203"/>
      <c r="G16" s="149"/>
      <c r="H16" s="149"/>
      <c r="I16" s="149"/>
      <c r="J16" s="149"/>
      <c r="K16" s="149"/>
      <c r="L16" s="149"/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W16" s="149"/>
      <c r="X16" s="149"/>
      <c r="Y16" s="149"/>
      <c r="Z16" s="149"/>
    </row>
    <row r="17" ht="11.25" customHeight="1">
      <c r="A17" s="200" t="s">
        <v>529</v>
      </c>
      <c r="B17" s="201"/>
      <c r="C17" s="201"/>
      <c r="D17" s="206"/>
      <c r="E17" s="203"/>
      <c r="F17" s="203"/>
      <c r="G17" s="149"/>
      <c r="H17" s="149"/>
      <c r="I17" s="149"/>
      <c r="J17" s="149"/>
      <c r="K17" s="149"/>
      <c r="L17" s="149"/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W17" s="149"/>
      <c r="X17" s="149"/>
      <c r="Y17" s="149"/>
      <c r="Z17" s="149"/>
    </row>
    <row r="18" ht="11.25" customHeight="1">
      <c r="A18" s="200" t="s">
        <v>527</v>
      </c>
      <c r="B18" s="201"/>
      <c r="C18" s="201"/>
      <c r="D18" s="206"/>
      <c r="E18" s="203"/>
      <c r="F18" s="203"/>
      <c r="G18" s="149"/>
      <c r="H18" s="149"/>
      <c r="I18" s="149"/>
      <c r="J18" s="149"/>
      <c r="K18" s="149"/>
      <c r="L18" s="149"/>
      <c r="M18" s="149"/>
      <c r="N18" s="149"/>
      <c r="O18" s="149"/>
      <c r="P18" s="149"/>
      <c r="Q18" s="149"/>
      <c r="R18" s="149"/>
      <c r="S18" s="149"/>
      <c r="T18" s="149"/>
      <c r="U18" s="149"/>
      <c r="V18" s="149"/>
      <c r="W18" s="149"/>
      <c r="X18" s="149"/>
      <c r="Y18" s="149"/>
      <c r="Z18" s="149"/>
    </row>
    <row r="19" ht="11.25" customHeight="1">
      <c r="A19" s="200" t="s">
        <v>528</v>
      </c>
      <c r="B19" s="201"/>
      <c r="C19" s="201"/>
      <c r="D19" s="206"/>
      <c r="E19" s="203"/>
      <c r="F19" s="203"/>
      <c r="G19" s="149"/>
      <c r="H19" s="149"/>
      <c r="I19" s="149"/>
      <c r="J19" s="149"/>
      <c r="K19" s="149"/>
      <c r="L19" s="149"/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W19" s="149"/>
      <c r="X19" s="149"/>
      <c r="Y19" s="149"/>
      <c r="Z19" s="149"/>
    </row>
    <row r="20" ht="11.25" customHeight="1">
      <c r="A20" s="200" t="s">
        <v>530</v>
      </c>
      <c r="B20" s="201"/>
      <c r="C20" s="201"/>
      <c r="D20" s="206"/>
      <c r="E20" s="203"/>
      <c r="F20" s="203"/>
      <c r="G20" s="149"/>
      <c r="H20" s="149"/>
      <c r="I20" s="149"/>
      <c r="J20" s="149"/>
      <c r="K20" s="149"/>
      <c r="L20" s="149"/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W20" s="149"/>
      <c r="X20" s="149"/>
      <c r="Y20" s="149"/>
      <c r="Z20" s="149"/>
    </row>
    <row r="21" ht="11.25" customHeight="1">
      <c r="A21" s="200" t="s">
        <v>531</v>
      </c>
      <c r="B21" s="201"/>
      <c r="C21" s="201"/>
      <c r="D21" s="206"/>
      <c r="E21" s="203"/>
      <c r="F21" s="203"/>
      <c r="G21" s="149"/>
      <c r="H21" s="149"/>
      <c r="I21" s="149"/>
      <c r="J21" s="149"/>
      <c r="K21" s="149"/>
      <c r="L21" s="149"/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W21" s="149"/>
      <c r="X21" s="149"/>
      <c r="Y21" s="149"/>
      <c r="Z21" s="149"/>
    </row>
    <row r="22" ht="11.25" customHeight="1">
      <c r="A22" s="200" t="s">
        <v>532</v>
      </c>
      <c r="B22" s="201"/>
      <c r="C22" s="201"/>
      <c r="D22" s="206"/>
      <c r="E22" s="203"/>
      <c r="F22" s="203"/>
      <c r="G22" s="149"/>
      <c r="H22" s="149"/>
      <c r="I22" s="149"/>
      <c r="J22" s="149"/>
      <c r="K22" s="149"/>
      <c r="L22" s="149"/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W22" s="149"/>
      <c r="X22" s="149"/>
      <c r="Y22" s="149"/>
      <c r="Z22" s="149"/>
    </row>
    <row r="23" ht="11.25" customHeight="1">
      <c r="A23" s="200" t="s">
        <v>533</v>
      </c>
      <c r="B23" s="201"/>
      <c r="C23" s="201"/>
      <c r="D23" s="206"/>
      <c r="E23" s="203"/>
      <c r="F23" s="203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</row>
    <row r="24" ht="11.25" customHeight="1">
      <c r="A24" s="200" t="s">
        <v>534</v>
      </c>
      <c r="B24" s="201"/>
      <c r="C24" s="201"/>
      <c r="D24" s="206"/>
      <c r="E24" s="203"/>
      <c r="F24" s="203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</row>
    <row r="25" ht="11.25" customHeight="1">
      <c r="A25" s="200" t="s">
        <v>535</v>
      </c>
      <c r="B25" s="201"/>
      <c r="C25" s="201"/>
      <c r="D25" s="206"/>
      <c r="E25" s="203"/>
      <c r="F25" s="203"/>
      <c r="G25" s="149"/>
      <c r="H25" s="149"/>
      <c r="I25" s="149"/>
      <c r="J25" s="149"/>
      <c r="K25" s="149"/>
      <c r="L25" s="149"/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W25" s="149"/>
      <c r="X25" s="149"/>
      <c r="Y25" s="149"/>
      <c r="Z25" s="149"/>
    </row>
    <row r="26" ht="11.25" customHeight="1">
      <c r="A26" s="200" t="s">
        <v>536</v>
      </c>
      <c r="B26" s="201"/>
      <c r="C26" s="201"/>
      <c r="D26" s="206"/>
      <c r="E26" s="203"/>
      <c r="F26" s="203"/>
      <c r="G26" s="149"/>
      <c r="H26" s="149"/>
      <c r="I26" s="149"/>
      <c r="J26" s="149"/>
      <c r="K26" s="149"/>
      <c r="L26" s="149"/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W26" s="149"/>
      <c r="X26" s="149"/>
      <c r="Y26" s="149"/>
      <c r="Z26" s="149"/>
    </row>
    <row r="27" ht="11.25" customHeight="1">
      <c r="A27" s="200" t="s">
        <v>537</v>
      </c>
      <c r="B27" s="201"/>
      <c r="C27" s="201"/>
      <c r="D27" s="206"/>
      <c r="E27" s="203"/>
      <c r="F27" s="203"/>
      <c r="G27" s="149"/>
      <c r="H27" s="149"/>
      <c r="I27" s="149"/>
      <c r="J27" s="149"/>
      <c r="K27" s="149"/>
      <c r="L27" s="149"/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W27" s="149"/>
      <c r="X27" s="149"/>
      <c r="Y27" s="149"/>
      <c r="Z27" s="149"/>
    </row>
    <row r="28" ht="11.25" customHeight="1">
      <c r="A28" s="200" t="s">
        <v>538</v>
      </c>
      <c r="B28" s="201"/>
      <c r="C28" s="201"/>
      <c r="D28" s="206"/>
      <c r="E28" s="203"/>
      <c r="F28" s="203"/>
      <c r="G28" s="149"/>
      <c r="H28" s="149"/>
      <c r="I28" s="149"/>
      <c r="J28" s="149"/>
      <c r="K28" s="149"/>
      <c r="L28" s="149"/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W28" s="149"/>
      <c r="X28" s="149"/>
      <c r="Y28" s="149"/>
      <c r="Z28" s="149"/>
    </row>
    <row r="29" ht="11.25" customHeight="1">
      <c r="A29" s="225" t="s">
        <v>541</v>
      </c>
      <c r="B29" s="201"/>
      <c r="C29" s="201"/>
      <c r="D29" s="206"/>
      <c r="E29" s="203"/>
      <c r="F29" s="203"/>
      <c r="G29" s="149"/>
      <c r="H29" s="149"/>
      <c r="I29" s="149"/>
      <c r="J29" s="149"/>
      <c r="K29" s="149"/>
      <c r="L29" s="149"/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W29" s="149"/>
      <c r="X29" s="149"/>
      <c r="Y29" s="149"/>
      <c r="Z29" s="149"/>
    </row>
    <row r="30" ht="11.25" customHeight="1">
      <c r="A30" s="193" t="s">
        <v>577</v>
      </c>
      <c r="B30" s="169"/>
      <c r="C30" s="149"/>
      <c r="D30" s="149"/>
      <c r="E30" s="196"/>
      <c r="F30" s="224"/>
      <c r="G30" s="149"/>
      <c r="H30" s="149"/>
      <c r="I30" s="149"/>
      <c r="J30" s="149"/>
      <c r="K30" s="149"/>
      <c r="L30" s="149"/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W30" s="149"/>
      <c r="X30" s="149"/>
      <c r="Y30" s="149"/>
      <c r="Z30" s="149"/>
    </row>
    <row r="31" ht="11.25" customHeight="1">
      <c r="A31" s="193" t="s">
        <v>578</v>
      </c>
      <c r="B31" s="149"/>
      <c r="C31" s="149"/>
      <c r="D31" s="149"/>
      <c r="E31" s="169"/>
      <c r="F31" s="226"/>
      <c r="G31" s="149"/>
      <c r="H31" s="149"/>
      <c r="I31" s="149"/>
      <c r="J31" s="149"/>
      <c r="K31" s="149"/>
      <c r="L31" s="149"/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W31" s="149"/>
      <c r="X31" s="149"/>
      <c r="Y31" s="149"/>
      <c r="Z31" s="149"/>
    </row>
    <row r="32" ht="11.25" customHeight="1">
      <c r="A32" s="149"/>
      <c r="B32" s="149"/>
      <c r="C32" s="149"/>
      <c r="D32" s="149"/>
      <c r="E32" s="149"/>
      <c r="F32" s="227"/>
      <c r="G32" s="149"/>
      <c r="H32" s="149"/>
      <c r="I32" s="149"/>
      <c r="J32" s="149"/>
      <c r="K32" s="149"/>
      <c r="L32" s="149"/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W32" s="149"/>
      <c r="X32" s="149"/>
      <c r="Y32" s="149"/>
      <c r="Z32" s="149"/>
    </row>
    <row r="33" ht="11.25" customHeight="1">
      <c r="A33" s="149"/>
      <c r="B33" s="149"/>
      <c r="C33" s="149"/>
      <c r="D33" s="149"/>
      <c r="E33" s="149"/>
      <c r="F33" s="227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9"/>
      <c r="Y33" s="149"/>
      <c r="Z33" s="149"/>
    </row>
    <row r="34" ht="11.25" customHeight="1">
      <c r="A34" s="149"/>
      <c r="B34" s="149"/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W34" s="149"/>
      <c r="X34" s="149"/>
      <c r="Y34" s="149"/>
      <c r="Z34" s="149"/>
    </row>
    <row r="35" ht="11.25" customHeight="1">
      <c r="A35" s="149"/>
      <c r="B35" s="149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</row>
    <row r="36" ht="11.25" customHeight="1">
      <c r="A36" s="149"/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</row>
    <row r="37" ht="11.25" customHeight="1">
      <c r="A37" s="149"/>
      <c r="B37" s="149"/>
      <c r="C37" s="149"/>
      <c r="D37" s="149"/>
      <c r="E37" s="149"/>
      <c r="F37" s="149"/>
      <c r="G37" s="149"/>
      <c r="H37" s="149"/>
      <c r="I37" s="149"/>
      <c r="J37" s="149"/>
      <c r="K37" s="149"/>
      <c r="L37" s="149"/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W37" s="149"/>
      <c r="X37" s="149"/>
      <c r="Y37" s="149"/>
      <c r="Z37" s="149"/>
    </row>
    <row r="38" ht="11.25" customHeight="1">
      <c r="A38" s="149"/>
      <c r="B38" s="149"/>
      <c r="C38" s="149"/>
      <c r="D38" s="149"/>
      <c r="E38" s="149"/>
      <c r="F38" s="149"/>
      <c r="G38" s="149"/>
      <c r="H38" s="149"/>
      <c r="I38" s="149"/>
      <c r="J38" s="149"/>
      <c r="K38" s="149"/>
      <c r="L38" s="149"/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W38" s="149"/>
      <c r="X38" s="149"/>
      <c r="Y38" s="149"/>
      <c r="Z38" s="149"/>
    </row>
    <row r="39" ht="11.25" customHeight="1">
      <c r="A39" s="149"/>
      <c r="B39" s="149"/>
      <c r="C39" s="149"/>
      <c r="D39" s="149"/>
      <c r="E39" s="149"/>
      <c r="F39" s="149"/>
      <c r="G39" s="149"/>
      <c r="H39" s="149"/>
      <c r="I39" s="149"/>
      <c r="J39" s="149"/>
      <c r="K39" s="149"/>
      <c r="L39" s="149"/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W39" s="149"/>
      <c r="X39" s="149"/>
      <c r="Y39" s="149"/>
      <c r="Z39" s="149"/>
    </row>
    <row r="40" ht="11.25" customHeight="1">
      <c r="A40" s="149"/>
      <c r="B40" s="149"/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W40" s="149"/>
      <c r="X40" s="149"/>
      <c r="Y40" s="149"/>
      <c r="Z40" s="149"/>
    </row>
    <row r="41" ht="11.25" customHeight="1">
      <c r="A41" s="149"/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</row>
    <row r="42" ht="11.25" customHeight="1">
      <c r="A42" s="149"/>
      <c r="B42" s="149"/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49"/>
      <c r="Y42" s="149"/>
      <c r="Z42" s="149"/>
    </row>
    <row r="43" ht="11.25" customHeight="1">
      <c r="A43" s="149"/>
      <c r="B43" s="149"/>
      <c r="C43" s="149"/>
      <c r="D43" s="149"/>
      <c r="E43" s="149"/>
      <c r="F43" s="149"/>
      <c r="G43" s="149"/>
      <c r="H43" s="149"/>
      <c r="I43" s="149"/>
      <c r="J43" s="149"/>
      <c r="K43" s="149"/>
      <c r="L43" s="149"/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W43" s="149"/>
      <c r="X43" s="149"/>
      <c r="Y43" s="149"/>
      <c r="Z43" s="149"/>
    </row>
    <row r="44" ht="11.25" customHeight="1">
      <c r="A44" s="149"/>
      <c r="B44" s="149"/>
      <c r="C44" s="149"/>
      <c r="D44" s="149"/>
      <c r="E44" s="149"/>
      <c r="F44" s="149"/>
      <c r="G44" s="149"/>
      <c r="H44" s="149"/>
      <c r="I44" s="149"/>
      <c r="J44" s="149"/>
      <c r="K44" s="149"/>
      <c r="L44" s="149"/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W44" s="149"/>
      <c r="X44" s="149"/>
      <c r="Y44" s="149"/>
      <c r="Z44" s="149"/>
    </row>
    <row r="45" ht="11.25" customHeight="1">
      <c r="A45" s="149"/>
      <c r="B45" s="149"/>
      <c r="C45" s="149"/>
      <c r="D45" s="149"/>
      <c r="E45" s="149"/>
      <c r="F45" s="149"/>
      <c r="G45" s="149"/>
      <c r="H45" s="149"/>
      <c r="I45" s="149"/>
      <c r="J45" s="149"/>
      <c r="K45" s="149"/>
      <c r="L45" s="149"/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W45" s="149"/>
      <c r="X45" s="149"/>
      <c r="Y45" s="149"/>
      <c r="Z45" s="149"/>
    </row>
    <row r="46" ht="11.25" customHeight="1">
      <c r="A46" s="149"/>
      <c r="B46" s="149"/>
      <c r="C46" s="149"/>
      <c r="D46" s="149"/>
      <c r="E46" s="149"/>
      <c r="F46" s="149"/>
      <c r="G46" s="149"/>
      <c r="H46" s="149"/>
      <c r="I46" s="149"/>
      <c r="J46" s="149"/>
      <c r="K46" s="149"/>
      <c r="L46" s="149"/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W46" s="149"/>
      <c r="X46" s="149"/>
      <c r="Y46" s="149"/>
      <c r="Z46" s="149"/>
    </row>
    <row r="47" ht="11.25" customHeight="1">
      <c r="A47" s="149"/>
      <c r="B47" s="149"/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</row>
    <row r="48" ht="11.25" customHeight="1">
      <c r="A48" s="149"/>
      <c r="B48" s="149"/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</row>
    <row r="49" ht="11.25" customHeight="1">
      <c r="A49" s="149"/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  <c r="W49" s="149"/>
      <c r="X49" s="149"/>
      <c r="Y49" s="149"/>
      <c r="Z49" s="149"/>
    </row>
    <row r="50" ht="11.25" customHeight="1">
      <c r="A50" s="149"/>
      <c r="B50" s="149"/>
      <c r="C50" s="149"/>
      <c r="D50" s="149"/>
      <c r="E50" s="149"/>
      <c r="F50" s="149"/>
      <c r="G50" s="149"/>
      <c r="H50" s="149"/>
      <c r="I50" s="149"/>
      <c r="J50" s="149"/>
      <c r="K50" s="149"/>
      <c r="L50" s="149"/>
      <c r="M50" s="149"/>
      <c r="N50" s="149"/>
      <c r="O50" s="149"/>
      <c r="P50" s="149"/>
      <c r="Q50" s="149"/>
      <c r="R50" s="149"/>
      <c r="S50" s="149"/>
      <c r="T50" s="149"/>
      <c r="U50" s="149"/>
      <c r="V50" s="149"/>
      <c r="W50" s="149"/>
      <c r="X50" s="149"/>
      <c r="Y50" s="149"/>
      <c r="Z50" s="149"/>
    </row>
    <row r="51" ht="11.25" customHeight="1">
      <c r="A51" s="149"/>
      <c r="B51" s="149"/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</row>
    <row r="52" ht="11.25" customHeight="1">
      <c r="A52" s="149"/>
      <c r="B52" s="149"/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49"/>
      <c r="T52" s="149"/>
      <c r="U52" s="149"/>
      <c r="V52" s="149"/>
      <c r="W52" s="149"/>
      <c r="X52" s="149"/>
      <c r="Y52" s="149"/>
      <c r="Z52" s="149"/>
    </row>
    <row r="53" ht="11.25" customHeight="1">
      <c r="A53" s="149"/>
      <c r="B53" s="149"/>
      <c r="C53" s="149"/>
      <c r="D53" s="149"/>
      <c r="E53" s="149"/>
      <c r="F53" s="149"/>
      <c r="G53" s="149"/>
      <c r="H53" s="149"/>
      <c r="I53" s="149"/>
      <c r="J53" s="149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  <c r="W53" s="149"/>
      <c r="X53" s="149"/>
      <c r="Y53" s="149"/>
      <c r="Z53" s="149"/>
    </row>
    <row r="54" ht="11.25" customHeight="1">
      <c r="A54" s="149"/>
      <c r="B54" s="149"/>
      <c r="C54" s="149"/>
      <c r="D54" s="149"/>
      <c r="E54" s="149"/>
      <c r="F54" s="149"/>
      <c r="G54" s="149"/>
      <c r="H54" s="149"/>
      <c r="I54" s="149"/>
      <c r="J54" s="149"/>
      <c r="K54" s="149"/>
      <c r="L54" s="149"/>
      <c r="M54" s="149"/>
      <c r="N54" s="149"/>
      <c r="O54" s="149"/>
      <c r="P54" s="149"/>
      <c r="Q54" s="149"/>
      <c r="R54" s="149"/>
      <c r="S54" s="149"/>
      <c r="T54" s="149"/>
      <c r="U54" s="149"/>
      <c r="V54" s="149"/>
      <c r="W54" s="149"/>
      <c r="X54" s="149"/>
      <c r="Y54" s="149"/>
      <c r="Z54" s="149"/>
    </row>
    <row r="55" ht="11.25" customHeight="1">
      <c r="A55" s="149"/>
      <c r="B55" s="149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149"/>
      <c r="P55" s="149"/>
      <c r="Q55" s="149"/>
      <c r="R55" s="149"/>
      <c r="S55" s="149"/>
      <c r="T55" s="149"/>
      <c r="U55" s="149"/>
      <c r="V55" s="149"/>
      <c r="W55" s="149"/>
      <c r="X55" s="149"/>
      <c r="Y55" s="149"/>
      <c r="Z55" s="149"/>
    </row>
    <row r="56" ht="11.25" customHeight="1">
      <c r="A56" s="149"/>
      <c r="B56" s="149"/>
      <c r="C56" s="149"/>
      <c r="D56" s="149"/>
      <c r="E56" s="149"/>
      <c r="F56" s="149"/>
      <c r="G56" s="149"/>
      <c r="H56" s="149"/>
      <c r="I56" s="149"/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/>
      <c r="Y56" s="149"/>
      <c r="Z56" s="149"/>
    </row>
    <row r="57" ht="11.25" customHeight="1">
      <c r="A57" s="149"/>
      <c r="B57" s="149"/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  <c r="Y57" s="149"/>
      <c r="Z57" s="149"/>
    </row>
    <row r="58" ht="11.25" customHeight="1">
      <c r="A58" s="149"/>
      <c r="B58" s="149"/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  <c r="Q58" s="149"/>
      <c r="R58" s="149"/>
      <c r="S58" s="149"/>
      <c r="T58" s="149"/>
      <c r="U58" s="149"/>
      <c r="V58" s="149"/>
      <c r="W58" s="149"/>
      <c r="X58" s="149"/>
      <c r="Y58" s="149"/>
      <c r="Z58" s="149"/>
    </row>
    <row r="59" ht="11.25" customHeight="1">
      <c r="A59" s="149"/>
      <c r="B59" s="149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149"/>
      <c r="P59" s="149"/>
      <c r="Q59" s="149"/>
      <c r="R59" s="149"/>
      <c r="S59" s="149"/>
      <c r="T59" s="149"/>
      <c r="U59" s="149"/>
      <c r="V59" s="149"/>
      <c r="W59" s="149"/>
      <c r="X59" s="149"/>
      <c r="Y59" s="149"/>
      <c r="Z59" s="149"/>
    </row>
    <row r="60" ht="11.25" customHeight="1">
      <c r="A60" s="149"/>
      <c r="B60" s="149"/>
      <c r="C60" s="149"/>
      <c r="D60" s="149"/>
      <c r="E60" s="149"/>
      <c r="F60" s="149"/>
      <c r="G60" s="149"/>
      <c r="H60" s="149"/>
      <c r="I60" s="149"/>
      <c r="J60" s="149"/>
      <c r="K60" s="149"/>
      <c r="L60" s="149"/>
      <c r="M60" s="149"/>
      <c r="N60" s="149"/>
      <c r="O60" s="149"/>
      <c r="P60" s="149"/>
      <c r="Q60" s="149"/>
      <c r="R60" s="149"/>
      <c r="S60" s="149"/>
      <c r="T60" s="149"/>
      <c r="U60" s="149"/>
      <c r="V60" s="149"/>
      <c r="W60" s="149"/>
      <c r="X60" s="149"/>
      <c r="Y60" s="149"/>
      <c r="Z60" s="149"/>
    </row>
    <row r="61" ht="11.25" customHeight="1">
      <c r="A61" s="149"/>
      <c r="B61" s="149"/>
      <c r="C61" s="149"/>
      <c r="D61" s="149"/>
      <c r="E61" s="149"/>
      <c r="F61" s="149"/>
      <c r="G61" s="149"/>
      <c r="H61" s="149"/>
      <c r="I61" s="149"/>
      <c r="J61" s="149"/>
      <c r="K61" s="149"/>
      <c r="L61" s="149"/>
      <c r="M61" s="149"/>
      <c r="N61" s="149"/>
      <c r="O61" s="149"/>
      <c r="P61" s="149"/>
      <c r="Q61" s="149"/>
      <c r="R61" s="149"/>
      <c r="S61" s="149"/>
      <c r="T61" s="149"/>
      <c r="U61" s="149"/>
      <c r="V61" s="149"/>
      <c r="W61" s="149"/>
      <c r="X61" s="149"/>
      <c r="Y61" s="149"/>
      <c r="Z61" s="149"/>
    </row>
    <row r="62" ht="11.25" customHeight="1">
      <c r="A62" s="149"/>
      <c r="B62" s="149"/>
      <c r="C62" s="149"/>
      <c r="D62" s="149"/>
      <c r="E62" s="149"/>
      <c r="F62" s="149"/>
      <c r="G62" s="149"/>
      <c r="H62" s="149"/>
      <c r="I62" s="149"/>
      <c r="J62" s="149"/>
      <c r="K62" s="149"/>
      <c r="L62" s="149"/>
      <c r="M62" s="149"/>
      <c r="N62" s="149"/>
      <c r="O62" s="149"/>
      <c r="P62" s="149"/>
      <c r="Q62" s="149"/>
      <c r="R62" s="149"/>
      <c r="S62" s="149"/>
      <c r="T62" s="149"/>
      <c r="U62" s="149"/>
      <c r="V62" s="149"/>
      <c r="W62" s="149"/>
      <c r="X62" s="149"/>
      <c r="Y62" s="149"/>
      <c r="Z62" s="149"/>
    </row>
    <row r="63" ht="11.25" customHeight="1">
      <c r="A63" s="149"/>
      <c r="B63" s="149"/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</row>
    <row r="64" ht="11.25" customHeight="1">
      <c r="A64" s="149"/>
      <c r="B64" s="149"/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49"/>
      <c r="T64" s="149"/>
      <c r="U64" s="149"/>
      <c r="V64" s="149"/>
      <c r="W64" s="149"/>
      <c r="X64" s="149"/>
      <c r="Y64" s="149"/>
      <c r="Z64" s="149"/>
    </row>
    <row r="65" ht="11.25" customHeight="1">
      <c r="A65" s="149"/>
      <c r="B65" s="149"/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  <c r="Z65" s="149"/>
    </row>
    <row r="66" ht="11.25" customHeight="1">
      <c r="A66" s="149"/>
      <c r="B66" s="149"/>
      <c r="C66" s="149"/>
      <c r="D66" s="149"/>
      <c r="E66" s="149"/>
      <c r="F66" s="149"/>
      <c r="G66" s="149"/>
      <c r="H66" s="149"/>
      <c r="I66" s="149"/>
      <c r="J66" s="149"/>
      <c r="K66" s="149"/>
      <c r="L66" s="149"/>
      <c r="M66" s="149"/>
      <c r="N66" s="149"/>
      <c r="O66" s="149"/>
      <c r="P66" s="149"/>
      <c r="Q66" s="149"/>
      <c r="R66" s="149"/>
      <c r="S66" s="149"/>
      <c r="T66" s="149"/>
      <c r="U66" s="149"/>
      <c r="V66" s="149"/>
      <c r="W66" s="149"/>
      <c r="X66" s="149"/>
      <c r="Y66" s="149"/>
      <c r="Z66" s="149"/>
    </row>
    <row r="67" ht="11.25" customHeight="1">
      <c r="A67" s="149"/>
      <c r="B67" s="149"/>
      <c r="C67" s="149"/>
      <c r="D67" s="149"/>
      <c r="E67" s="149"/>
      <c r="F67" s="149"/>
      <c r="G67" s="149"/>
      <c r="H67" s="149"/>
      <c r="I67" s="149"/>
      <c r="J67" s="149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  <c r="V67" s="149"/>
      <c r="W67" s="149"/>
      <c r="X67" s="149"/>
      <c r="Y67" s="149"/>
      <c r="Z67" s="149"/>
    </row>
    <row r="68" ht="11.25" customHeight="1">
      <c r="A68" s="149"/>
      <c r="B68" s="149"/>
      <c r="C68" s="149"/>
      <c r="D68" s="149"/>
      <c r="E68" s="149"/>
      <c r="F68" s="149"/>
      <c r="G68" s="149"/>
      <c r="H68" s="149"/>
      <c r="I68" s="149"/>
      <c r="J68" s="149"/>
      <c r="K68" s="149"/>
      <c r="L68" s="149"/>
      <c r="M68" s="149"/>
      <c r="N68" s="149"/>
      <c r="O68" s="149"/>
      <c r="P68" s="149"/>
      <c r="Q68" s="149"/>
      <c r="R68" s="149"/>
      <c r="S68" s="149"/>
      <c r="T68" s="149"/>
      <c r="U68" s="149"/>
      <c r="V68" s="149"/>
      <c r="W68" s="149"/>
      <c r="X68" s="149"/>
      <c r="Y68" s="149"/>
      <c r="Z68" s="149"/>
    </row>
    <row r="69" ht="11.25" customHeight="1">
      <c r="A69" s="149"/>
      <c r="B69" s="149"/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49"/>
      <c r="Y69" s="149"/>
      <c r="Z69" s="149"/>
    </row>
    <row r="70" ht="11.25" customHeight="1">
      <c r="A70" s="149"/>
      <c r="B70" s="149"/>
      <c r="C70" s="149"/>
      <c r="D70" s="149"/>
      <c r="E70" s="149"/>
      <c r="F70" s="149"/>
      <c r="G70" s="149"/>
      <c r="H70" s="149"/>
      <c r="I70" s="149"/>
      <c r="J70" s="149"/>
      <c r="K70" s="149"/>
      <c r="L70" s="149"/>
      <c r="M70" s="149"/>
      <c r="N70" s="149"/>
      <c r="O70" s="149"/>
      <c r="P70" s="149"/>
      <c r="Q70" s="149"/>
      <c r="R70" s="149"/>
      <c r="S70" s="149"/>
      <c r="T70" s="149"/>
      <c r="U70" s="149"/>
      <c r="V70" s="149"/>
      <c r="W70" s="149"/>
      <c r="X70" s="149"/>
      <c r="Y70" s="149"/>
      <c r="Z70" s="149"/>
    </row>
    <row r="71" ht="11.25" customHeight="1">
      <c r="A71" s="149"/>
      <c r="B71" s="149"/>
      <c r="C71" s="149"/>
      <c r="D71" s="149"/>
      <c r="E71" s="149"/>
      <c r="F71" s="149"/>
      <c r="G71" s="149"/>
      <c r="H71" s="149"/>
      <c r="I71" s="149"/>
      <c r="J71" s="149"/>
      <c r="K71" s="149"/>
      <c r="L71" s="149"/>
      <c r="M71" s="149"/>
      <c r="N71" s="149"/>
      <c r="O71" s="149"/>
      <c r="P71" s="149"/>
      <c r="Q71" s="149"/>
      <c r="R71" s="149"/>
      <c r="S71" s="149"/>
      <c r="T71" s="149"/>
      <c r="U71" s="149"/>
      <c r="V71" s="149"/>
      <c r="W71" s="149"/>
      <c r="X71" s="149"/>
      <c r="Y71" s="149"/>
      <c r="Z71" s="149"/>
    </row>
    <row r="72" ht="11.25" customHeight="1">
      <c r="A72" s="149"/>
      <c r="B72" s="149"/>
      <c r="C72" s="149"/>
      <c r="D72" s="149"/>
      <c r="E72" s="149"/>
      <c r="F72" s="149"/>
      <c r="G72" s="149"/>
      <c r="H72" s="149"/>
      <c r="I72" s="149"/>
      <c r="J72" s="149"/>
      <c r="K72" s="149"/>
      <c r="L72" s="149"/>
      <c r="M72" s="149"/>
      <c r="N72" s="149"/>
      <c r="O72" s="149"/>
      <c r="P72" s="149"/>
      <c r="Q72" s="149"/>
      <c r="R72" s="149"/>
      <c r="S72" s="149"/>
      <c r="T72" s="149"/>
      <c r="U72" s="149"/>
      <c r="V72" s="149"/>
      <c r="W72" s="149"/>
      <c r="X72" s="149"/>
      <c r="Y72" s="149"/>
      <c r="Z72" s="149"/>
    </row>
    <row r="73" ht="11.25" customHeight="1">
      <c r="A73" s="149"/>
      <c r="B73" s="149"/>
      <c r="C73" s="149"/>
      <c r="D73" s="149"/>
      <c r="E73" s="149"/>
      <c r="F73" s="149"/>
      <c r="G73" s="149"/>
      <c r="H73" s="149"/>
      <c r="I73" s="149"/>
      <c r="J73" s="149"/>
      <c r="K73" s="149"/>
      <c r="L73" s="149"/>
      <c r="M73" s="149"/>
      <c r="N73" s="149"/>
      <c r="O73" s="149"/>
      <c r="P73" s="149"/>
      <c r="Q73" s="149"/>
      <c r="R73" s="149"/>
      <c r="S73" s="149"/>
      <c r="T73" s="149"/>
      <c r="U73" s="149"/>
      <c r="V73" s="149"/>
      <c r="W73" s="149"/>
      <c r="X73" s="149"/>
      <c r="Y73" s="149"/>
      <c r="Z73" s="149"/>
    </row>
    <row r="74" ht="11.25" customHeight="1">
      <c r="A74" s="149"/>
      <c r="B74" s="149"/>
      <c r="C74" s="149"/>
      <c r="D74" s="149"/>
      <c r="E74" s="149"/>
      <c r="F74" s="149"/>
      <c r="G74" s="149"/>
      <c r="H74" s="149"/>
      <c r="I74" s="149"/>
      <c r="J74" s="149"/>
      <c r="K74" s="149"/>
      <c r="L74" s="149"/>
      <c r="M74" s="149"/>
      <c r="N74" s="149"/>
      <c r="O74" s="149"/>
      <c r="P74" s="149"/>
      <c r="Q74" s="149"/>
      <c r="R74" s="149"/>
      <c r="S74" s="149"/>
      <c r="T74" s="149"/>
      <c r="U74" s="149"/>
      <c r="V74" s="149"/>
      <c r="W74" s="149"/>
      <c r="X74" s="149"/>
      <c r="Y74" s="149"/>
      <c r="Z74" s="149"/>
    </row>
    <row r="75" ht="11.25" customHeight="1">
      <c r="A75" s="149"/>
      <c r="B75" s="149"/>
      <c r="C75" s="149"/>
      <c r="D75" s="149"/>
      <c r="E75" s="149"/>
      <c r="F75" s="149"/>
      <c r="G75" s="149"/>
      <c r="H75" s="149"/>
      <c r="I75" s="149"/>
      <c r="J75" s="149"/>
      <c r="K75" s="149"/>
      <c r="L75" s="149"/>
      <c r="M75" s="149"/>
      <c r="N75" s="149"/>
      <c r="O75" s="149"/>
      <c r="P75" s="149"/>
      <c r="Q75" s="149"/>
      <c r="R75" s="149"/>
      <c r="S75" s="149"/>
      <c r="T75" s="149"/>
      <c r="U75" s="149"/>
      <c r="V75" s="149"/>
      <c r="W75" s="149"/>
      <c r="X75" s="149"/>
      <c r="Y75" s="149"/>
      <c r="Z75" s="149"/>
    </row>
    <row r="76" ht="11.25" customHeight="1">
      <c r="A76" s="149"/>
      <c r="B76" s="149"/>
      <c r="C76" s="149"/>
      <c r="D76" s="149"/>
      <c r="E76" s="149"/>
      <c r="F76" s="149"/>
      <c r="G76" s="149"/>
      <c r="H76" s="149"/>
      <c r="I76" s="149"/>
      <c r="J76" s="149"/>
      <c r="K76" s="149"/>
      <c r="L76" s="149"/>
      <c r="M76" s="149"/>
      <c r="N76" s="149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</row>
    <row r="77" ht="11.25" customHeight="1">
      <c r="A77" s="149"/>
      <c r="B77" s="149"/>
      <c r="C77" s="149"/>
      <c r="D77" s="149"/>
      <c r="E77" s="149"/>
      <c r="F77" s="149"/>
      <c r="G77" s="149"/>
      <c r="H77" s="149"/>
      <c r="I77" s="149"/>
      <c r="J77" s="149"/>
      <c r="K77" s="149"/>
      <c r="L77" s="149"/>
      <c r="M77" s="149"/>
      <c r="N77" s="149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</row>
    <row r="78" ht="11.25" customHeight="1">
      <c r="A78" s="149"/>
      <c r="B78" s="149"/>
      <c r="C78" s="149"/>
      <c r="D78" s="149"/>
      <c r="E78" s="149"/>
      <c r="F78" s="149"/>
      <c r="G78" s="149"/>
      <c r="H78" s="149"/>
      <c r="I78" s="149"/>
      <c r="J78" s="149"/>
      <c r="K78" s="149"/>
      <c r="L78" s="149"/>
      <c r="M78" s="149"/>
      <c r="N78" s="149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</row>
    <row r="79" ht="11.25" customHeight="1">
      <c r="A79" s="149"/>
      <c r="B79" s="149"/>
      <c r="C79" s="149"/>
      <c r="D79" s="149"/>
      <c r="E79" s="149"/>
      <c r="F79" s="149"/>
      <c r="G79" s="149"/>
      <c r="H79" s="149"/>
      <c r="I79" s="149"/>
      <c r="J79" s="149"/>
      <c r="K79" s="149"/>
      <c r="L79" s="149"/>
      <c r="M79" s="149"/>
      <c r="N79" s="149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</row>
    <row r="80" ht="11.25" customHeight="1">
      <c r="A80" s="149"/>
      <c r="B80" s="149"/>
      <c r="C80" s="149"/>
      <c r="D80" s="149"/>
      <c r="E80" s="149"/>
      <c r="F80" s="149"/>
      <c r="G80" s="149"/>
      <c r="H80" s="149"/>
      <c r="I80" s="149"/>
      <c r="J80" s="149"/>
      <c r="K80" s="149"/>
      <c r="L80" s="149"/>
      <c r="M80" s="149"/>
      <c r="N80" s="149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</row>
    <row r="81" ht="11.25" customHeight="1">
      <c r="A81" s="149"/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</row>
    <row r="82" ht="11.25" customHeight="1">
      <c r="A82" s="149"/>
      <c r="B82" s="149"/>
      <c r="C82" s="149"/>
      <c r="D82" s="149"/>
      <c r="E82" s="149"/>
      <c r="F82" s="149"/>
      <c r="G82" s="149"/>
      <c r="H82" s="149"/>
      <c r="I82" s="149"/>
      <c r="J82" s="149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</row>
    <row r="83" ht="11.25" customHeight="1">
      <c r="A83" s="149"/>
      <c r="B83" s="149"/>
      <c r="C83" s="149"/>
      <c r="D83" s="149"/>
      <c r="E83" s="149"/>
      <c r="F83" s="149"/>
      <c r="G83" s="149"/>
      <c r="H83" s="149"/>
      <c r="I83" s="149"/>
      <c r="J83" s="149"/>
      <c r="K83" s="149"/>
      <c r="L83" s="149"/>
      <c r="M83" s="149"/>
      <c r="N83" s="149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</row>
    <row r="84" ht="11.25" customHeight="1">
      <c r="A84" s="149"/>
      <c r="B84" s="149"/>
      <c r="C84" s="149"/>
      <c r="D84" s="149"/>
      <c r="E84" s="149"/>
      <c r="F84" s="149"/>
      <c r="G84" s="149"/>
      <c r="H84" s="149"/>
      <c r="I84" s="149"/>
      <c r="J84" s="149"/>
      <c r="K84" s="149"/>
      <c r="L84" s="149"/>
      <c r="M84" s="149"/>
      <c r="N84" s="149"/>
      <c r="O84" s="149"/>
      <c r="P84" s="149"/>
      <c r="Q84" s="149"/>
      <c r="R84" s="149"/>
      <c r="S84" s="149"/>
      <c r="T84" s="149"/>
      <c r="U84" s="149"/>
      <c r="V84" s="149"/>
      <c r="W84" s="149"/>
      <c r="X84" s="149"/>
      <c r="Y84" s="149"/>
      <c r="Z84" s="149"/>
    </row>
    <row r="85" ht="11.25" customHeight="1">
      <c r="A85" s="149"/>
      <c r="B85" s="149"/>
      <c r="C85" s="149"/>
      <c r="D85" s="149"/>
      <c r="E85" s="149"/>
      <c r="F85" s="149"/>
      <c r="G85" s="149"/>
      <c r="H85" s="149"/>
      <c r="I85" s="149"/>
      <c r="J85" s="149"/>
      <c r="K85" s="149"/>
      <c r="L85" s="149"/>
      <c r="M85" s="149"/>
      <c r="N85" s="149"/>
      <c r="O85" s="149"/>
      <c r="P85" s="149"/>
      <c r="Q85" s="149"/>
      <c r="R85" s="149"/>
      <c r="S85" s="149"/>
      <c r="T85" s="149"/>
      <c r="U85" s="149"/>
      <c r="V85" s="149"/>
      <c r="W85" s="149"/>
      <c r="X85" s="149"/>
      <c r="Y85" s="149"/>
      <c r="Z85" s="149"/>
    </row>
    <row r="86" ht="11.25" customHeight="1">
      <c r="A86" s="149"/>
      <c r="B86" s="149"/>
      <c r="C86" s="149"/>
      <c r="D86" s="149"/>
      <c r="E86" s="149"/>
      <c r="F86" s="149"/>
      <c r="G86" s="149"/>
      <c r="H86" s="149"/>
      <c r="I86" s="149"/>
      <c r="J86" s="149"/>
      <c r="K86" s="149"/>
      <c r="L86" s="149"/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</row>
    <row r="87" ht="11.25" customHeight="1">
      <c r="A87" s="149"/>
      <c r="B87" s="149"/>
      <c r="C87" s="149"/>
      <c r="D87" s="149"/>
      <c r="E87" s="149"/>
      <c r="F87" s="149"/>
      <c r="G87" s="149"/>
      <c r="H87" s="149"/>
      <c r="I87" s="149"/>
      <c r="J87" s="149"/>
      <c r="K87" s="149"/>
      <c r="L87" s="149"/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</row>
    <row r="88" ht="11.25" customHeight="1">
      <c r="A88" s="149"/>
      <c r="B88" s="149"/>
      <c r="C88" s="149"/>
      <c r="D88" s="149"/>
      <c r="E88" s="149"/>
      <c r="F88" s="149"/>
      <c r="G88" s="149"/>
      <c r="H88" s="149"/>
      <c r="I88" s="149"/>
      <c r="J88" s="149"/>
      <c r="K88" s="149"/>
      <c r="L88" s="149"/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W88" s="149"/>
      <c r="X88" s="149"/>
      <c r="Y88" s="149"/>
      <c r="Z88" s="149"/>
    </row>
    <row r="89" ht="11.25" customHeight="1">
      <c r="A89" s="149"/>
      <c r="B89" s="149"/>
      <c r="C89" s="149"/>
      <c r="D89" s="149"/>
      <c r="E89" s="149"/>
      <c r="F89" s="149"/>
      <c r="G89" s="149"/>
      <c r="H89" s="149"/>
      <c r="I89" s="149"/>
      <c r="J89" s="149"/>
      <c r="K89" s="149"/>
      <c r="L89" s="149"/>
      <c r="M89" s="149"/>
      <c r="N89" s="149"/>
      <c r="O89" s="149"/>
      <c r="P89" s="149"/>
      <c r="Q89" s="149"/>
      <c r="R89" s="149"/>
      <c r="S89" s="149"/>
      <c r="T89" s="149"/>
      <c r="U89" s="149"/>
      <c r="V89" s="149"/>
      <c r="W89" s="149"/>
      <c r="X89" s="149"/>
      <c r="Y89" s="149"/>
      <c r="Z89" s="149"/>
    </row>
    <row r="90" ht="11.25" customHeight="1">
      <c r="A90" s="149"/>
      <c r="B90" s="149"/>
      <c r="C90" s="149"/>
      <c r="D90" s="149"/>
      <c r="E90" s="149"/>
      <c r="F90" s="149"/>
      <c r="G90" s="149"/>
      <c r="H90" s="149"/>
      <c r="I90" s="149"/>
      <c r="J90" s="149"/>
      <c r="K90" s="149"/>
      <c r="L90" s="149"/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W90" s="149"/>
      <c r="X90" s="149"/>
      <c r="Y90" s="149"/>
      <c r="Z90" s="149"/>
    </row>
    <row r="91" ht="11.25" customHeight="1">
      <c r="A91" s="149"/>
      <c r="B91" s="149"/>
      <c r="C91" s="149"/>
      <c r="D91" s="149"/>
      <c r="E91" s="149"/>
      <c r="F91" s="149"/>
      <c r="G91" s="149"/>
      <c r="H91" s="149"/>
      <c r="I91" s="149"/>
      <c r="J91" s="149"/>
      <c r="K91" s="149"/>
      <c r="L91" s="149"/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W91" s="149"/>
      <c r="X91" s="149"/>
      <c r="Y91" s="149"/>
      <c r="Z91" s="149"/>
    </row>
    <row r="92" ht="11.25" customHeight="1">
      <c r="A92" s="149"/>
      <c r="B92" s="149"/>
      <c r="C92" s="149"/>
      <c r="D92" s="149"/>
      <c r="E92" s="149"/>
      <c r="F92" s="149"/>
      <c r="G92" s="149"/>
      <c r="H92" s="149"/>
      <c r="I92" s="149"/>
      <c r="J92" s="149"/>
      <c r="K92" s="149"/>
      <c r="L92" s="149"/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W92" s="149"/>
      <c r="X92" s="149"/>
      <c r="Y92" s="149"/>
      <c r="Z92" s="149"/>
    </row>
    <row r="93" ht="11.25" customHeight="1">
      <c r="A93" s="149"/>
      <c r="B93" s="149"/>
      <c r="C93" s="149"/>
      <c r="D93" s="149"/>
      <c r="E93" s="149"/>
      <c r="F93" s="149"/>
      <c r="G93" s="149"/>
      <c r="H93" s="149"/>
      <c r="I93" s="149"/>
      <c r="J93" s="149"/>
      <c r="K93" s="149"/>
      <c r="L93" s="149"/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W93" s="149"/>
      <c r="X93" s="149"/>
      <c r="Y93" s="149"/>
      <c r="Z93" s="149"/>
    </row>
    <row r="94" ht="11.25" customHeight="1">
      <c r="A94" s="149"/>
      <c r="B94" s="149"/>
      <c r="C94" s="149"/>
      <c r="D94" s="149"/>
      <c r="E94" s="149"/>
      <c r="F94" s="149"/>
      <c r="G94" s="149"/>
      <c r="H94" s="149"/>
      <c r="I94" s="149"/>
      <c r="J94" s="149"/>
      <c r="K94" s="149"/>
      <c r="L94" s="149"/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W94" s="149"/>
      <c r="X94" s="149"/>
      <c r="Y94" s="149"/>
      <c r="Z94" s="149"/>
    </row>
    <row r="95" ht="11.25" customHeight="1">
      <c r="A95" s="149"/>
      <c r="B95" s="149"/>
      <c r="C95" s="149"/>
      <c r="D95" s="149"/>
      <c r="E95" s="149"/>
      <c r="F95" s="149"/>
      <c r="G95" s="149"/>
      <c r="H95" s="149"/>
      <c r="I95" s="149"/>
      <c r="J95" s="149"/>
      <c r="K95" s="149"/>
      <c r="L95" s="149"/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W95" s="149"/>
      <c r="X95" s="149"/>
      <c r="Y95" s="149"/>
      <c r="Z95" s="149"/>
    </row>
    <row r="96" ht="11.25" customHeight="1">
      <c r="A96" s="149"/>
      <c r="B96" s="149"/>
      <c r="C96" s="149"/>
      <c r="D96" s="149"/>
      <c r="E96" s="149"/>
      <c r="F96" s="149"/>
      <c r="G96" s="149"/>
      <c r="H96" s="149"/>
      <c r="I96" s="149"/>
      <c r="J96" s="149"/>
      <c r="K96" s="149"/>
      <c r="L96" s="149"/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W96" s="149"/>
      <c r="X96" s="149"/>
      <c r="Y96" s="149"/>
      <c r="Z96" s="149"/>
    </row>
    <row r="97" ht="11.25" customHeight="1">
      <c r="A97" s="149"/>
      <c r="B97" s="149"/>
      <c r="C97" s="149"/>
      <c r="D97" s="149"/>
      <c r="E97" s="149"/>
      <c r="F97" s="149"/>
      <c r="G97" s="149"/>
      <c r="H97" s="149"/>
      <c r="I97" s="149"/>
      <c r="J97" s="149"/>
      <c r="K97" s="149"/>
      <c r="L97" s="149"/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W97" s="149"/>
      <c r="X97" s="149"/>
      <c r="Y97" s="149"/>
      <c r="Z97" s="149"/>
    </row>
    <row r="98" ht="11.25" customHeight="1">
      <c r="A98" s="149"/>
      <c r="B98" s="149"/>
      <c r="C98" s="149"/>
      <c r="D98" s="149"/>
      <c r="E98" s="149"/>
      <c r="F98" s="149"/>
      <c r="G98" s="149"/>
      <c r="H98" s="149"/>
      <c r="I98" s="149"/>
      <c r="J98" s="149"/>
      <c r="K98" s="149"/>
      <c r="L98" s="149"/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W98" s="149"/>
      <c r="X98" s="149"/>
      <c r="Y98" s="149"/>
      <c r="Z98" s="149"/>
    </row>
    <row r="99" ht="11.25" customHeight="1">
      <c r="A99" s="149"/>
      <c r="B99" s="149"/>
      <c r="C99" s="149"/>
      <c r="D99" s="149"/>
      <c r="E99" s="149"/>
      <c r="F99" s="149"/>
      <c r="G99" s="149"/>
      <c r="H99" s="149"/>
      <c r="I99" s="149"/>
      <c r="J99" s="149"/>
      <c r="K99" s="149"/>
      <c r="L99" s="149"/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W99" s="149"/>
      <c r="X99" s="149"/>
      <c r="Y99" s="149"/>
      <c r="Z99" s="149"/>
    </row>
    <row r="100" ht="11.25" customHeight="1">
      <c r="A100" s="149"/>
      <c r="B100" s="149"/>
      <c r="C100" s="149"/>
      <c r="D100" s="149"/>
      <c r="E100" s="149"/>
      <c r="F100" s="149"/>
      <c r="G100" s="149"/>
      <c r="H100" s="149"/>
      <c r="I100" s="149"/>
      <c r="J100" s="149"/>
      <c r="K100" s="149"/>
      <c r="L100" s="149"/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W100" s="149"/>
      <c r="X100" s="149"/>
      <c r="Y100" s="149"/>
      <c r="Z100" s="149"/>
    </row>
    <row r="101" ht="11.25" customHeight="1">
      <c r="A101" s="149"/>
      <c r="B101" s="149"/>
      <c r="C101" s="149"/>
      <c r="D101" s="149"/>
      <c r="E101" s="149"/>
      <c r="F101" s="149"/>
      <c r="G101" s="149"/>
      <c r="H101" s="149"/>
      <c r="I101" s="149"/>
      <c r="J101" s="149"/>
      <c r="K101" s="149"/>
      <c r="L101" s="149"/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W101" s="149"/>
      <c r="X101" s="149"/>
      <c r="Y101" s="149"/>
      <c r="Z101" s="149"/>
    </row>
    <row r="102" ht="11.25" customHeight="1">
      <c r="A102" s="149"/>
      <c r="B102" s="149"/>
      <c r="C102" s="149"/>
      <c r="D102" s="149"/>
      <c r="E102" s="149"/>
      <c r="F102" s="149"/>
      <c r="G102" s="149"/>
      <c r="H102" s="149"/>
      <c r="I102" s="149"/>
      <c r="J102" s="149"/>
      <c r="K102" s="149"/>
      <c r="L102" s="149"/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W102" s="149"/>
      <c r="X102" s="149"/>
      <c r="Y102" s="149"/>
      <c r="Z102" s="149"/>
    </row>
    <row r="103" ht="11.25" customHeight="1">
      <c r="A103" s="149"/>
      <c r="B103" s="149"/>
      <c r="C103" s="149"/>
      <c r="D103" s="149"/>
      <c r="E103" s="149"/>
      <c r="F103" s="149"/>
      <c r="G103" s="149"/>
      <c r="H103" s="149"/>
      <c r="I103" s="149"/>
      <c r="J103" s="149"/>
      <c r="K103" s="149"/>
      <c r="L103" s="149"/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W103" s="149"/>
      <c r="X103" s="149"/>
      <c r="Y103" s="149"/>
      <c r="Z103" s="149"/>
    </row>
    <row r="104" ht="11.25" customHeight="1">
      <c r="A104" s="149"/>
      <c r="B104" s="149"/>
      <c r="C104" s="149"/>
      <c r="D104" s="149"/>
      <c r="E104" s="149"/>
      <c r="F104" s="149"/>
      <c r="G104" s="149"/>
      <c r="H104" s="149"/>
      <c r="I104" s="149"/>
      <c r="J104" s="149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</row>
    <row r="105" ht="11.25" customHeight="1">
      <c r="A105" s="149"/>
      <c r="B105" s="149"/>
      <c r="C105" s="149"/>
      <c r="D105" s="149"/>
      <c r="E105" s="149"/>
      <c r="F105" s="149"/>
      <c r="G105" s="149"/>
      <c r="H105" s="149"/>
      <c r="I105" s="149"/>
      <c r="J105" s="149"/>
      <c r="K105" s="149"/>
      <c r="L105" s="149"/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W105" s="149"/>
      <c r="X105" s="149"/>
      <c r="Y105" s="149"/>
      <c r="Z105" s="149"/>
    </row>
    <row r="106" ht="11.25" customHeight="1">
      <c r="A106" s="149"/>
      <c r="B106" s="149"/>
      <c r="C106" s="149"/>
      <c r="D106" s="149"/>
      <c r="E106" s="149"/>
      <c r="F106" s="149"/>
      <c r="G106" s="149"/>
      <c r="H106" s="149"/>
      <c r="I106" s="149"/>
      <c r="J106" s="149"/>
      <c r="K106" s="149"/>
      <c r="L106" s="149"/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W106" s="149"/>
      <c r="X106" s="149"/>
      <c r="Y106" s="149"/>
      <c r="Z106" s="149"/>
    </row>
    <row r="107" ht="11.25" customHeight="1">
      <c r="A107" s="149"/>
      <c r="B107" s="149"/>
      <c r="C107" s="149"/>
      <c r="D107" s="149"/>
      <c r="E107" s="149"/>
      <c r="F107" s="149"/>
      <c r="G107" s="149"/>
      <c r="H107" s="149"/>
      <c r="I107" s="149"/>
      <c r="J107" s="149"/>
      <c r="K107" s="149"/>
      <c r="L107" s="149"/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W107" s="149"/>
      <c r="X107" s="149"/>
      <c r="Y107" s="149"/>
      <c r="Z107" s="149"/>
    </row>
    <row r="108" ht="11.25" customHeight="1">
      <c r="A108" s="149"/>
      <c r="B108" s="149"/>
      <c r="C108" s="149"/>
      <c r="D108" s="149"/>
      <c r="E108" s="149"/>
      <c r="F108" s="149"/>
      <c r="G108" s="149"/>
      <c r="H108" s="149"/>
      <c r="I108" s="149"/>
      <c r="J108" s="149"/>
      <c r="K108" s="149"/>
      <c r="L108" s="149"/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W108" s="149"/>
      <c r="X108" s="149"/>
      <c r="Y108" s="149"/>
      <c r="Z108" s="149"/>
    </row>
    <row r="109" ht="11.25" customHeight="1">
      <c r="A109" s="149"/>
      <c r="B109" s="149"/>
      <c r="C109" s="149"/>
      <c r="D109" s="149"/>
      <c r="E109" s="149"/>
      <c r="F109" s="149"/>
      <c r="G109" s="149"/>
      <c r="H109" s="149"/>
      <c r="I109" s="149"/>
      <c r="J109" s="149"/>
      <c r="K109" s="149"/>
      <c r="L109" s="149"/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W109" s="149"/>
      <c r="X109" s="149"/>
      <c r="Y109" s="149"/>
      <c r="Z109" s="149"/>
    </row>
    <row r="110" ht="11.25" customHeight="1">
      <c r="A110" s="149"/>
      <c r="B110" s="149"/>
      <c r="C110" s="149"/>
      <c r="D110" s="149"/>
      <c r="E110" s="149"/>
      <c r="F110" s="149"/>
      <c r="G110" s="149"/>
      <c r="H110" s="149"/>
      <c r="I110" s="149"/>
      <c r="J110" s="149"/>
      <c r="K110" s="149"/>
      <c r="L110" s="149"/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W110" s="149"/>
      <c r="X110" s="149"/>
      <c r="Y110" s="149"/>
      <c r="Z110" s="149"/>
    </row>
    <row r="111" ht="11.25" customHeight="1">
      <c r="A111" s="149"/>
      <c r="B111" s="149"/>
      <c r="C111" s="149"/>
      <c r="D111" s="149"/>
      <c r="E111" s="149"/>
      <c r="F111" s="149"/>
      <c r="G111" s="149"/>
      <c r="H111" s="149"/>
      <c r="I111" s="149"/>
      <c r="J111" s="149"/>
      <c r="K111" s="149"/>
      <c r="L111" s="149"/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</row>
    <row r="112" ht="11.25" customHeight="1">
      <c r="A112" s="149"/>
      <c r="B112" s="149"/>
      <c r="C112" s="149"/>
      <c r="D112" s="149"/>
      <c r="E112" s="149"/>
      <c r="F112" s="149"/>
      <c r="G112" s="149"/>
      <c r="H112" s="149"/>
      <c r="I112" s="149"/>
      <c r="J112" s="149"/>
      <c r="K112" s="149"/>
      <c r="L112" s="149"/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W112" s="149"/>
      <c r="X112" s="149"/>
      <c r="Y112" s="149"/>
      <c r="Z112" s="149"/>
    </row>
    <row r="113" ht="11.25" customHeight="1">
      <c r="A113" s="149"/>
      <c r="B113" s="149"/>
      <c r="C113" s="149"/>
      <c r="D113" s="149"/>
      <c r="E113" s="149"/>
      <c r="F113" s="149"/>
      <c r="G113" s="149"/>
      <c r="H113" s="149"/>
      <c r="I113" s="149"/>
      <c r="J113" s="149"/>
      <c r="K113" s="149"/>
      <c r="L113" s="149"/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</row>
    <row r="114" ht="11.25" customHeight="1">
      <c r="A114" s="149"/>
      <c r="B114" s="149"/>
      <c r="C114" s="149"/>
      <c r="D114" s="149"/>
      <c r="E114" s="149"/>
      <c r="F114" s="149"/>
      <c r="G114" s="149"/>
      <c r="H114" s="149"/>
      <c r="I114" s="149"/>
      <c r="J114" s="149"/>
      <c r="K114" s="149"/>
      <c r="L114" s="149"/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</row>
    <row r="115" ht="11.25" customHeight="1">
      <c r="A115" s="149"/>
      <c r="B115" s="149"/>
      <c r="C115" s="149"/>
      <c r="D115" s="149"/>
      <c r="E115" s="149"/>
      <c r="F115" s="149"/>
      <c r="G115" s="149"/>
      <c r="H115" s="149"/>
      <c r="I115" s="149"/>
      <c r="J115" s="149"/>
      <c r="K115" s="149"/>
      <c r="L115" s="149"/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</row>
    <row r="116" ht="11.25" customHeight="1">
      <c r="A116" s="149"/>
      <c r="B116" s="149"/>
      <c r="C116" s="149"/>
      <c r="D116" s="149"/>
      <c r="E116" s="149"/>
      <c r="F116" s="149"/>
      <c r="G116" s="149"/>
      <c r="H116" s="149"/>
      <c r="I116" s="149"/>
      <c r="J116" s="149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  <c r="X116" s="149"/>
      <c r="Y116" s="149"/>
      <c r="Z116" s="149"/>
    </row>
    <row r="117" ht="11.25" customHeight="1">
      <c r="A117" s="149"/>
      <c r="B117" s="149"/>
      <c r="C117" s="149"/>
      <c r="D117" s="149"/>
      <c r="E117" s="149"/>
      <c r="F117" s="149"/>
      <c r="G117" s="149"/>
      <c r="H117" s="149"/>
      <c r="I117" s="149"/>
      <c r="J117" s="149"/>
      <c r="K117" s="149"/>
      <c r="L117" s="149"/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W117" s="149"/>
      <c r="X117" s="149"/>
      <c r="Y117" s="149"/>
      <c r="Z117" s="149"/>
    </row>
    <row r="118" ht="11.25" customHeight="1">
      <c r="A118" s="149"/>
      <c r="B118" s="149"/>
      <c r="C118" s="149"/>
      <c r="D118" s="149"/>
      <c r="E118" s="149"/>
      <c r="F118" s="149"/>
      <c r="G118" s="149"/>
      <c r="H118" s="149"/>
      <c r="I118" s="149"/>
      <c r="J118" s="149"/>
      <c r="K118" s="149"/>
      <c r="L118" s="149"/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W118" s="149"/>
      <c r="X118" s="149"/>
      <c r="Y118" s="149"/>
      <c r="Z118" s="149"/>
    </row>
    <row r="119" ht="11.25" customHeight="1">
      <c r="A119" s="149"/>
      <c r="B119" s="149"/>
      <c r="C119" s="149"/>
      <c r="D119" s="149"/>
      <c r="E119" s="149"/>
      <c r="F119" s="149"/>
      <c r="G119" s="149"/>
      <c r="H119" s="149"/>
      <c r="I119" s="149"/>
      <c r="J119" s="149"/>
      <c r="K119" s="149"/>
      <c r="L119" s="149"/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W119" s="149"/>
      <c r="X119" s="149"/>
      <c r="Y119" s="149"/>
      <c r="Z119" s="149"/>
    </row>
    <row r="120" ht="11.25" customHeight="1">
      <c r="A120" s="149"/>
      <c r="B120" s="149"/>
      <c r="C120" s="149"/>
      <c r="D120" s="149"/>
      <c r="E120" s="149"/>
      <c r="F120" s="149"/>
      <c r="G120" s="149"/>
      <c r="H120" s="149"/>
      <c r="I120" s="149"/>
      <c r="J120" s="149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  <c r="X120" s="149"/>
      <c r="Y120" s="149"/>
      <c r="Z120" s="149"/>
    </row>
    <row r="121" ht="11.25" customHeight="1">
      <c r="A121" s="149"/>
      <c r="B121" s="149"/>
      <c r="C121" s="149"/>
      <c r="D121" s="149"/>
      <c r="E121" s="149"/>
      <c r="F121" s="149"/>
      <c r="G121" s="149"/>
      <c r="H121" s="149"/>
      <c r="I121" s="149"/>
      <c r="J121" s="149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  <c r="X121" s="149"/>
      <c r="Y121" s="149"/>
      <c r="Z121" s="149"/>
    </row>
    <row r="122" ht="11.25" customHeight="1">
      <c r="A122" s="149"/>
      <c r="B122" s="149"/>
      <c r="C122" s="149"/>
      <c r="D122" s="149"/>
      <c r="E122" s="149"/>
      <c r="F122" s="149"/>
      <c r="G122" s="149"/>
      <c r="H122" s="149"/>
      <c r="I122" s="149"/>
      <c r="J122" s="149"/>
      <c r="K122" s="149"/>
      <c r="L122" s="149"/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W122" s="149"/>
      <c r="X122" s="149"/>
      <c r="Y122" s="149"/>
      <c r="Z122" s="149"/>
    </row>
    <row r="123" ht="11.25" customHeight="1">
      <c r="A123" s="149"/>
      <c r="B123" s="149"/>
      <c r="C123" s="149"/>
      <c r="D123" s="149"/>
      <c r="E123" s="149"/>
      <c r="F123" s="149"/>
      <c r="G123" s="149"/>
      <c r="H123" s="149"/>
      <c r="I123" s="149"/>
      <c r="J123" s="149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  <c r="X123" s="149"/>
      <c r="Y123" s="149"/>
      <c r="Z123" s="149"/>
    </row>
    <row r="124" ht="11.25" customHeight="1">
      <c r="A124" s="149"/>
      <c r="B124" s="149"/>
      <c r="C124" s="149"/>
      <c r="D124" s="149"/>
      <c r="E124" s="149"/>
      <c r="F124" s="149"/>
      <c r="G124" s="149"/>
      <c r="H124" s="149"/>
      <c r="I124" s="149"/>
      <c r="J124" s="149"/>
      <c r="K124" s="149"/>
      <c r="L124" s="149"/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W124" s="149"/>
      <c r="X124" s="149"/>
      <c r="Y124" s="149"/>
      <c r="Z124" s="149"/>
    </row>
    <row r="125" ht="11.25" customHeight="1">
      <c r="A125" s="149"/>
      <c r="B125" s="149"/>
      <c r="C125" s="149"/>
      <c r="D125" s="149"/>
      <c r="E125" s="149"/>
      <c r="F125" s="149"/>
      <c r="G125" s="149"/>
      <c r="H125" s="149"/>
      <c r="I125" s="149"/>
      <c r="J125" s="149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  <c r="X125" s="149"/>
      <c r="Y125" s="149"/>
      <c r="Z125" s="149"/>
    </row>
    <row r="126" ht="11.25" customHeight="1">
      <c r="A126" s="149"/>
      <c r="B126" s="149"/>
      <c r="C126" s="149"/>
      <c r="D126" s="149"/>
      <c r="E126" s="149"/>
      <c r="F126" s="149"/>
      <c r="G126" s="149"/>
      <c r="H126" s="149"/>
      <c r="I126" s="149"/>
      <c r="J126" s="149"/>
      <c r="K126" s="149"/>
      <c r="L126" s="149"/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W126" s="149"/>
      <c r="X126" s="149"/>
      <c r="Y126" s="149"/>
      <c r="Z126" s="149"/>
    </row>
    <row r="127" ht="11.25" customHeight="1">
      <c r="A127" s="149"/>
      <c r="B127" s="149"/>
      <c r="C127" s="149"/>
      <c r="D127" s="149"/>
      <c r="E127" s="149"/>
      <c r="F127" s="149"/>
      <c r="G127" s="149"/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/>
      <c r="Y127" s="149"/>
      <c r="Z127" s="149"/>
    </row>
    <row r="128" ht="11.25" customHeight="1">
      <c r="A128" s="149"/>
      <c r="B128" s="149"/>
      <c r="C128" s="149"/>
      <c r="D128" s="149"/>
      <c r="E128" s="149"/>
      <c r="F128" s="149"/>
      <c r="G128" s="149"/>
      <c r="H128" s="149"/>
      <c r="I128" s="149"/>
      <c r="J128" s="149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  <c r="X128" s="149"/>
      <c r="Y128" s="149"/>
      <c r="Z128" s="149"/>
    </row>
    <row r="129" ht="11.25" customHeight="1">
      <c r="A129" s="149"/>
      <c r="B129" s="149"/>
      <c r="C129" s="149"/>
      <c r="D129" s="149"/>
      <c r="E129" s="149"/>
      <c r="F129" s="149"/>
      <c r="G129" s="149"/>
      <c r="H129" s="149"/>
      <c r="I129" s="149"/>
      <c r="J129" s="149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W129" s="149"/>
      <c r="X129" s="149"/>
      <c r="Y129" s="149"/>
      <c r="Z129" s="149"/>
    </row>
    <row r="130" ht="11.25" customHeight="1">
      <c r="A130" s="149"/>
      <c r="B130" s="149"/>
      <c r="C130" s="149"/>
      <c r="D130" s="149"/>
      <c r="E130" s="149"/>
      <c r="F130" s="149"/>
      <c r="G130" s="149"/>
      <c r="H130" s="149"/>
      <c r="I130" s="149"/>
      <c r="J130" s="149"/>
      <c r="K130" s="149"/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W130" s="149"/>
      <c r="X130" s="149"/>
      <c r="Y130" s="149"/>
      <c r="Z130" s="149"/>
    </row>
    <row r="131" ht="11.25" customHeight="1">
      <c r="A131" s="149"/>
      <c r="B131" s="149"/>
      <c r="C131" s="149"/>
      <c r="D131" s="149"/>
      <c r="E131" s="149"/>
      <c r="F131" s="149"/>
      <c r="G131" s="149"/>
      <c r="H131" s="149"/>
      <c r="I131" s="149"/>
      <c r="J131" s="149"/>
      <c r="K131" s="149"/>
      <c r="L131" s="149"/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W131" s="149"/>
      <c r="X131" s="149"/>
      <c r="Y131" s="149"/>
      <c r="Z131" s="149"/>
    </row>
    <row r="132" ht="11.25" customHeight="1">
      <c r="A132" s="149"/>
      <c r="B132" s="149"/>
      <c r="C132" s="149"/>
      <c r="D132" s="149"/>
      <c r="E132" s="149"/>
      <c r="F132" s="149"/>
      <c r="G132" s="149"/>
      <c r="H132" s="149"/>
      <c r="I132" s="149"/>
      <c r="J132" s="149"/>
      <c r="K132" s="149"/>
      <c r="L132" s="149"/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W132" s="149"/>
      <c r="X132" s="149"/>
      <c r="Y132" s="149"/>
      <c r="Z132" s="149"/>
    </row>
    <row r="133" ht="11.25" customHeight="1">
      <c r="A133" s="149"/>
      <c r="B133" s="149"/>
      <c r="C133" s="149"/>
      <c r="D133" s="149"/>
      <c r="E133" s="149"/>
      <c r="F133" s="149"/>
      <c r="G133" s="149"/>
      <c r="H133" s="149"/>
      <c r="I133" s="149"/>
      <c r="J133" s="149"/>
      <c r="K133" s="149"/>
      <c r="L133" s="149"/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W133" s="149"/>
      <c r="X133" s="149"/>
      <c r="Y133" s="149"/>
      <c r="Z133" s="149"/>
    </row>
    <row r="134" ht="11.25" customHeight="1">
      <c r="A134" s="149"/>
      <c r="B134" s="149"/>
      <c r="C134" s="149"/>
      <c r="D134" s="149"/>
      <c r="E134" s="149"/>
      <c r="F134" s="149"/>
      <c r="G134" s="149"/>
      <c r="H134" s="149"/>
      <c r="I134" s="149"/>
      <c r="J134" s="149"/>
      <c r="K134" s="149"/>
      <c r="L134" s="149"/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W134" s="149"/>
      <c r="X134" s="149"/>
      <c r="Y134" s="149"/>
      <c r="Z134" s="149"/>
    </row>
    <row r="135" ht="11.25" customHeight="1">
      <c r="A135" s="149"/>
      <c r="B135" s="149"/>
      <c r="C135" s="149"/>
      <c r="D135" s="149"/>
      <c r="E135" s="149"/>
      <c r="F135" s="149"/>
      <c r="G135" s="149"/>
      <c r="H135" s="149"/>
      <c r="I135" s="149"/>
      <c r="J135" s="149"/>
      <c r="K135" s="149"/>
      <c r="L135" s="149"/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</row>
    <row r="136" ht="11.25" customHeight="1">
      <c r="A136" s="149"/>
      <c r="B136" s="149"/>
      <c r="C136" s="149"/>
      <c r="D136" s="149"/>
      <c r="E136" s="149"/>
      <c r="F136" s="149"/>
      <c r="G136" s="149"/>
      <c r="H136" s="149"/>
      <c r="I136" s="149"/>
      <c r="J136" s="149"/>
      <c r="K136" s="149"/>
      <c r="L136" s="149"/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</row>
    <row r="137" ht="11.25" customHeight="1">
      <c r="A137" s="149"/>
      <c r="B137" s="149"/>
      <c r="C137" s="149"/>
      <c r="D137" s="149"/>
      <c r="E137" s="149"/>
      <c r="F137" s="149"/>
      <c r="G137" s="149"/>
      <c r="H137" s="149"/>
      <c r="I137" s="149"/>
      <c r="J137" s="149"/>
      <c r="K137" s="149"/>
      <c r="L137" s="149"/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</row>
    <row r="138" ht="11.25" customHeight="1">
      <c r="A138" s="149"/>
      <c r="B138" s="149"/>
      <c r="C138" s="149"/>
      <c r="D138" s="149"/>
      <c r="E138" s="149"/>
      <c r="F138" s="149"/>
      <c r="G138" s="149"/>
      <c r="H138" s="149"/>
      <c r="I138" s="149"/>
      <c r="J138" s="149"/>
      <c r="K138" s="149"/>
      <c r="L138" s="149"/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</row>
    <row r="139" ht="11.25" customHeight="1">
      <c r="A139" s="149"/>
      <c r="B139" s="149"/>
      <c r="C139" s="149"/>
      <c r="D139" s="149"/>
      <c r="E139" s="149"/>
      <c r="F139" s="149"/>
      <c r="G139" s="149"/>
      <c r="H139" s="149"/>
      <c r="I139" s="149"/>
      <c r="J139" s="149"/>
      <c r="K139" s="149"/>
      <c r="L139" s="149"/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</row>
    <row r="140" ht="11.25" customHeight="1">
      <c r="A140" s="149"/>
      <c r="B140" s="149"/>
      <c r="C140" s="149"/>
      <c r="D140" s="149"/>
      <c r="E140" s="149"/>
      <c r="F140" s="149"/>
      <c r="G140" s="149"/>
      <c r="H140" s="149"/>
      <c r="I140" s="149"/>
      <c r="J140" s="149"/>
      <c r="K140" s="149"/>
      <c r="L140" s="149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</row>
    <row r="141" ht="11.25" customHeight="1">
      <c r="A141" s="149"/>
      <c r="B141" s="149"/>
      <c r="C141" s="149"/>
      <c r="D141" s="149"/>
      <c r="E141" s="149"/>
      <c r="F141" s="149"/>
      <c r="G141" s="149"/>
      <c r="H141" s="149"/>
      <c r="I141" s="149"/>
      <c r="J141" s="149"/>
      <c r="K141" s="149"/>
      <c r="L141" s="149"/>
      <c r="M141" s="149"/>
      <c r="N141" s="149"/>
      <c r="O141" s="149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</row>
    <row r="142" ht="11.25" customHeight="1">
      <c r="A142" s="149"/>
      <c r="B142" s="149"/>
      <c r="C142" s="149"/>
      <c r="D142" s="149"/>
      <c r="E142" s="149"/>
      <c r="F142" s="149"/>
      <c r="G142" s="149"/>
      <c r="H142" s="149"/>
      <c r="I142" s="149"/>
      <c r="J142" s="149"/>
      <c r="K142" s="149"/>
      <c r="L142" s="149"/>
      <c r="M142" s="149"/>
      <c r="N142" s="149"/>
      <c r="O142" s="149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</row>
    <row r="143" ht="11.25" customHeight="1">
      <c r="A143" s="149"/>
      <c r="B143" s="149"/>
      <c r="C143" s="149"/>
      <c r="D143" s="149"/>
      <c r="E143" s="149"/>
      <c r="F143" s="149"/>
      <c r="G143" s="149"/>
      <c r="H143" s="149"/>
      <c r="I143" s="149"/>
      <c r="J143" s="149"/>
      <c r="K143" s="149"/>
      <c r="L143" s="149"/>
      <c r="M143" s="149"/>
      <c r="N143" s="149"/>
      <c r="O143" s="149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</row>
    <row r="144" ht="11.25" customHeight="1">
      <c r="A144" s="149"/>
      <c r="B144" s="149"/>
      <c r="C144" s="149"/>
      <c r="D144" s="149"/>
      <c r="E144" s="149"/>
      <c r="F144" s="149"/>
      <c r="G144" s="149"/>
      <c r="H144" s="149"/>
      <c r="I144" s="149"/>
      <c r="J144" s="149"/>
      <c r="K144" s="149"/>
      <c r="L144" s="149"/>
      <c r="M144" s="149"/>
      <c r="N144" s="149"/>
      <c r="O144" s="149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</row>
    <row r="145" ht="11.25" customHeight="1">
      <c r="A145" s="149"/>
      <c r="B145" s="149"/>
      <c r="C145" s="149"/>
      <c r="D145" s="149"/>
      <c r="E145" s="149"/>
      <c r="F145" s="149"/>
      <c r="G145" s="149"/>
      <c r="H145" s="149"/>
      <c r="I145" s="149"/>
      <c r="J145" s="149"/>
      <c r="K145" s="149"/>
      <c r="L145" s="149"/>
      <c r="M145" s="149"/>
      <c r="N145" s="149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</row>
    <row r="146" ht="11.25" customHeight="1">
      <c r="A146" s="149"/>
      <c r="B146" s="149"/>
      <c r="C146" s="149"/>
      <c r="D146" s="149"/>
      <c r="E146" s="149"/>
      <c r="F146" s="149"/>
      <c r="G146" s="149"/>
      <c r="H146" s="149"/>
      <c r="I146" s="149"/>
      <c r="J146" s="149"/>
      <c r="K146" s="149"/>
      <c r="L146" s="149"/>
      <c r="M146" s="149"/>
      <c r="N146" s="149"/>
      <c r="O146" s="149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</row>
    <row r="147" ht="11.25" customHeight="1">
      <c r="A147" s="149"/>
      <c r="B147" s="149"/>
      <c r="C147" s="149"/>
      <c r="D147" s="149"/>
      <c r="E147" s="149"/>
      <c r="F147" s="149"/>
      <c r="G147" s="149"/>
      <c r="H147" s="149"/>
      <c r="I147" s="149"/>
      <c r="J147" s="149"/>
      <c r="K147" s="149"/>
      <c r="L147" s="149"/>
      <c r="M147" s="149"/>
      <c r="N147" s="149"/>
      <c r="O147" s="149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</row>
    <row r="148" ht="11.25" customHeight="1">
      <c r="A148" s="149"/>
      <c r="B148" s="149"/>
      <c r="C148" s="149"/>
      <c r="D148" s="149"/>
      <c r="E148" s="149"/>
      <c r="F148" s="149"/>
      <c r="G148" s="149"/>
      <c r="H148" s="149"/>
      <c r="I148" s="149"/>
      <c r="J148" s="149"/>
      <c r="K148" s="149"/>
      <c r="L148" s="149"/>
      <c r="M148" s="149"/>
      <c r="N148" s="149"/>
      <c r="O148" s="149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</row>
    <row r="149" ht="11.25" customHeight="1">
      <c r="A149" s="149"/>
      <c r="B149" s="149"/>
      <c r="C149" s="149"/>
      <c r="D149" s="149"/>
      <c r="E149" s="149"/>
      <c r="F149" s="149"/>
      <c r="G149" s="149"/>
      <c r="H149" s="149"/>
      <c r="I149" s="149"/>
      <c r="J149" s="149"/>
      <c r="K149" s="149"/>
      <c r="L149" s="149"/>
      <c r="M149" s="149"/>
      <c r="N149" s="149"/>
      <c r="O149" s="149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</row>
    <row r="150" ht="11.25" customHeight="1">
      <c r="A150" s="149"/>
      <c r="B150" s="149"/>
      <c r="C150" s="149"/>
      <c r="D150" s="149"/>
      <c r="E150" s="149"/>
      <c r="F150" s="149"/>
      <c r="G150" s="149"/>
      <c r="H150" s="149"/>
      <c r="I150" s="149"/>
      <c r="J150" s="149"/>
      <c r="K150" s="149"/>
      <c r="L150" s="149"/>
      <c r="M150" s="149"/>
      <c r="N150" s="149"/>
      <c r="O150" s="149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</row>
    <row r="151" ht="11.25" customHeight="1">
      <c r="A151" s="149"/>
      <c r="B151" s="149"/>
      <c r="C151" s="149"/>
      <c r="D151" s="149"/>
      <c r="E151" s="149"/>
      <c r="F151" s="149"/>
      <c r="G151" s="149"/>
      <c r="H151" s="149"/>
      <c r="I151" s="149"/>
      <c r="J151" s="149"/>
      <c r="K151" s="149"/>
      <c r="L151" s="149"/>
      <c r="M151" s="149"/>
      <c r="N151" s="149"/>
      <c r="O151" s="149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</row>
    <row r="152" ht="11.25" customHeight="1">
      <c r="A152" s="149"/>
      <c r="B152" s="149"/>
      <c r="C152" s="149"/>
      <c r="D152" s="149"/>
      <c r="E152" s="149"/>
      <c r="F152" s="149"/>
      <c r="G152" s="149"/>
      <c r="H152" s="149"/>
      <c r="I152" s="149"/>
      <c r="J152" s="149"/>
      <c r="K152" s="149"/>
      <c r="L152" s="149"/>
      <c r="M152" s="149"/>
      <c r="N152" s="149"/>
      <c r="O152" s="149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</row>
    <row r="153" ht="11.25" customHeight="1">
      <c r="A153" s="149"/>
      <c r="B153" s="149"/>
      <c r="C153" s="149"/>
      <c r="D153" s="149"/>
      <c r="E153" s="149"/>
      <c r="F153" s="149"/>
      <c r="G153" s="149"/>
      <c r="H153" s="149"/>
      <c r="I153" s="149"/>
      <c r="J153" s="149"/>
      <c r="K153" s="149"/>
      <c r="L153" s="149"/>
      <c r="M153" s="149"/>
      <c r="N153" s="149"/>
      <c r="O153" s="149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</row>
    <row r="154" ht="11.25" customHeight="1">
      <c r="A154" s="149"/>
      <c r="B154" s="149"/>
      <c r="C154" s="149"/>
      <c r="D154" s="149"/>
      <c r="E154" s="149"/>
      <c r="F154" s="149"/>
      <c r="G154" s="149"/>
      <c r="H154" s="149"/>
      <c r="I154" s="149"/>
      <c r="J154" s="149"/>
      <c r="K154" s="149"/>
      <c r="L154" s="149"/>
      <c r="M154" s="149"/>
      <c r="N154" s="149"/>
      <c r="O154" s="149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</row>
    <row r="155" ht="11.25" customHeight="1">
      <c r="A155" s="149"/>
      <c r="B155" s="149"/>
      <c r="C155" s="149"/>
      <c r="D155" s="149"/>
      <c r="E155" s="149"/>
      <c r="F155" s="149"/>
      <c r="G155" s="149"/>
      <c r="H155" s="149"/>
      <c r="I155" s="149"/>
      <c r="J155" s="149"/>
      <c r="K155" s="149"/>
      <c r="L155" s="149"/>
      <c r="M155" s="149"/>
      <c r="N155" s="149"/>
      <c r="O155" s="149"/>
      <c r="P155" s="149"/>
      <c r="Q155" s="149"/>
      <c r="R155" s="149"/>
      <c r="S155" s="149"/>
      <c r="T155" s="149"/>
      <c r="U155" s="149"/>
      <c r="V155" s="149"/>
      <c r="W155" s="149"/>
      <c r="X155" s="149"/>
      <c r="Y155" s="149"/>
      <c r="Z155" s="149"/>
    </row>
    <row r="156" ht="11.25" customHeight="1">
      <c r="A156" s="149"/>
      <c r="B156" s="149"/>
      <c r="C156" s="149"/>
      <c r="D156" s="149"/>
      <c r="E156" s="149"/>
      <c r="F156" s="149"/>
      <c r="G156" s="149"/>
      <c r="H156" s="149"/>
      <c r="I156" s="149"/>
      <c r="J156" s="149"/>
      <c r="K156" s="149"/>
      <c r="L156" s="149"/>
      <c r="M156" s="149"/>
      <c r="N156" s="149"/>
      <c r="O156" s="149"/>
      <c r="P156" s="149"/>
      <c r="Q156" s="149"/>
      <c r="R156" s="149"/>
      <c r="S156" s="149"/>
      <c r="T156" s="149"/>
      <c r="U156" s="149"/>
      <c r="V156" s="149"/>
      <c r="W156" s="149"/>
      <c r="X156" s="149"/>
      <c r="Y156" s="149"/>
      <c r="Z156" s="149"/>
    </row>
    <row r="157" ht="11.25" customHeight="1">
      <c r="A157" s="149"/>
      <c r="B157" s="149"/>
      <c r="C157" s="149"/>
      <c r="D157" s="149"/>
      <c r="E157" s="149"/>
      <c r="F157" s="149"/>
      <c r="G157" s="149"/>
      <c r="H157" s="149"/>
      <c r="I157" s="149"/>
      <c r="J157" s="149"/>
      <c r="K157" s="149"/>
      <c r="L157" s="149"/>
      <c r="M157" s="149"/>
      <c r="N157" s="149"/>
      <c r="O157" s="149"/>
      <c r="P157" s="149"/>
      <c r="Q157" s="149"/>
      <c r="R157" s="149"/>
      <c r="S157" s="149"/>
      <c r="T157" s="149"/>
      <c r="U157" s="149"/>
      <c r="V157" s="149"/>
      <c r="W157" s="149"/>
      <c r="X157" s="149"/>
      <c r="Y157" s="149"/>
      <c r="Z157" s="149"/>
    </row>
    <row r="158" ht="11.25" customHeight="1">
      <c r="A158" s="149"/>
      <c r="B158" s="149"/>
      <c r="C158" s="149"/>
      <c r="D158" s="149"/>
      <c r="E158" s="149"/>
      <c r="F158" s="149"/>
      <c r="G158" s="149"/>
      <c r="H158" s="149"/>
      <c r="I158" s="149"/>
      <c r="J158" s="149"/>
      <c r="K158" s="149"/>
      <c r="L158" s="149"/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W158" s="149"/>
      <c r="X158" s="149"/>
      <c r="Y158" s="149"/>
      <c r="Z158" s="149"/>
    </row>
    <row r="159" ht="11.25" customHeight="1">
      <c r="A159" s="149"/>
      <c r="B159" s="149"/>
      <c r="C159" s="149"/>
      <c r="D159" s="149"/>
      <c r="E159" s="149"/>
      <c r="F159" s="149"/>
      <c r="G159" s="149"/>
      <c r="H159" s="149"/>
      <c r="I159" s="149"/>
      <c r="J159" s="149"/>
      <c r="K159" s="149"/>
      <c r="L159" s="149"/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W159" s="149"/>
      <c r="X159" s="149"/>
      <c r="Y159" s="149"/>
      <c r="Z159" s="149"/>
    </row>
    <row r="160" ht="11.25" customHeight="1">
      <c r="A160" s="149"/>
      <c r="B160" s="149"/>
      <c r="C160" s="149"/>
      <c r="D160" s="149"/>
      <c r="E160" s="149"/>
      <c r="F160" s="149"/>
      <c r="G160" s="149"/>
      <c r="H160" s="149"/>
      <c r="I160" s="149"/>
      <c r="J160" s="149"/>
      <c r="K160" s="149"/>
      <c r="L160" s="149"/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W160" s="149"/>
      <c r="X160" s="149"/>
      <c r="Y160" s="149"/>
      <c r="Z160" s="149"/>
    </row>
    <row r="161" ht="11.25" customHeight="1">
      <c r="A161" s="149"/>
      <c r="B161" s="149"/>
      <c r="C161" s="149"/>
      <c r="D161" s="149"/>
      <c r="E161" s="149"/>
      <c r="F161" s="149"/>
      <c r="G161" s="149"/>
      <c r="H161" s="149"/>
      <c r="I161" s="149"/>
      <c r="J161" s="149"/>
      <c r="K161" s="149"/>
      <c r="L161" s="149"/>
      <c r="M161" s="149"/>
      <c r="N161" s="149"/>
      <c r="O161" s="149"/>
      <c r="P161" s="149"/>
      <c r="Q161" s="149"/>
      <c r="R161" s="149"/>
      <c r="S161" s="149"/>
      <c r="T161" s="149"/>
      <c r="U161" s="149"/>
      <c r="V161" s="149"/>
      <c r="W161" s="149"/>
      <c r="X161" s="149"/>
      <c r="Y161" s="149"/>
      <c r="Z161" s="149"/>
    </row>
    <row r="162" ht="11.25" customHeight="1">
      <c r="A162" s="149"/>
      <c r="B162" s="149"/>
      <c r="C162" s="149"/>
      <c r="D162" s="149"/>
      <c r="E162" s="149"/>
      <c r="F162" s="149"/>
      <c r="G162" s="149"/>
      <c r="H162" s="149"/>
      <c r="I162" s="149"/>
      <c r="J162" s="149"/>
      <c r="K162" s="149"/>
      <c r="L162" s="149"/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W162" s="149"/>
      <c r="X162" s="149"/>
      <c r="Y162" s="149"/>
      <c r="Z162" s="149"/>
    </row>
    <row r="163" ht="11.25" customHeight="1">
      <c r="A163" s="149"/>
      <c r="B163" s="149"/>
      <c r="C163" s="149"/>
      <c r="D163" s="149"/>
      <c r="E163" s="149"/>
      <c r="F163" s="149"/>
      <c r="G163" s="149"/>
      <c r="H163" s="149"/>
      <c r="I163" s="149"/>
      <c r="J163" s="149"/>
      <c r="K163" s="149"/>
      <c r="L163" s="149"/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W163" s="149"/>
      <c r="X163" s="149"/>
      <c r="Y163" s="149"/>
      <c r="Z163" s="149"/>
    </row>
    <row r="164" ht="11.25" customHeight="1">
      <c r="A164" s="149"/>
      <c r="B164" s="149"/>
      <c r="C164" s="149"/>
      <c r="D164" s="149"/>
      <c r="E164" s="149"/>
      <c r="F164" s="149"/>
      <c r="G164" s="149"/>
      <c r="H164" s="149"/>
      <c r="I164" s="149"/>
      <c r="J164" s="149"/>
      <c r="K164" s="149"/>
      <c r="L164" s="149"/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W164" s="149"/>
      <c r="X164" s="149"/>
      <c r="Y164" s="149"/>
      <c r="Z164" s="149"/>
    </row>
    <row r="165" ht="11.25" customHeight="1">
      <c r="A165" s="149"/>
      <c r="B165" s="149"/>
      <c r="C165" s="149"/>
      <c r="D165" s="149"/>
      <c r="E165" s="149"/>
      <c r="F165" s="149"/>
      <c r="G165" s="149"/>
      <c r="H165" s="149"/>
      <c r="I165" s="149"/>
      <c r="J165" s="149"/>
      <c r="K165" s="149"/>
      <c r="L165" s="149"/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W165" s="149"/>
      <c r="X165" s="149"/>
      <c r="Y165" s="149"/>
      <c r="Z165" s="149"/>
    </row>
    <row r="166" ht="11.25" customHeight="1">
      <c r="A166" s="149"/>
      <c r="B166" s="149"/>
      <c r="C166" s="149"/>
      <c r="D166" s="149"/>
      <c r="E166" s="149"/>
      <c r="F166" s="149"/>
      <c r="G166" s="149"/>
      <c r="H166" s="149"/>
      <c r="I166" s="149"/>
      <c r="J166" s="149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W166" s="149"/>
      <c r="X166" s="149"/>
      <c r="Y166" s="149"/>
      <c r="Z166" s="149"/>
    </row>
    <row r="167" ht="11.25" customHeight="1">
      <c r="A167" s="149"/>
      <c r="B167" s="149"/>
      <c r="C167" s="149"/>
      <c r="D167" s="149"/>
      <c r="E167" s="149"/>
      <c r="F167" s="149"/>
      <c r="G167" s="149"/>
      <c r="H167" s="149"/>
      <c r="I167" s="149"/>
      <c r="J167" s="149"/>
      <c r="K167" s="149"/>
      <c r="L167" s="149"/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W167" s="149"/>
      <c r="X167" s="149"/>
      <c r="Y167" s="149"/>
      <c r="Z167" s="149"/>
    </row>
    <row r="168" ht="11.25" customHeight="1">
      <c r="A168" s="149"/>
      <c r="B168" s="149"/>
      <c r="C168" s="149"/>
      <c r="D168" s="149"/>
      <c r="E168" s="149"/>
      <c r="F168" s="149"/>
      <c r="G168" s="149"/>
      <c r="H168" s="149"/>
      <c r="I168" s="149"/>
      <c r="J168" s="149"/>
      <c r="K168" s="149"/>
      <c r="L168" s="149"/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W168" s="149"/>
      <c r="X168" s="149"/>
      <c r="Y168" s="149"/>
      <c r="Z168" s="149"/>
    </row>
    <row r="169" ht="11.25" customHeight="1">
      <c r="A169" s="149"/>
      <c r="B169" s="149"/>
      <c r="C169" s="149"/>
      <c r="D169" s="149"/>
      <c r="E169" s="149"/>
      <c r="F169" s="149"/>
      <c r="G169" s="149"/>
      <c r="H169" s="149"/>
      <c r="I169" s="149"/>
      <c r="J169" s="149"/>
      <c r="K169" s="149"/>
      <c r="L169" s="149"/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W169" s="149"/>
      <c r="X169" s="149"/>
      <c r="Y169" s="149"/>
      <c r="Z169" s="149"/>
    </row>
    <row r="170" ht="11.25" customHeight="1">
      <c r="A170" s="149"/>
      <c r="B170" s="149"/>
      <c r="C170" s="149"/>
      <c r="D170" s="149"/>
      <c r="E170" s="149"/>
      <c r="F170" s="149"/>
      <c r="G170" s="149"/>
      <c r="H170" s="149"/>
      <c r="I170" s="149"/>
      <c r="J170" s="149"/>
      <c r="K170" s="149"/>
      <c r="L170" s="149"/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W170" s="149"/>
      <c r="X170" s="149"/>
      <c r="Y170" s="149"/>
      <c r="Z170" s="149"/>
    </row>
    <row r="171" ht="11.25" customHeight="1">
      <c r="A171" s="149"/>
      <c r="B171" s="149"/>
      <c r="C171" s="149"/>
      <c r="D171" s="149"/>
      <c r="E171" s="149"/>
      <c r="F171" s="149"/>
      <c r="G171" s="149"/>
      <c r="H171" s="149"/>
      <c r="I171" s="149"/>
      <c r="J171" s="149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W171" s="149"/>
      <c r="X171" s="149"/>
      <c r="Y171" s="149"/>
      <c r="Z171" s="149"/>
    </row>
    <row r="172" ht="11.25" customHeight="1">
      <c r="A172" s="149"/>
      <c r="B172" s="149"/>
      <c r="C172" s="149"/>
      <c r="D172" s="149"/>
      <c r="E172" s="149"/>
      <c r="F172" s="149"/>
      <c r="G172" s="149"/>
      <c r="H172" s="149"/>
      <c r="I172" s="149"/>
      <c r="J172" s="149"/>
      <c r="K172" s="149"/>
      <c r="L172" s="149"/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W172" s="149"/>
      <c r="X172" s="149"/>
      <c r="Y172" s="149"/>
      <c r="Z172" s="149"/>
    </row>
    <row r="173" ht="11.25" customHeight="1">
      <c r="A173" s="149"/>
      <c r="B173" s="149"/>
      <c r="C173" s="149"/>
      <c r="D173" s="149"/>
      <c r="E173" s="149"/>
      <c r="F173" s="149"/>
      <c r="G173" s="149"/>
      <c r="H173" s="149"/>
      <c r="I173" s="149"/>
      <c r="J173" s="149"/>
      <c r="K173" s="149"/>
      <c r="L173" s="149"/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W173" s="149"/>
      <c r="X173" s="149"/>
      <c r="Y173" s="149"/>
      <c r="Z173" s="149"/>
    </row>
    <row r="174" ht="11.25" customHeight="1">
      <c r="A174" s="149"/>
      <c r="B174" s="149"/>
      <c r="C174" s="149"/>
      <c r="D174" s="149"/>
      <c r="E174" s="149"/>
      <c r="F174" s="149"/>
      <c r="G174" s="149"/>
      <c r="H174" s="149"/>
      <c r="I174" s="149"/>
      <c r="J174" s="149"/>
      <c r="K174" s="149"/>
      <c r="L174" s="149"/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W174" s="149"/>
      <c r="X174" s="149"/>
      <c r="Y174" s="149"/>
      <c r="Z174" s="149"/>
    </row>
    <row r="175" ht="11.25" customHeight="1">
      <c r="A175" s="149"/>
      <c r="B175" s="149"/>
      <c r="C175" s="149"/>
      <c r="D175" s="149"/>
      <c r="E175" s="149"/>
      <c r="F175" s="149"/>
      <c r="G175" s="149"/>
      <c r="H175" s="149"/>
      <c r="I175" s="149"/>
      <c r="J175" s="149"/>
      <c r="K175" s="149"/>
      <c r="L175" s="149"/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W175" s="149"/>
      <c r="X175" s="149"/>
      <c r="Y175" s="149"/>
      <c r="Z175" s="149"/>
    </row>
    <row r="176" ht="11.25" customHeight="1">
      <c r="A176" s="149"/>
      <c r="B176" s="149"/>
      <c r="C176" s="149"/>
      <c r="D176" s="149"/>
      <c r="E176" s="149"/>
      <c r="F176" s="149"/>
      <c r="G176" s="149"/>
      <c r="H176" s="149"/>
      <c r="I176" s="149"/>
      <c r="J176" s="149"/>
      <c r="K176" s="149"/>
      <c r="L176" s="149"/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W176" s="149"/>
      <c r="X176" s="149"/>
      <c r="Y176" s="149"/>
      <c r="Z176" s="149"/>
    </row>
    <row r="177" ht="11.25" customHeight="1">
      <c r="A177" s="149"/>
      <c r="B177" s="149"/>
      <c r="C177" s="149"/>
      <c r="D177" s="149"/>
      <c r="E177" s="149"/>
      <c r="F177" s="149"/>
      <c r="G177" s="149"/>
      <c r="H177" s="149"/>
      <c r="I177" s="149"/>
      <c r="J177" s="149"/>
      <c r="K177" s="149"/>
      <c r="L177" s="149"/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W177" s="149"/>
      <c r="X177" s="149"/>
      <c r="Y177" s="149"/>
      <c r="Z177" s="149"/>
    </row>
    <row r="178" ht="11.25" customHeight="1">
      <c r="A178" s="149"/>
      <c r="B178" s="149"/>
      <c r="C178" s="149"/>
      <c r="D178" s="149"/>
      <c r="E178" s="149"/>
      <c r="F178" s="149"/>
      <c r="G178" s="149"/>
      <c r="H178" s="149"/>
      <c r="I178" s="149"/>
      <c r="J178" s="149"/>
      <c r="K178" s="149"/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W178" s="149"/>
      <c r="X178" s="149"/>
      <c r="Y178" s="149"/>
      <c r="Z178" s="149"/>
    </row>
    <row r="179" ht="11.25" customHeight="1">
      <c r="A179" s="149"/>
      <c r="B179" s="149"/>
      <c r="C179" s="149"/>
      <c r="D179" s="149"/>
      <c r="E179" s="149"/>
      <c r="F179" s="149"/>
      <c r="G179" s="149"/>
      <c r="H179" s="149"/>
      <c r="I179" s="149"/>
      <c r="J179" s="149"/>
      <c r="K179" s="149"/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W179" s="149"/>
      <c r="X179" s="149"/>
      <c r="Y179" s="149"/>
      <c r="Z179" s="149"/>
    </row>
    <row r="180" ht="11.25" customHeight="1">
      <c r="A180" s="149"/>
      <c r="B180" s="149"/>
      <c r="C180" s="149"/>
      <c r="D180" s="149"/>
      <c r="E180" s="149"/>
      <c r="F180" s="149"/>
      <c r="G180" s="149"/>
      <c r="H180" s="149"/>
      <c r="I180" s="149"/>
      <c r="J180" s="149"/>
      <c r="K180" s="149"/>
      <c r="L180" s="149"/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W180" s="149"/>
      <c r="X180" s="149"/>
      <c r="Y180" s="149"/>
      <c r="Z180" s="149"/>
    </row>
    <row r="181" ht="11.25" customHeight="1">
      <c r="A181" s="149"/>
      <c r="B181" s="149"/>
      <c r="C181" s="149"/>
      <c r="D181" s="149"/>
      <c r="E181" s="149"/>
      <c r="F181" s="149"/>
      <c r="G181" s="149"/>
      <c r="H181" s="149"/>
      <c r="I181" s="149"/>
      <c r="J181" s="149"/>
      <c r="K181" s="149"/>
      <c r="L181" s="149"/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W181" s="149"/>
      <c r="X181" s="149"/>
      <c r="Y181" s="149"/>
      <c r="Z181" s="149"/>
    </row>
    <row r="182" ht="11.25" customHeight="1">
      <c r="A182" s="149"/>
      <c r="B182" s="149"/>
      <c r="C182" s="149"/>
      <c r="D182" s="149"/>
      <c r="E182" s="149"/>
      <c r="F182" s="149"/>
      <c r="G182" s="149"/>
      <c r="H182" s="149"/>
      <c r="I182" s="149"/>
      <c r="J182" s="149"/>
      <c r="K182" s="149"/>
      <c r="L182" s="149"/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W182" s="149"/>
      <c r="X182" s="149"/>
      <c r="Y182" s="149"/>
      <c r="Z182" s="149"/>
    </row>
    <row r="183" ht="11.25" customHeight="1">
      <c r="A183" s="149"/>
      <c r="B183" s="149"/>
      <c r="C183" s="149"/>
      <c r="D183" s="149"/>
      <c r="E183" s="149"/>
      <c r="F183" s="149"/>
      <c r="G183" s="149"/>
      <c r="H183" s="149"/>
      <c r="I183" s="149"/>
      <c r="J183" s="149"/>
      <c r="K183" s="149"/>
      <c r="L183" s="149"/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W183" s="149"/>
      <c r="X183" s="149"/>
      <c r="Y183" s="149"/>
      <c r="Z183" s="149"/>
    </row>
    <row r="184" ht="11.25" customHeight="1">
      <c r="A184" s="149"/>
      <c r="B184" s="149"/>
      <c r="C184" s="149"/>
      <c r="D184" s="149"/>
      <c r="E184" s="149"/>
      <c r="F184" s="149"/>
      <c r="G184" s="149"/>
      <c r="H184" s="149"/>
      <c r="I184" s="149"/>
      <c r="J184" s="149"/>
      <c r="K184" s="149"/>
      <c r="L184" s="149"/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W184" s="149"/>
      <c r="X184" s="149"/>
      <c r="Y184" s="149"/>
      <c r="Z184" s="149"/>
    </row>
    <row r="185" ht="11.25" customHeight="1">
      <c r="A185" s="149"/>
      <c r="B185" s="149"/>
      <c r="C185" s="149"/>
      <c r="D185" s="149"/>
      <c r="E185" s="149"/>
      <c r="F185" s="149"/>
      <c r="G185" s="149"/>
      <c r="H185" s="149"/>
      <c r="I185" s="149"/>
      <c r="J185" s="149"/>
      <c r="K185" s="149"/>
      <c r="L185" s="149"/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W185" s="149"/>
      <c r="X185" s="149"/>
      <c r="Y185" s="149"/>
      <c r="Z185" s="149"/>
    </row>
    <row r="186" ht="11.25" customHeight="1">
      <c r="A186" s="149"/>
      <c r="B186" s="149"/>
      <c r="C186" s="149"/>
      <c r="D186" s="149"/>
      <c r="E186" s="149"/>
      <c r="F186" s="149"/>
      <c r="G186" s="149"/>
      <c r="H186" s="149"/>
      <c r="I186" s="149"/>
      <c r="J186" s="149"/>
      <c r="K186" s="149"/>
      <c r="L186" s="149"/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W186" s="149"/>
      <c r="X186" s="149"/>
      <c r="Y186" s="149"/>
      <c r="Z186" s="149"/>
    </row>
    <row r="187" ht="11.25" customHeight="1">
      <c r="A187" s="149"/>
      <c r="B187" s="149"/>
      <c r="C187" s="149"/>
      <c r="D187" s="149"/>
      <c r="E187" s="149"/>
      <c r="F187" s="149"/>
      <c r="G187" s="149"/>
      <c r="H187" s="149"/>
      <c r="I187" s="149"/>
      <c r="J187" s="149"/>
      <c r="K187" s="149"/>
      <c r="L187" s="149"/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W187" s="149"/>
      <c r="X187" s="149"/>
      <c r="Y187" s="149"/>
      <c r="Z187" s="149"/>
    </row>
    <row r="188" ht="11.25" customHeight="1">
      <c r="A188" s="149"/>
      <c r="B188" s="149"/>
      <c r="C188" s="149"/>
      <c r="D188" s="149"/>
      <c r="E188" s="149"/>
      <c r="F188" s="149"/>
      <c r="G188" s="149"/>
      <c r="H188" s="149"/>
      <c r="I188" s="149"/>
      <c r="J188" s="149"/>
      <c r="K188" s="149"/>
      <c r="L188" s="149"/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W188" s="149"/>
      <c r="X188" s="149"/>
      <c r="Y188" s="149"/>
      <c r="Z188" s="149"/>
    </row>
    <row r="189" ht="11.25" customHeight="1">
      <c r="A189" s="149"/>
      <c r="B189" s="149"/>
      <c r="C189" s="149"/>
      <c r="D189" s="149"/>
      <c r="E189" s="149"/>
      <c r="F189" s="149"/>
      <c r="G189" s="149"/>
      <c r="H189" s="149"/>
      <c r="I189" s="149"/>
      <c r="J189" s="149"/>
      <c r="K189" s="149"/>
      <c r="L189" s="149"/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W189" s="149"/>
      <c r="X189" s="149"/>
      <c r="Y189" s="149"/>
      <c r="Z189" s="149"/>
    </row>
    <row r="190" ht="11.25" customHeight="1">
      <c r="A190" s="149"/>
      <c r="B190" s="149"/>
      <c r="C190" s="149"/>
      <c r="D190" s="149"/>
      <c r="E190" s="149"/>
      <c r="F190" s="149"/>
      <c r="G190" s="149"/>
      <c r="H190" s="149"/>
      <c r="I190" s="149"/>
      <c r="J190" s="149"/>
      <c r="K190" s="149"/>
      <c r="L190" s="149"/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W190" s="149"/>
      <c r="X190" s="149"/>
      <c r="Y190" s="149"/>
      <c r="Z190" s="149"/>
    </row>
    <row r="191" ht="11.25" customHeight="1">
      <c r="A191" s="149"/>
      <c r="B191" s="149"/>
      <c r="C191" s="149"/>
      <c r="D191" s="149"/>
      <c r="E191" s="149"/>
      <c r="F191" s="149"/>
      <c r="G191" s="149"/>
      <c r="H191" s="149"/>
      <c r="I191" s="149"/>
      <c r="J191" s="149"/>
      <c r="K191" s="149"/>
      <c r="L191" s="149"/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W191" s="149"/>
      <c r="X191" s="149"/>
      <c r="Y191" s="149"/>
      <c r="Z191" s="149"/>
    </row>
    <row r="192" ht="11.25" customHeight="1">
      <c r="A192" s="149"/>
      <c r="B192" s="149"/>
      <c r="C192" s="149"/>
      <c r="D192" s="149"/>
      <c r="E192" s="149"/>
      <c r="F192" s="149"/>
      <c r="G192" s="149"/>
      <c r="H192" s="149"/>
      <c r="I192" s="149"/>
      <c r="J192" s="149"/>
      <c r="K192" s="149"/>
      <c r="L192" s="149"/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W192" s="149"/>
      <c r="X192" s="149"/>
      <c r="Y192" s="149"/>
      <c r="Z192" s="149"/>
    </row>
    <row r="193" ht="11.25" customHeight="1">
      <c r="A193" s="149"/>
      <c r="B193" s="149"/>
      <c r="C193" s="149"/>
      <c r="D193" s="149"/>
      <c r="E193" s="149"/>
      <c r="F193" s="149"/>
      <c r="G193" s="149"/>
      <c r="H193" s="149"/>
      <c r="I193" s="149"/>
      <c r="J193" s="149"/>
      <c r="K193" s="149"/>
      <c r="L193" s="149"/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W193" s="149"/>
      <c r="X193" s="149"/>
      <c r="Y193" s="149"/>
      <c r="Z193" s="149"/>
    </row>
    <row r="194" ht="11.25" customHeight="1">
      <c r="A194" s="149"/>
      <c r="B194" s="149"/>
      <c r="C194" s="149"/>
      <c r="D194" s="149"/>
      <c r="E194" s="149"/>
      <c r="F194" s="149"/>
      <c r="G194" s="149"/>
      <c r="H194" s="149"/>
      <c r="I194" s="149"/>
      <c r="J194" s="149"/>
      <c r="K194" s="149"/>
      <c r="L194" s="149"/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W194" s="149"/>
      <c r="X194" s="149"/>
      <c r="Y194" s="149"/>
      <c r="Z194" s="149"/>
    </row>
    <row r="195" ht="11.25" customHeight="1">
      <c r="A195" s="149"/>
      <c r="B195" s="149"/>
      <c r="C195" s="149"/>
      <c r="D195" s="149"/>
      <c r="E195" s="149"/>
      <c r="F195" s="149"/>
      <c r="G195" s="149"/>
      <c r="H195" s="149"/>
      <c r="I195" s="149"/>
      <c r="J195" s="149"/>
      <c r="K195" s="149"/>
      <c r="L195" s="149"/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W195" s="149"/>
      <c r="X195" s="149"/>
      <c r="Y195" s="149"/>
      <c r="Z195" s="149"/>
    </row>
    <row r="196" ht="11.25" customHeight="1">
      <c r="A196" s="149"/>
      <c r="B196" s="149"/>
      <c r="C196" s="149"/>
      <c r="D196" s="149"/>
      <c r="E196" s="149"/>
      <c r="F196" s="149"/>
      <c r="G196" s="149"/>
      <c r="H196" s="149"/>
      <c r="I196" s="149"/>
      <c r="J196" s="149"/>
      <c r="K196" s="149"/>
      <c r="L196" s="149"/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W196" s="149"/>
      <c r="X196" s="149"/>
      <c r="Y196" s="149"/>
      <c r="Z196" s="149"/>
    </row>
    <row r="197" ht="11.25" customHeight="1">
      <c r="A197" s="149"/>
      <c r="B197" s="149"/>
      <c r="C197" s="149"/>
      <c r="D197" s="149"/>
      <c r="E197" s="149"/>
      <c r="F197" s="149"/>
      <c r="G197" s="149"/>
      <c r="H197" s="149"/>
      <c r="I197" s="149"/>
      <c r="J197" s="149"/>
      <c r="K197" s="149"/>
      <c r="L197" s="149"/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W197" s="149"/>
      <c r="X197" s="149"/>
      <c r="Y197" s="149"/>
      <c r="Z197" s="149"/>
    </row>
    <row r="198" ht="11.25" customHeight="1">
      <c r="A198" s="149"/>
      <c r="B198" s="149"/>
      <c r="C198" s="149"/>
      <c r="D198" s="149"/>
      <c r="E198" s="149"/>
      <c r="F198" s="149"/>
      <c r="G198" s="149"/>
      <c r="H198" s="149"/>
      <c r="I198" s="149"/>
      <c r="J198" s="149"/>
      <c r="K198" s="149"/>
      <c r="L198" s="149"/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W198" s="149"/>
      <c r="X198" s="149"/>
      <c r="Y198" s="149"/>
      <c r="Z198" s="149"/>
    </row>
    <row r="199" ht="11.25" customHeight="1">
      <c r="A199" s="149"/>
      <c r="B199" s="149"/>
      <c r="C199" s="149"/>
      <c r="D199" s="149"/>
      <c r="E199" s="149"/>
      <c r="F199" s="149"/>
      <c r="G199" s="149"/>
      <c r="H199" s="149"/>
      <c r="I199" s="149"/>
      <c r="J199" s="149"/>
      <c r="K199" s="149"/>
      <c r="L199" s="149"/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W199" s="149"/>
      <c r="X199" s="149"/>
      <c r="Y199" s="149"/>
      <c r="Z199" s="149"/>
    </row>
    <row r="200" ht="11.25" customHeight="1">
      <c r="A200" s="149"/>
      <c r="B200" s="149"/>
      <c r="C200" s="149"/>
      <c r="D200" s="149"/>
      <c r="E200" s="149"/>
      <c r="F200" s="149"/>
      <c r="G200" s="149"/>
      <c r="H200" s="149"/>
      <c r="I200" s="149"/>
      <c r="J200" s="149"/>
      <c r="K200" s="149"/>
      <c r="L200" s="149"/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W200" s="149"/>
      <c r="X200" s="149"/>
      <c r="Y200" s="149"/>
      <c r="Z200" s="149"/>
    </row>
    <row r="201" ht="11.25" customHeight="1">
      <c r="A201" s="149"/>
      <c r="B201" s="149"/>
      <c r="C201" s="149"/>
      <c r="D201" s="149"/>
      <c r="E201" s="149"/>
      <c r="F201" s="149"/>
      <c r="G201" s="149"/>
      <c r="H201" s="149"/>
      <c r="I201" s="149"/>
      <c r="J201" s="149"/>
      <c r="K201" s="149"/>
      <c r="L201" s="149"/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W201" s="149"/>
      <c r="X201" s="149"/>
      <c r="Y201" s="149"/>
      <c r="Z201" s="149"/>
    </row>
    <row r="202" ht="11.25" customHeight="1">
      <c r="A202" s="149"/>
      <c r="B202" s="149"/>
      <c r="C202" s="149"/>
      <c r="D202" s="149"/>
      <c r="E202" s="149"/>
      <c r="F202" s="149"/>
      <c r="G202" s="149"/>
      <c r="H202" s="149"/>
      <c r="I202" s="149"/>
      <c r="J202" s="149"/>
      <c r="K202" s="149"/>
      <c r="L202" s="149"/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W202" s="149"/>
      <c r="X202" s="149"/>
      <c r="Y202" s="149"/>
      <c r="Z202" s="149"/>
    </row>
    <row r="203" ht="11.25" customHeight="1">
      <c r="A203" s="149"/>
      <c r="B203" s="149"/>
      <c r="C203" s="149"/>
      <c r="D203" s="149"/>
      <c r="E203" s="149"/>
      <c r="F203" s="149"/>
      <c r="G203" s="149"/>
      <c r="H203" s="149"/>
      <c r="I203" s="149"/>
      <c r="J203" s="149"/>
      <c r="K203" s="149"/>
      <c r="L203" s="149"/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W203" s="149"/>
      <c r="X203" s="149"/>
      <c r="Y203" s="149"/>
      <c r="Z203" s="149"/>
    </row>
    <row r="204" ht="11.25" customHeight="1">
      <c r="A204" s="149"/>
      <c r="B204" s="149"/>
      <c r="C204" s="149"/>
      <c r="D204" s="149"/>
      <c r="E204" s="149"/>
      <c r="F204" s="149"/>
      <c r="G204" s="149"/>
      <c r="H204" s="149"/>
      <c r="I204" s="149"/>
      <c r="J204" s="149"/>
      <c r="K204" s="149"/>
      <c r="L204" s="149"/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W204" s="149"/>
      <c r="X204" s="149"/>
      <c r="Y204" s="149"/>
      <c r="Z204" s="149"/>
    </row>
    <row r="205" ht="11.25" customHeight="1">
      <c r="A205" s="149"/>
      <c r="B205" s="149"/>
      <c r="C205" s="149"/>
      <c r="D205" s="149"/>
      <c r="E205" s="149"/>
      <c r="F205" s="149"/>
      <c r="G205" s="149"/>
      <c r="H205" s="149"/>
      <c r="I205" s="149"/>
      <c r="J205" s="149"/>
      <c r="K205" s="149"/>
      <c r="L205" s="149"/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W205" s="149"/>
      <c r="X205" s="149"/>
      <c r="Y205" s="149"/>
      <c r="Z205" s="149"/>
    </row>
    <row r="206" ht="11.25" customHeight="1">
      <c r="A206" s="149"/>
      <c r="B206" s="149"/>
      <c r="C206" s="149"/>
      <c r="D206" s="149"/>
      <c r="E206" s="149"/>
      <c r="F206" s="149"/>
      <c r="G206" s="149"/>
      <c r="H206" s="149"/>
      <c r="I206" s="149"/>
      <c r="J206" s="149"/>
      <c r="K206" s="149"/>
      <c r="L206" s="149"/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W206" s="149"/>
      <c r="X206" s="149"/>
      <c r="Y206" s="149"/>
      <c r="Z206" s="149"/>
    </row>
    <row r="207" ht="11.25" customHeight="1">
      <c r="A207" s="149"/>
      <c r="B207" s="149"/>
      <c r="C207" s="149"/>
      <c r="D207" s="149"/>
      <c r="E207" s="149"/>
      <c r="F207" s="149"/>
      <c r="G207" s="149"/>
      <c r="H207" s="149"/>
      <c r="I207" s="149"/>
      <c r="J207" s="149"/>
      <c r="K207" s="149"/>
      <c r="L207" s="149"/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W207" s="149"/>
      <c r="X207" s="149"/>
      <c r="Y207" s="149"/>
      <c r="Z207" s="149"/>
    </row>
    <row r="208" ht="11.25" customHeight="1">
      <c r="A208" s="149"/>
      <c r="B208" s="149"/>
      <c r="C208" s="149"/>
      <c r="D208" s="149"/>
      <c r="E208" s="149"/>
      <c r="F208" s="149"/>
      <c r="G208" s="149"/>
      <c r="H208" s="149"/>
      <c r="I208" s="149"/>
      <c r="J208" s="149"/>
      <c r="K208" s="149"/>
      <c r="L208" s="149"/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W208" s="149"/>
      <c r="X208" s="149"/>
      <c r="Y208" s="149"/>
      <c r="Z208" s="149"/>
    </row>
    <row r="209" ht="11.25" customHeight="1">
      <c r="A209" s="149"/>
      <c r="B209" s="149"/>
      <c r="C209" s="149"/>
      <c r="D209" s="149"/>
      <c r="E209" s="149"/>
      <c r="F209" s="149"/>
      <c r="G209" s="149"/>
      <c r="H209" s="149"/>
      <c r="I209" s="149"/>
      <c r="J209" s="149"/>
      <c r="K209" s="149"/>
      <c r="L209" s="149"/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W209" s="149"/>
      <c r="X209" s="149"/>
      <c r="Y209" s="149"/>
      <c r="Z209" s="149"/>
    </row>
    <row r="210" ht="11.25" customHeight="1">
      <c r="A210" s="149"/>
      <c r="B210" s="149"/>
      <c r="C210" s="149"/>
      <c r="D210" s="149"/>
      <c r="E210" s="149"/>
      <c r="F210" s="149"/>
      <c r="G210" s="149"/>
      <c r="H210" s="149"/>
      <c r="I210" s="149"/>
      <c r="J210" s="149"/>
      <c r="K210" s="149"/>
      <c r="L210" s="149"/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W210" s="149"/>
      <c r="X210" s="149"/>
      <c r="Y210" s="149"/>
      <c r="Z210" s="149"/>
    </row>
    <row r="211" ht="11.25" customHeight="1">
      <c r="A211" s="149"/>
      <c r="B211" s="149"/>
      <c r="C211" s="149"/>
      <c r="D211" s="149"/>
      <c r="E211" s="149"/>
      <c r="F211" s="149"/>
      <c r="G211" s="149"/>
      <c r="H211" s="149"/>
      <c r="I211" s="149"/>
      <c r="J211" s="149"/>
      <c r="K211" s="149"/>
      <c r="L211" s="149"/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W211" s="149"/>
      <c r="X211" s="149"/>
      <c r="Y211" s="149"/>
      <c r="Z211" s="149"/>
    </row>
    <row r="212" ht="11.25" customHeight="1">
      <c r="A212" s="149"/>
      <c r="B212" s="149"/>
      <c r="C212" s="149"/>
      <c r="D212" s="149"/>
      <c r="E212" s="149"/>
      <c r="F212" s="149"/>
      <c r="G212" s="149"/>
      <c r="H212" s="149"/>
      <c r="I212" s="149"/>
      <c r="J212" s="149"/>
      <c r="K212" s="149"/>
      <c r="L212" s="149"/>
      <c r="M212" s="149"/>
      <c r="N212" s="149"/>
      <c r="O212" s="149"/>
      <c r="P212" s="149"/>
      <c r="Q212" s="149"/>
      <c r="R212" s="149"/>
      <c r="S212" s="149"/>
      <c r="T212" s="149"/>
      <c r="U212" s="149"/>
      <c r="V212" s="149"/>
      <c r="W212" s="149"/>
      <c r="X212" s="149"/>
      <c r="Y212" s="149"/>
      <c r="Z212" s="149"/>
    </row>
    <row r="213" ht="11.25" customHeight="1">
      <c r="A213" s="149"/>
      <c r="B213" s="149"/>
      <c r="C213" s="149"/>
      <c r="D213" s="149"/>
      <c r="E213" s="149"/>
      <c r="F213" s="149"/>
      <c r="G213" s="149"/>
      <c r="H213" s="149"/>
      <c r="I213" s="149"/>
      <c r="J213" s="149"/>
      <c r="K213" s="149"/>
      <c r="L213" s="149"/>
      <c r="M213" s="149"/>
      <c r="N213" s="149"/>
      <c r="O213" s="149"/>
      <c r="P213" s="149"/>
      <c r="Q213" s="149"/>
      <c r="R213" s="149"/>
      <c r="S213" s="149"/>
      <c r="T213" s="149"/>
      <c r="U213" s="149"/>
      <c r="V213" s="149"/>
      <c r="W213" s="149"/>
      <c r="X213" s="149"/>
      <c r="Y213" s="149"/>
      <c r="Z213" s="149"/>
    </row>
    <row r="214" ht="11.25" customHeight="1">
      <c r="A214" s="149"/>
      <c r="B214" s="149"/>
      <c r="C214" s="149"/>
      <c r="D214" s="149"/>
      <c r="E214" s="149"/>
      <c r="F214" s="149"/>
      <c r="G214" s="149"/>
      <c r="H214" s="149"/>
      <c r="I214" s="149"/>
      <c r="J214" s="149"/>
      <c r="K214" s="149"/>
      <c r="L214" s="149"/>
      <c r="M214" s="149"/>
      <c r="N214" s="149"/>
      <c r="O214" s="149"/>
      <c r="P214" s="149"/>
      <c r="Q214" s="149"/>
      <c r="R214" s="149"/>
      <c r="S214" s="149"/>
      <c r="T214" s="149"/>
      <c r="U214" s="149"/>
      <c r="V214" s="149"/>
      <c r="W214" s="149"/>
      <c r="X214" s="149"/>
      <c r="Y214" s="149"/>
      <c r="Z214" s="149"/>
    </row>
    <row r="215" ht="11.25" customHeight="1">
      <c r="A215" s="149"/>
      <c r="B215" s="149"/>
      <c r="C215" s="149"/>
      <c r="D215" s="149"/>
      <c r="E215" s="149"/>
      <c r="F215" s="149"/>
      <c r="G215" s="149"/>
      <c r="H215" s="149"/>
      <c r="I215" s="149"/>
      <c r="J215" s="149"/>
      <c r="K215" s="149"/>
      <c r="L215" s="149"/>
      <c r="M215" s="149"/>
      <c r="N215" s="149"/>
      <c r="O215" s="149"/>
      <c r="P215" s="149"/>
      <c r="Q215" s="149"/>
      <c r="R215" s="149"/>
      <c r="S215" s="149"/>
      <c r="T215" s="149"/>
      <c r="U215" s="149"/>
      <c r="V215" s="149"/>
      <c r="W215" s="149"/>
      <c r="X215" s="149"/>
      <c r="Y215" s="149"/>
      <c r="Z215" s="149"/>
    </row>
    <row r="216" ht="11.25" customHeight="1">
      <c r="A216" s="149"/>
      <c r="B216" s="149"/>
      <c r="C216" s="149"/>
      <c r="D216" s="149"/>
      <c r="E216" s="149"/>
      <c r="F216" s="149"/>
      <c r="G216" s="149"/>
      <c r="H216" s="149"/>
      <c r="I216" s="149"/>
      <c r="J216" s="149"/>
      <c r="K216" s="149"/>
      <c r="L216" s="149"/>
      <c r="M216" s="149"/>
      <c r="N216" s="149"/>
      <c r="O216" s="149"/>
      <c r="P216" s="149"/>
      <c r="Q216" s="149"/>
      <c r="R216" s="149"/>
      <c r="S216" s="149"/>
      <c r="T216" s="149"/>
      <c r="U216" s="149"/>
      <c r="V216" s="149"/>
      <c r="W216" s="149"/>
      <c r="X216" s="149"/>
      <c r="Y216" s="149"/>
      <c r="Z216" s="149"/>
    </row>
    <row r="217" ht="11.25" customHeight="1">
      <c r="A217" s="149"/>
      <c r="B217" s="149"/>
      <c r="C217" s="149"/>
      <c r="D217" s="149"/>
      <c r="E217" s="149"/>
      <c r="F217" s="149"/>
      <c r="G217" s="149"/>
      <c r="H217" s="149"/>
      <c r="I217" s="149"/>
      <c r="J217" s="149"/>
      <c r="K217" s="149"/>
      <c r="L217" s="149"/>
      <c r="M217" s="149"/>
      <c r="N217" s="149"/>
      <c r="O217" s="149"/>
      <c r="P217" s="149"/>
      <c r="Q217" s="149"/>
      <c r="R217" s="149"/>
      <c r="S217" s="149"/>
      <c r="T217" s="149"/>
      <c r="U217" s="149"/>
      <c r="V217" s="149"/>
      <c r="W217" s="149"/>
      <c r="X217" s="149"/>
      <c r="Y217" s="149"/>
      <c r="Z217" s="149"/>
    </row>
    <row r="218" ht="11.25" customHeight="1">
      <c r="A218" s="149"/>
      <c r="B218" s="149"/>
      <c r="C218" s="149"/>
      <c r="D218" s="149"/>
      <c r="E218" s="149"/>
      <c r="F218" s="149"/>
      <c r="G218" s="149"/>
      <c r="H218" s="149"/>
      <c r="I218" s="149"/>
      <c r="J218" s="149"/>
      <c r="K218" s="149"/>
      <c r="L218" s="149"/>
      <c r="M218" s="149"/>
      <c r="N218" s="149"/>
      <c r="O218" s="149"/>
      <c r="P218" s="149"/>
      <c r="Q218" s="149"/>
      <c r="R218" s="149"/>
      <c r="S218" s="149"/>
      <c r="T218" s="149"/>
      <c r="U218" s="149"/>
      <c r="V218" s="149"/>
      <c r="W218" s="149"/>
      <c r="X218" s="149"/>
      <c r="Y218" s="149"/>
      <c r="Z218" s="149"/>
    </row>
    <row r="219" ht="11.25" customHeight="1">
      <c r="A219" s="149"/>
      <c r="B219" s="149"/>
      <c r="C219" s="149"/>
      <c r="D219" s="149"/>
      <c r="E219" s="149"/>
      <c r="F219" s="149"/>
      <c r="G219" s="149"/>
      <c r="H219" s="149"/>
      <c r="I219" s="149"/>
      <c r="J219" s="149"/>
      <c r="K219" s="149"/>
      <c r="L219" s="149"/>
      <c r="M219" s="149"/>
      <c r="N219" s="149"/>
      <c r="O219" s="149"/>
      <c r="P219" s="149"/>
      <c r="Q219" s="149"/>
      <c r="R219" s="149"/>
      <c r="S219" s="149"/>
      <c r="T219" s="149"/>
      <c r="U219" s="149"/>
      <c r="V219" s="149"/>
      <c r="W219" s="149"/>
      <c r="X219" s="149"/>
      <c r="Y219" s="149"/>
      <c r="Z219" s="149"/>
    </row>
    <row r="220" ht="11.25" customHeight="1">
      <c r="A220" s="149"/>
      <c r="B220" s="149"/>
      <c r="C220" s="149"/>
      <c r="D220" s="149"/>
      <c r="E220" s="149"/>
      <c r="F220" s="149"/>
      <c r="G220" s="149"/>
      <c r="H220" s="149"/>
      <c r="I220" s="149"/>
      <c r="J220" s="149"/>
      <c r="K220" s="149"/>
      <c r="L220" s="149"/>
      <c r="M220" s="149"/>
      <c r="N220" s="149"/>
      <c r="O220" s="149"/>
      <c r="P220" s="149"/>
      <c r="Q220" s="149"/>
      <c r="R220" s="149"/>
      <c r="S220" s="149"/>
      <c r="T220" s="149"/>
      <c r="U220" s="149"/>
      <c r="V220" s="149"/>
      <c r="W220" s="149"/>
      <c r="X220" s="149"/>
      <c r="Y220" s="149"/>
      <c r="Z220" s="149"/>
    </row>
    <row r="221" ht="11.25" customHeight="1">
      <c r="A221" s="149"/>
      <c r="B221" s="149"/>
      <c r="C221" s="149"/>
      <c r="D221" s="149"/>
      <c r="E221" s="149"/>
      <c r="F221" s="149"/>
      <c r="G221" s="149"/>
      <c r="H221" s="149"/>
      <c r="I221" s="149"/>
      <c r="J221" s="149"/>
      <c r="K221" s="149"/>
      <c r="L221" s="149"/>
      <c r="M221" s="149"/>
      <c r="N221" s="149"/>
      <c r="O221" s="149"/>
      <c r="P221" s="149"/>
      <c r="Q221" s="149"/>
      <c r="R221" s="149"/>
      <c r="S221" s="149"/>
      <c r="T221" s="149"/>
      <c r="U221" s="149"/>
      <c r="V221" s="149"/>
      <c r="W221" s="149"/>
      <c r="X221" s="149"/>
      <c r="Y221" s="149"/>
      <c r="Z221" s="149"/>
    </row>
    <row r="222" ht="11.25" customHeight="1">
      <c r="A222" s="149"/>
      <c r="B222" s="149"/>
      <c r="C222" s="149"/>
      <c r="D222" s="149"/>
      <c r="E222" s="149"/>
      <c r="F222" s="149"/>
      <c r="G222" s="149"/>
      <c r="H222" s="149"/>
      <c r="I222" s="149"/>
      <c r="J222" s="149"/>
      <c r="K222" s="149"/>
      <c r="L222" s="149"/>
      <c r="M222" s="149"/>
      <c r="N222" s="149"/>
      <c r="O222" s="149"/>
      <c r="P222" s="149"/>
      <c r="Q222" s="149"/>
      <c r="R222" s="149"/>
      <c r="S222" s="149"/>
      <c r="T222" s="149"/>
      <c r="U222" s="149"/>
      <c r="V222" s="149"/>
      <c r="W222" s="149"/>
      <c r="X222" s="149"/>
      <c r="Y222" s="149"/>
      <c r="Z222" s="149"/>
    </row>
    <row r="223" ht="11.25" customHeight="1">
      <c r="A223" s="149"/>
      <c r="B223" s="149"/>
      <c r="C223" s="149"/>
      <c r="D223" s="149"/>
      <c r="E223" s="149"/>
      <c r="F223" s="149"/>
      <c r="G223" s="149"/>
      <c r="H223" s="149"/>
      <c r="I223" s="149"/>
      <c r="J223" s="149"/>
      <c r="K223" s="149"/>
      <c r="L223" s="149"/>
      <c r="M223" s="149"/>
      <c r="N223" s="149"/>
      <c r="O223" s="149"/>
      <c r="P223" s="149"/>
      <c r="Q223" s="149"/>
      <c r="R223" s="149"/>
      <c r="S223" s="149"/>
      <c r="T223" s="149"/>
      <c r="U223" s="149"/>
      <c r="V223" s="149"/>
      <c r="W223" s="149"/>
      <c r="X223" s="149"/>
      <c r="Y223" s="149"/>
      <c r="Z223" s="149"/>
    </row>
    <row r="224" ht="11.25" customHeight="1">
      <c r="A224" s="149"/>
      <c r="B224" s="149"/>
      <c r="C224" s="149"/>
      <c r="D224" s="149"/>
      <c r="E224" s="149"/>
      <c r="F224" s="149"/>
      <c r="G224" s="149"/>
      <c r="H224" s="149"/>
      <c r="I224" s="149"/>
      <c r="J224" s="149"/>
      <c r="K224" s="149"/>
      <c r="L224" s="149"/>
      <c r="M224" s="149"/>
      <c r="N224" s="149"/>
      <c r="O224" s="149"/>
      <c r="P224" s="149"/>
      <c r="Q224" s="149"/>
      <c r="R224" s="149"/>
      <c r="S224" s="149"/>
      <c r="T224" s="149"/>
      <c r="U224" s="149"/>
      <c r="V224" s="149"/>
      <c r="W224" s="149"/>
      <c r="X224" s="149"/>
      <c r="Y224" s="149"/>
      <c r="Z224" s="149"/>
    </row>
    <row r="225" ht="11.25" customHeight="1">
      <c r="A225" s="149"/>
      <c r="B225" s="149"/>
      <c r="C225" s="149"/>
      <c r="D225" s="149"/>
      <c r="E225" s="149"/>
      <c r="F225" s="149"/>
      <c r="G225" s="149"/>
      <c r="H225" s="149"/>
      <c r="I225" s="149"/>
      <c r="J225" s="149"/>
      <c r="K225" s="149"/>
      <c r="L225" s="149"/>
      <c r="M225" s="149"/>
      <c r="N225" s="149"/>
      <c r="O225" s="149"/>
      <c r="P225" s="149"/>
      <c r="Q225" s="149"/>
      <c r="R225" s="149"/>
      <c r="S225" s="149"/>
      <c r="T225" s="149"/>
      <c r="U225" s="149"/>
      <c r="V225" s="149"/>
      <c r="W225" s="149"/>
      <c r="X225" s="149"/>
      <c r="Y225" s="149"/>
      <c r="Z225" s="149"/>
    </row>
    <row r="226" ht="11.25" customHeight="1">
      <c r="A226" s="149"/>
      <c r="B226" s="149"/>
      <c r="C226" s="149"/>
      <c r="D226" s="149"/>
      <c r="E226" s="149"/>
      <c r="F226" s="149"/>
      <c r="G226" s="149"/>
      <c r="H226" s="149"/>
      <c r="I226" s="149"/>
      <c r="J226" s="149"/>
      <c r="K226" s="149"/>
      <c r="L226" s="149"/>
      <c r="M226" s="149"/>
      <c r="N226" s="149"/>
      <c r="O226" s="149"/>
      <c r="P226" s="149"/>
      <c r="Q226" s="149"/>
      <c r="R226" s="149"/>
      <c r="S226" s="149"/>
      <c r="T226" s="149"/>
      <c r="U226" s="149"/>
      <c r="V226" s="149"/>
      <c r="W226" s="149"/>
      <c r="X226" s="149"/>
      <c r="Y226" s="149"/>
      <c r="Z226" s="149"/>
    </row>
    <row r="227" ht="11.25" customHeight="1">
      <c r="A227" s="149"/>
      <c r="B227" s="149"/>
      <c r="C227" s="149"/>
      <c r="D227" s="149"/>
      <c r="E227" s="149"/>
      <c r="F227" s="149"/>
      <c r="G227" s="149"/>
      <c r="H227" s="149"/>
      <c r="I227" s="149"/>
      <c r="J227" s="149"/>
      <c r="K227" s="149"/>
      <c r="L227" s="149"/>
      <c r="M227" s="149"/>
      <c r="N227" s="149"/>
      <c r="O227" s="149"/>
      <c r="P227" s="149"/>
      <c r="Q227" s="149"/>
      <c r="R227" s="149"/>
      <c r="S227" s="149"/>
      <c r="T227" s="149"/>
      <c r="U227" s="149"/>
      <c r="V227" s="149"/>
      <c r="W227" s="149"/>
      <c r="X227" s="149"/>
      <c r="Y227" s="149"/>
      <c r="Z227" s="149"/>
    </row>
    <row r="228" ht="11.25" customHeight="1">
      <c r="A228" s="149"/>
      <c r="B228" s="149"/>
      <c r="C228" s="149"/>
      <c r="D228" s="149"/>
      <c r="E228" s="149"/>
      <c r="F228" s="149"/>
      <c r="G228" s="149"/>
      <c r="H228" s="149"/>
      <c r="I228" s="149"/>
      <c r="J228" s="149"/>
      <c r="K228" s="149"/>
      <c r="L228" s="149"/>
      <c r="M228" s="149"/>
      <c r="N228" s="149"/>
      <c r="O228" s="149"/>
      <c r="P228" s="149"/>
      <c r="Q228" s="149"/>
      <c r="R228" s="149"/>
      <c r="S228" s="149"/>
      <c r="T228" s="149"/>
      <c r="U228" s="149"/>
      <c r="V228" s="149"/>
      <c r="W228" s="149"/>
      <c r="X228" s="149"/>
      <c r="Y228" s="149"/>
      <c r="Z228" s="149"/>
    </row>
    <row r="229" ht="11.25" customHeight="1">
      <c r="A229" s="149"/>
      <c r="B229" s="149"/>
      <c r="C229" s="149"/>
      <c r="D229" s="149"/>
      <c r="E229" s="149"/>
      <c r="F229" s="149"/>
      <c r="G229" s="149"/>
      <c r="H229" s="149"/>
      <c r="I229" s="149"/>
      <c r="J229" s="149"/>
      <c r="K229" s="149"/>
      <c r="L229" s="149"/>
      <c r="M229" s="149"/>
      <c r="N229" s="149"/>
      <c r="O229" s="149"/>
      <c r="P229" s="149"/>
      <c r="Q229" s="149"/>
      <c r="R229" s="149"/>
      <c r="S229" s="149"/>
      <c r="T229" s="149"/>
      <c r="U229" s="149"/>
      <c r="V229" s="149"/>
      <c r="W229" s="149"/>
      <c r="X229" s="149"/>
      <c r="Y229" s="149"/>
      <c r="Z229" s="149"/>
    </row>
    <row r="230" ht="11.25" customHeight="1">
      <c r="A230" s="149"/>
      <c r="B230" s="149"/>
      <c r="C230" s="149"/>
      <c r="D230" s="149"/>
      <c r="E230" s="149"/>
      <c r="F230" s="149"/>
      <c r="G230" s="149"/>
      <c r="H230" s="149"/>
      <c r="I230" s="149"/>
      <c r="J230" s="149"/>
      <c r="K230" s="149"/>
      <c r="L230" s="149"/>
      <c r="M230" s="149"/>
      <c r="N230" s="149"/>
      <c r="O230" s="149"/>
      <c r="P230" s="149"/>
      <c r="Q230" s="149"/>
      <c r="R230" s="149"/>
      <c r="S230" s="149"/>
      <c r="T230" s="149"/>
      <c r="U230" s="149"/>
      <c r="V230" s="149"/>
      <c r="W230" s="149"/>
      <c r="X230" s="149"/>
      <c r="Y230" s="149"/>
      <c r="Z230" s="149"/>
    </row>
    <row r="231" ht="11.25" customHeight="1">
      <c r="A231" s="149"/>
      <c r="B231" s="149"/>
      <c r="C231" s="149"/>
      <c r="D231" s="149"/>
      <c r="E231" s="149"/>
      <c r="F231" s="149"/>
      <c r="G231" s="149"/>
      <c r="H231" s="149"/>
      <c r="I231" s="149"/>
      <c r="J231" s="149"/>
      <c r="K231" s="149"/>
      <c r="L231" s="149"/>
      <c r="M231" s="149"/>
      <c r="N231" s="149"/>
      <c r="O231" s="149"/>
      <c r="P231" s="149"/>
      <c r="Q231" s="149"/>
      <c r="R231" s="149"/>
      <c r="S231" s="149"/>
      <c r="T231" s="149"/>
      <c r="U231" s="149"/>
      <c r="V231" s="149"/>
      <c r="W231" s="149"/>
      <c r="X231" s="149"/>
      <c r="Y231" s="149"/>
      <c r="Z231" s="14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/>
  <pageMargins bottom="0.77" footer="0.0" header="0.0" left="0.25" right="0.25" top="0.98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 fitToPage="1"/>
  </sheetPr>
  <sheetViews>
    <sheetView workbookViewId="0"/>
  </sheetViews>
  <sheetFormatPr customHeight="1" defaultColWidth="12.63" defaultRowHeight="15.0"/>
  <cols>
    <col customWidth="1" min="1" max="1" width="20.75"/>
    <col customWidth="1" min="2" max="2" width="10.38"/>
    <col customWidth="1" min="3" max="3" width="10.88"/>
    <col customWidth="1" min="4" max="4" width="12.0"/>
    <col customWidth="1" min="5" max="5" width="9.0"/>
    <col customWidth="1" min="6" max="6" width="9.13"/>
    <col customWidth="1" min="7" max="7" width="15.13"/>
    <col customWidth="1" min="8" max="8" width="15.88"/>
    <col customWidth="1" min="9" max="9" width="11.25"/>
    <col customWidth="1" min="10" max="26" width="9.13"/>
  </cols>
  <sheetData>
    <row r="1" ht="11.25" customHeight="1">
      <c r="A1" s="184" t="s">
        <v>515</v>
      </c>
      <c r="B1" s="184" t="s">
        <v>482</v>
      </c>
      <c r="C1" s="184" t="s">
        <v>568</v>
      </c>
      <c r="D1" s="184" t="s">
        <v>37</v>
      </c>
      <c r="E1" s="184" t="s">
        <v>579</v>
      </c>
      <c r="F1" s="184" t="s">
        <v>580</v>
      </c>
      <c r="G1" s="184" t="s">
        <v>564</v>
      </c>
      <c r="H1" s="184" t="s">
        <v>573</v>
      </c>
      <c r="I1" s="184" t="s">
        <v>581</v>
      </c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</row>
    <row r="2" ht="11.25" customHeight="1">
      <c r="A2" s="193"/>
      <c r="B2" s="149"/>
      <c r="C2" s="149"/>
      <c r="D2" s="149"/>
      <c r="E2" s="149"/>
      <c r="F2" s="149"/>
      <c r="G2" s="196"/>
      <c r="H2" s="224"/>
      <c r="I2" s="224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</row>
    <row r="3" ht="11.25" customHeight="1">
      <c r="A3" s="198" t="s">
        <v>10</v>
      </c>
      <c r="B3" s="149"/>
      <c r="C3" s="149"/>
      <c r="D3" s="149"/>
      <c r="E3" s="169"/>
      <c r="F3" s="170"/>
      <c r="G3" s="196"/>
      <c r="H3" s="224"/>
      <c r="I3" s="224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9"/>
      <c r="X3" s="149"/>
      <c r="Y3" s="149"/>
      <c r="Z3" s="149"/>
    </row>
    <row r="4" ht="11.25" customHeight="1">
      <c r="A4" s="200" t="s">
        <v>543</v>
      </c>
      <c r="B4" s="201"/>
      <c r="C4" s="201"/>
      <c r="D4" s="206"/>
      <c r="E4" s="201"/>
      <c r="F4" s="206"/>
      <c r="G4" s="203"/>
      <c r="H4" s="203"/>
      <c r="I4" s="203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</row>
    <row r="5" ht="11.25" customHeight="1">
      <c r="A5" s="200" t="s">
        <v>544</v>
      </c>
      <c r="B5" s="201"/>
      <c r="C5" s="201"/>
      <c r="D5" s="206"/>
      <c r="E5" s="201"/>
      <c r="F5" s="206"/>
      <c r="G5" s="203"/>
      <c r="H5" s="203"/>
      <c r="I5" s="203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  <c r="Y5" s="149"/>
      <c r="Z5" s="149"/>
    </row>
    <row r="6" ht="11.25" customHeight="1">
      <c r="A6" s="200" t="s">
        <v>545</v>
      </c>
      <c r="B6" s="201"/>
      <c r="C6" s="201"/>
      <c r="D6" s="206"/>
      <c r="E6" s="201"/>
      <c r="F6" s="206"/>
      <c r="G6" s="203"/>
      <c r="H6" s="203"/>
      <c r="I6" s="203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</row>
    <row r="7" ht="11.25" customHeight="1">
      <c r="A7" s="200" t="s">
        <v>546</v>
      </c>
      <c r="B7" s="201"/>
      <c r="C7" s="201"/>
      <c r="D7" s="206"/>
      <c r="E7" s="201"/>
      <c r="F7" s="206"/>
      <c r="G7" s="203"/>
      <c r="H7" s="203"/>
      <c r="I7" s="203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</row>
    <row r="8" ht="11.25" customHeight="1">
      <c r="A8" s="200" t="s">
        <v>547</v>
      </c>
      <c r="B8" s="201"/>
      <c r="C8" s="201"/>
      <c r="D8" s="206"/>
      <c r="E8" s="201"/>
      <c r="F8" s="206"/>
      <c r="G8" s="203"/>
      <c r="H8" s="203"/>
      <c r="I8" s="203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</row>
    <row r="9" ht="11.25" customHeight="1">
      <c r="A9" s="207" t="s">
        <v>541</v>
      </c>
      <c r="B9" s="217"/>
      <c r="C9" s="217"/>
      <c r="D9" s="228"/>
      <c r="E9" s="217"/>
      <c r="F9" s="228"/>
      <c r="G9" s="220"/>
      <c r="H9" s="220"/>
      <c r="I9" s="220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</row>
    <row r="10" ht="11.25" customHeight="1">
      <c r="A10" s="193"/>
      <c r="B10" s="149"/>
      <c r="C10" s="149"/>
      <c r="D10" s="149"/>
      <c r="E10" s="149"/>
      <c r="F10" s="170"/>
      <c r="G10" s="196"/>
      <c r="H10" s="224"/>
      <c r="I10" s="224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</row>
    <row r="11" ht="11.25" customHeight="1">
      <c r="A11" s="198" t="s">
        <v>13</v>
      </c>
      <c r="B11" s="169"/>
      <c r="C11" s="169"/>
      <c r="D11" s="149"/>
      <c r="E11" s="169"/>
      <c r="F11" s="170"/>
      <c r="G11" s="196"/>
      <c r="H11" s="224"/>
      <c r="I11" s="224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</row>
    <row r="12" ht="11.25" customHeight="1">
      <c r="A12" s="200" t="s">
        <v>522</v>
      </c>
      <c r="B12" s="201"/>
      <c r="C12" s="201"/>
      <c r="D12" s="206"/>
      <c r="E12" s="201"/>
      <c r="F12" s="206"/>
      <c r="G12" s="203"/>
      <c r="H12" s="203"/>
      <c r="I12" s="203"/>
      <c r="J12" s="149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  <c r="X12" s="149"/>
      <c r="Y12" s="149"/>
      <c r="Z12" s="149"/>
    </row>
    <row r="13" ht="11.25" customHeight="1">
      <c r="A13" s="200" t="s">
        <v>523</v>
      </c>
      <c r="B13" s="201"/>
      <c r="C13" s="201"/>
      <c r="D13" s="206"/>
      <c r="E13" s="201"/>
      <c r="F13" s="206"/>
      <c r="G13" s="203"/>
      <c r="H13" s="203"/>
      <c r="I13" s="203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  <c r="Y13" s="149"/>
      <c r="Z13" s="149"/>
    </row>
    <row r="14" ht="11.25" customHeight="1">
      <c r="A14" s="200" t="s">
        <v>524</v>
      </c>
      <c r="B14" s="201"/>
      <c r="C14" s="201"/>
      <c r="D14" s="206"/>
      <c r="E14" s="201"/>
      <c r="F14" s="206"/>
      <c r="G14" s="203"/>
      <c r="H14" s="203"/>
      <c r="I14" s="203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149"/>
      <c r="Z14" s="149"/>
    </row>
    <row r="15" ht="11.25" customHeight="1">
      <c r="A15" s="200" t="s">
        <v>525</v>
      </c>
      <c r="B15" s="201"/>
      <c r="C15" s="201"/>
      <c r="D15" s="206"/>
      <c r="E15" s="201"/>
      <c r="F15" s="206"/>
      <c r="G15" s="203"/>
      <c r="H15" s="203"/>
      <c r="I15" s="203"/>
      <c r="J15" s="149"/>
      <c r="K15" s="149"/>
      <c r="L15" s="149"/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W15" s="149"/>
      <c r="X15" s="149"/>
      <c r="Y15" s="149"/>
      <c r="Z15" s="149"/>
    </row>
    <row r="16" ht="11.25" customHeight="1">
      <c r="A16" s="200" t="s">
        <v>526</v>
      </c>
      <c r="B16" s="201"/>
      <c r="C16" s="201"/>
      <c r="D16" s="206"/>
      <c r="E16" s="201"/>
      <c r="F16" s="206"/>
      <c r="G16" s="203"/>
      <c r="H16" s="203"/>
      <c r="I16" s="203"/>
      <c r="J16" s="149"/>
      <c r="K16" s="149"/>
      <c r="L16" s="149"/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W16" s="149"/>
      <c r="X16" s="149"/>
      <c r="Y16" s="149"/>
      <c r="Z16" s="149"/>
    </row>
    <row r="17" ht="11.25" customHeight="1">
      <c r="A17" s="200" t="s">
        <v>529</v>
      </c>
      <c r="B17" s="201"/>
      <c r="C17" s="201"/>
      <c r="D17" s="206"/>
      <c r="E17" s="201"/>
      <c r="F17" s="206"/>
      <c r="G17" s="203"/>
      <c r="H17" s="203"/>
      <c r="I17" s="203"/>
      <c r="J17" s="149"/>
      <c r="K17" s="149"/>
      <c r="L17" s="149"/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W17" s="149"/>
      <c r="X17" s="149"/>
      <c r="Y17" s="149"/>
      <c r="Z17" s="149"/>
    </row>
    <row r="18" ht="11.25" customHeight="1">
      <c r="A18" s="200" t="s">
        <v>527</v>
      </c>
      <c r="B18" s="201"/>
      <c r="C18" s="201"/>
      <c r="D18" s="206"/>
      <c r="E18" s="201"/>
      <c r="F18" s="206"/>
      <c r="G18" s="203"/>
      <c r="H18" s="203"/>
      <c r="I18" s="203"/>
      <c r="J18" s="149"/>
      <c r="K18" s="149"/>
      <c r="L18" s="149"/>
      <c r="M18" s="149"/>
      <c r="N18" s="149"/>
      <c r="O18" s="149"/>
      <c r="P18" s="149"/>
      <c r="Q18" s="149"/>
      <c r="R18" s="149"/>
      <c r="S18" s="149"/>
      <c r="T18" s="149"/>
      <c r="U18" s="149"/>
      <c r="V18" s="149"/>
      <c r="W18" s="149"/>
      <c r="X18" s="149"/>
      <c r="Y18" s="149"/>
      <c r="Z18" s="149"/>
    </row>
    <row r="19" ht="11.25" customHeight="1">
      <c r="A19" s="200" t="s">
        <v>528</v>
      </c>
      <c r="B19" s="201"/>
      <c r="C19" s="201"/>
      <c r="D19" s="206"/>
      <c r="E19" s="201"/>
      <c r="F19" s="206"/>
      <c r="G19" s="203"/>
      <c r="H19" s="203"/>
      <c r="I19" s="203"/>
      <c r="J19" s="149"/>
      <c r="K19" s="149"/>
      <c r="L19" s="149"/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W19" s="149"/>
      <c r="X19" s="149"/>
      <c r="Y19" s="149"/>
      <c r="Z19" s="149"/>
    </row>
    <row r="20" ht="11.25" customHeight="1">
      <c r="A20" s="200" t="s">
        <v>530</v>
      </c>
      <c r="B20" s="201"/>
      <c r="C20" s="201"/>
      <c r="D20" s="206"/>
      <c r="E20" s="201"/>
      <c r="F20" s="206"/>
      <c r="G20" s="203"/>
      <c r="H20" s="203"/>
      <c r="I20" s="203"/>
      <c r="J20" s="149"/>
      <c r="K20" s="149"/>
      <c r="L20" s="149"/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W20" s="149"/>
      <c r="X20" s="149"/>
      <c r="Y20" s="149"/>
      <c r="Z20" s="149"/>
    </row>
    <row r="21" ht="11.25" customHeight="1">
      <c r="A21" s="200" t="s">
        <v>531</v>
      </c>
      <c r="B21" s="201"/>
      <c r="C21" s="201"/>
      <c r="D21" s="206"/>
      <c r="E21" s="201"/>
      <c r="F21" s="206"/>
      <c r="G21" s="203"/>
      <c r="H21" s="203"/>
      <c r="I21" s="203"/>
      <c r="J21" s="149"/>
      <c r="K21" s="149"/>
      <c r="L21" s="149"/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W21" s="149"/>
      <c r="X21" s="149"/>
      <c r="Y21" s="149"/>
      <c r="Z21" s="149"/>
    </row>
    <row r="22" ht="11.25" customHeight="1">
      <c r="A22" s="200" t="s">
        <v>532</v>
      </c>
      <c r="B22" s="201"/>
      <c r="C22" s="201"/>
      <c r="D22" s="206"/>
      <c r="E22" s="201"/>
      <c r="F22" s="206"/>
      <c r="G22" s="203"/>
      <c r="H22" s="203"/>
      <c r="I22" s="203"/>
      <c r="J22" s="149"/>
      <c r="K22" s="149"/>
      <c r="L22" s="149"/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W22" s="149"/>
      <c r="X22" s="149"/>
      <c r="Y22" s="149"/>
      <c r="Z22" s="149"/>
    </row>
    <row r="23" ht="11.25" customHeight="1">
      <c r="A23" s="200" t="s">
        <v>533</v>
      </c>
      <c r="B23" s="201"/>
      <c r="C23" s="201"/>
      <c r="D23" s="206"/>
      <c r="E23" s="201"/>
      <c r="F23" s="206"/>
      <c r="G23" s="203"/>
      <c r="H23" s="203"/>
      <c r="I23" s="203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</row>
    <row r="24" ht="11.25" customHeight="1">
      <c r="A24" s="200" t="s">
        <v>534</v>
      </c>
      <c r="B24" s="201"/>
      <c r="C24" s="201"/>
      <c r="D24" s="206"/>
      <c r="E24" s="201"/>
      <c r="F24" s="206"/>
      <c r="G24" s="203"/>
      <c r="H24" s="203"/>
      <c r="I24" s="203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</row>
    <row r="25" ht="11.25" customHeight="1">
      <c r="A25" s="200" t="s">
        <v>535</v>
      </c>
      <c r="B25" s="201"/>
      <c r="C25" s="201"/>
      <c r="D25" s="206"/>
      <c r="E25" s="201"/>
      <c r="F25" s="206"/>
      <c r="G25" s="203"/>
      <c r="H25" s="203"/>
      <c r="I25" s="203"/>
      <c r="J25" s="149"/>
      <c r="K25" s="149"/>
      <c r="L25" s="149"/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W25" s="149"/>
      <c r="X25" s="149"/>
      <c r="Y25" s="149"/>
      <c r="Z25" s="149"/>
    </row>
    <row r="26" ht="11.25" customHeight="1">
      <c r="A26" s="200" t="s">
        <v>536</v>
      </c>
      <c r="B26" s="201"/>
      <c r="C26" s="201"/>
      <c r="D26" s="206"/>
      <c r="E26" s="201"/>
      <c r="F26" s="206"/>
      <c r="G26" s="203"/>
      <c r="H26" s="203"/>
      <c r="I26" s="203"/>
      <c r="J26" s="149"/>
      <c r="K26" s="149"/>
      <c r="L26" s="149"/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W26" s="149"/>
      <c r="X26" s="149"/>
      <c r="Y26" s="149"/>
      <c r="Z26" s="149"/>
    </row>
    <row r="27" ht="11.25" customHeight="1">
      <c r="A27" s="200" t="s">
        <v>537</v>
      </c>
      <c r="B27" s="201"/>
      <c r="C27" s="201"/>
      <c r="D27" s="206"/>
      <c r="E27" s="201"/>
      <c r="F27" s="206"/>
      <c r="G27" s="203"/>
      <c r="H27" s="203"/>
      <c r="I27" s="203"/>
      <c r="J27" s="149"/>
      <c r="K27" s="149"/>
      <c r="L27" s="149"/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W27" s="149"/>
      <c r="X27" s="149"/>
      <c r="Y27" s="149"/>
      <c r="Z27" s="149"/>
    </row>
    <row r="28" ht="11.25" customHeight="1">
      <c r="A28" s="200" t="s">
        <v>538</v>
      </c>
      <c r="B28" s="201"/>
      <c r="C28" s="201"/>
      <c r="D28" s="206"/>
      <c r="E28" s="201"/>
      <c r="F28" s="206"/>
      <c r="G28" s="203"/>
      <c r="H28" s="203"/>
      <c r="I28" s="203"/>
      <c r="J28" s="149"/>
      <c r="K28" s="149"/>
      <c r="L28" s="149"/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W28" s="149"/>
      <c r="X28" s="149"/>
      <c r="Y28" s="149"/>
      <c r="Z28" s="149"/>
    </row>
    <row r="29" ht="11.25" customHeight="1">
      <c r="A29" s="207" t="s">
        <v>541</v>
      </c>
      <c r="B29" s="217"/>
      <c r="C29" s="217"/>
      <c r="D29" s="228"/>
      <c r="E29" s="217"/>
      <c r="F29" s="228"/>
      <c r="G29" s="220"/>
      <c r="H29" s="220"/>
      <c r="I29" s="220"/>
      <c r="J29" s="193"/>
      <c r="K29" s="169"/>
      <c r="L29" s="149"/>
      <c r="M29" s="149"/>
      <c r="N29" s="169"/>
      <c r="O29" s="170"/>
      <c r="P29" s="196"/>
      <c r="Q29" s="224"/>
      <c r="R29" s="199"/>
      <c r="S29" s="149"/>
      <c r="T29" s="149"/>
      <c r="U29" s="149"/>
      <c r="V29" s="149"/>
      <c r="W29" s="149"/>
      <c r="X29" s="149"/>
      <c r="Y29" s="149"/>
      <c r="Z29" s="149"/>
    </row>
    <row r="30" ht="11.25" customHeight="1">
      <c r="A30" s="193"/>
      <c r="B30" s="149"/>
      <c r="C30" s="149"/>
      <c r="D30" s="149"/>
      <c r="E30" s="149"/>
      <c r="F30" s="149"/>
      <c r="G30" s="169"/>
      <c r="H30" s="169"/>
      <c r="I30" s="226"/>
      <c r="J30" s="149"/>
      <c r="K30" s="149"/>
      <c r="L30" s="149"/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W30" s="149"/>
      <c r="X30" s="149"/>
      <c r="Y30" s="149"/>
      <c r="Z30" s="149"/>
    </row>
    <row r="31" ht="11.25" customHeight="1">
      <c r="A31" s="193" t="s">
        <v>577</v>
      </c>
      <c r="B31" s="149"/>
      <c r="C31" s="149"/>
      <c r="D31" s="149"/>
      <c r="E31" s="149"/>
      <c r="F31" s="149"/>
      <c r="G31" s="149"/>
      <c r="H31" s="149"/>
      <c r="I31" s="227"/>
      <c r="J31" s="149"/>
      <c r="K31" s="149"/>
      <c r="L31" s="149"/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W31" s="149"/>
      <c r="X31" s="149"/>
      <c r="Y31" s="149"/>
      <c r="Z31" s="149"/>
    </row>
    <row r="32" ht="11.25" customHeight="1">
      <c r="A32" s="193" t="s">
        <v>578</v>
      </c>
      <c r="B32" s="149"/>
      <c r="C32" s="149"/>
      <c r="D32" s="149"/>
      <c r="E32" s="149"/>
      <c r="F32" s="149"/>
      <c r="G32" s="149"/>
      <c r="H32" s="149"/>
      <c r="I32" s="227"/>
      <c r="J32" s="149"/>
      <c r="K32" s="149"/>
      <c r="L32" s="149"/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W32" s="149"/>
      <c r="X32" s="149"/>
      <c r="Y32" s="149"/>
      <c r="Z32" s="149"/>
    </row>
    <row r="33" ht="11.25" customHeight="1">
      <c r="A33" s="149"/>
      <c r="B33" s="149"/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9"/>
      <c r="Y33" s="149"/>
      <c r="Z33" s="149"/>
    </row>
    <row r="34" ht="11.25" customHeight="1">
      <c r="A34" s="149"/>
      <c r="B34" s="149"/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W34" s="149"/>
      <c r="X34" s="149"/>
      <c r="Y34" s="149"/>
      <c r="Z34" s="149"/>
    </row>
    <row r="35" ht="11.25" customHeight="1">
      <c r="A35" s="149"/>
      <c r="B35" s="149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</row>
    <row r="36" ht="11.25" customHeight="1">
      <c r="A36" s="149"/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</row>
    <row r="37" ht="11.25" customHeight="1">
      <c r="A37" s="149"/>
      <c r="B37" s="149"/>
      <c r="C37" s="149"/>
      <c r="D37" s="149"/>
      <c r="E37" s="149"/>
      <c r="F37" s="149"/>
      <c r="G37" s="149"/>
      <c r="H37" s="149"/>
      <c r="I37" s="149"/>
      <c r="J37" s="149"/>
      <c r="K37" s="149"/>
      <c r="L37" s="149"/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W37" s="149"/>
      <c r="X37" s="149"/>
      <c r="Y37" s="149"/>
      <c r="Z37" s="149"/>
    </row>
    <row r="38" ht="11.25" customHeight="1">
      <c r="A38" s="149"/>
      <c r="B38" s="149"/>
      <c r="C38" s="149"/>
      <c r="D38" s="149"/>
      <c r="E38" s="149"/>
      <c r="F38" s="149"/>
      <c r="G38" s="149"/>
      <c r="H38" s="149"/>
      <c r="I38" s="149"/>
      <c r="J38" s="149"/>
      <c r="K38" s="149"/>
      <c r="L38" s="149"/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W38" s="149"/>
      <c r="X38" s="149"/>
      <c r="Y38" s="149"/>
      <c r="Z38" s="149"/>
    </row>
    <row r="39" ht="11.25" customHeight="1">
      <c r="A39" s="149"/>
      <c r="B39" s="149"/>
      <c r="C39" s="149"/>
      <c r="D39" s="149"/>
      <c r="E39" s="149"/>
      <c r="F39" s="149"/>
      <c r="G39" s="149"/>
      <c r="H39" s="149"/>
      <c r="I39" s="149"/>
      <c r="J39" s="149"/>
      <c r="K39" s="149"/>
      <c r="L39" s="149"/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W39" s="149"/>
      <c r="X39" s="149"/>
      <c r="Y39" s="149"/>
      <c r="Z39" s="149"/>
    </row>
    <row r="40" ht="11.25" customHeight="1">
      <c r="A40" s="149"/>
      <c r="B40" s="149"/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W40" s="149"/>
      <c r="X40" s="149"/>
      <c r="Y40" s="149"/>
      <c r="Z40" s="149"/>
    </row>
    <row r="41" ht="11.25" customHeight="1">
      <c r="A41" s="149"/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</row>
    <row r="42" ht="11.25" customHeight="1">
      <c r="A42" s="149"/>
      <c r="B42" s="149"/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49"/>
      <c r="Y42" s="149"/>
      <c r="Z42" s="149"/>
    </row>
    <row r="43" ht="11.25" customHeight="1">
      <c r="A43" s="149"/>
      <c r="B43" s="149"/>
      <c r="C43" s="149"/>
      <c r="D43" s="149"/>
      <c r="E43" s="149"/>
      <c r="F43" s="149"/>
      <c r="G43" s="149"/>
      <c r="H43" s="149"/>
      <c r="I43" s="149"/>
      <c r="J43" s="149"/>
      <c r="K43" s="149"/>
      <c r="L43" s="149"/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W43" s="149"/>
      <c r="X43" s="149"/>
      <c r="Y43" s="149"/>
      <c r="Z43" s="149"/>
    </row>
    <row r="44" ht="11.25" customHeight="1">
      <c r="A44" s="149"/>
      <c r="B44" s="149"/>
      <c r="C44" s="149"/>
      <c r="D44" s="149"/>
      <c r="E44" s="149"/>
      <c r="F44" s="149"/>
      <c r="G44" s="149"/>
      <c r="H44" s="149"/>
      <c r="I44" s="149"/>
      <c r="J44" s="149"/>
      <c r="K44" s="149"/>
      <c r="L44" s="149"/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W44" s="149"/>
      <c r="X44" s="149"/>
      <c r="Y44" s="149"/>
      <c r="Z44" s="149"/>
    </row>
    <row r="45" ht="11.25" customHeight="1">
      <c r="A45" s="149"/>
      <c r="B45" s="149"/>
      <c r="C45" s="149"/>
      <c r="D45" s="149"/>
      <c r="E45" s="149"/>
      <c r="F45" s="149"/>
      <c r="G45" s="149"/>
      <c r="H45" s="149"/>
      <c r="I45" s="149"/>
      <c r="J45" s="149"/>
      <c r="K45" s="149"/>
      <c r="L45" s="149"/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W45" s="149"/>
      <c r="X45" s="149"/>
      <c r="Y45" s="149"/>
      <c r="Z45" s="149"/>
    </row>
    <row r="46" ht="11.25" customHeight="1">
      <c r="A46" s="149"/>
      <c r="B46" s="149"/>
      <c r="C46" s="149"/>
      <c r="D46" s="149"/>
      <c r="E46" s="149"/>
      <c r="F46" s="149"/>
      <c r="G46" s="149"/>
      <c r="H46" s="149"/>
      <c r="I46" s="149"/>
      <c r="J46" s="149"/>
      <c r="K46" s="149"/>
      <c r="L46" s="149"/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W46" s="149"/>
      <c r="X46" s="149"/>
      <c r="Y46" s="149"/>
      <c r="Z46" s="149"/>
    </row>
    <row r="47" ht="11.25" customHeight="1">
      <c r="A47" s="149"/>
      <c r="B47" s="149"/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</row>
    <row r="48" ht="11.25" customHeight="1">
      <c r="A48" s="149"/>
      <c r="B48" s="149"/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</row>
    <row r="49" ht="11.25" customHeight="1">
      <c r="A49" s="149"/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  <c r="W49" s="149"/>
      <c r="X49" s="149"/>
      <c r="Y49" s="149"/>
      <c r="Z49" s="149"/>
    </row>
    <row r="50" ht="11.25" customHeight="1">
      <c r="A50" s="149"/>
      <c r="B50" s="149"/>
      <c r="C50" s="149"/>
      <c r="D50" s="149"/>
      <c r="E50" s="149"/>
      <c r="F50" s="149"/>
      <c r="G50" s="149"/>
      <c r="H50" s="149"/>
      <c r="I50" s="149"/>
      <c r="J50" s="149"/>
      <c r="K50" s="149"/>
      <c r="L50" s="149"/>
      <c r="M50" s="149"/>
      <c r="N50" s="149"/>
      <c r="O50" s="149"/>
      <c r="P50" s="149"/>
      <c r="Q50" s="149"/>
      <c r="R50" s="149"/>
      <c r="S50" s="149"/>
      <c r="T50" s="149"/>
      <c r="U50" s="149"/>
      <c r="V50" s="149"/>
      <c r="W50" s="149"/>
      <c r="X50" s="149"/>
      <c r="Y50" s="149"/>
      <c r="Z50" s="149"/>
    </row>
    <row r="51" ht="11.25" customHeight="1">
      <c r="A51" s="149"/>
      <c r="B51" s="149"/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</row>
    <row r="52" ht="11.25" customHeight="1">
      <c r="A52" s="149"/>
      <c r="B52" s="149"/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49"/>
      <c r="T52" s="149"/>
      <c r="U52" s="149"/>
      <c r="V52" s="149"/>
      <c r="W52" s="149"/>
      <c r="X52" s="149"/>
      <c r="Y52" s="149"/>
      <c r="Z52" s="149"/>
    </row>
    <row r="53" ht="11.25" customHeight="1">
      <c r="A53" s="149"/>
      <c r="B53" s="149"/>
      <c r="C53" s="149"/>
      <c r="D53" s="149"/>
      <c r="E53" s="149"/>
      <c r="F53" s="149"/>
      <c r="G53" s="149"/>
      <c r="H53" s="149"/>
      <c r="I53" s="149"/>
      <c r="J53" s="149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  <c r="W53" s="149"/>
      <c r="X53" s="149"/>
      <c r="Y53" s="149"/>
      <c r="Z53" s="149"/>
    </row>
    <row r="54" ht="11.25" customHeight="1">
      <c r="A54" s="149"/>
      <c r="B54" s="149"/>
      <c r="C54" s="149"/>
      <c r="D54" s="149"/>
      <c r="E54" s="149"/>
      <c r="F54" s="149"/>
      <c r="G54" s="149"/>
      <c r="H54" s="149"/>
      <c r="I54" s="149"/>
      <c r="J54" s="149"/>
      <c r="K54" s="149"/>
      <c r="L54" s="149"/>
      <c r="M54" s="149"/>
      <c r="N54" s="149"/>
      <c r="O54" s="149"/>
      <c r="P54" s="149"/>
      <c r="Q54" s="149"/>
      <c r="R54" s="149"/>
      <c r="S54" s="149"/>
      <c r="T54" s="149"/>
      <c r="U54" s="149"/>
      <c r="V54" s="149"/>
      <c r="W54" s="149"/>
      <c r="X54" s="149"/>
      <c r="Y54" s="149"/>
      <c r="Z54" s="149"/>
    </row>
    <row r="55" ht="11.25" customHeight="1">
      <c r="A55" s="149"/>
      <c r="B55" s="149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49"/>
      <c r="O55" s="149"/>
      <c r="P55" s="149"/>
      <c r="Q55" s="149"/>
      <c r="R55" s="149"/>
      <c r="S55" s="149"/>
      <c r="T55" s="149"/>
      <c r="U55" s="149"/>
      <c r="V55" s="149"/>
      <c r="W55" s="149"/>
      <c r="X55" s="149"/>
      <c r="Y55" s="149"/>
      <c r="Z55" s="149"/>
    </row>
    <row r="56" ht="11.25" customHeight="1">
      <c r="A56" s="149"/>
      <c r="B56" s="149"/>
      <c r="C56" s="149"/>
      <c r="D56" s="149"/>
      <c r="E56" s="149"/>
      <c r="F56" s="149"/>
      <c r="G56" s="149"/>
      <c r="H56" s="149"/>
      <c r="I56" s="149"/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/>
      <c r="Y56" s="149"/>
      <c r="Z56" s="149"/>
    </row>
    <row r="57" ht="11.25" customHeight="1">
      <c r="A57" s="149"/>
      <c r="B57" s="149"/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  <c r="Y57" s="149"/>
      <c r="Z57" s="149"/>
    </row>
    <row r="58" ht="11.25" customHeight="1">
      <c r="A58" s="149"/>
      <c r="B58" s="149"/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  <c r="Q58" s="149"/>
      <c r="R58" s="149"/>
      <c r="S58" s="149"/>
      <c r="T58" s="149"/>
      <c r="U58" s="149"/>
      <c r="V58" s="149"/>
      <c r="W58" s="149"/>
      <c r="X58" s="149"/>
      <c r="Y58" s="149"/>
      <c r="Z58" s="149"/>
    </row>
    <row r="59" ht="11.25" customHeight="1">
      <c r="A59" s="149"/>
      <c r="B59" s="149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149"/>
      <c r="P59" s="149"/>
      <c r="Q59" s="149"/>
      <c r="R59" s="149"/>
      <c r="S59" s="149"/>
      <c r="T59" s="149"/>
      <c r="U59" s="149"/>
      <c r="V59" s="149"/>
      <c r="W59" s="149"/>
      <c r="X59" s="149"/>
      <c r="Y59" s="149"/>
      <c r="Z59" s="149"/>
    </row>
    <row r="60" ht="11.25" customHeight="1">
      <c r="A60" s="149"/>
      <c r="B60" s="149"/>
      <c r="C60" s="149"/>
      <c r="D60" s="149"/>
      <c r="E60" s="149"/>
      <c r="F60" s="149"/>
      <c r="G60" s="149"/>
      <c r="H60" s="149"/>
      <c r="I60" s="149"/>
      <c r="J60" s="149"/>
      <c r="K60" s="149"/>
      <c r="L60" s="149"/>
      <c r="M60" s="149"/>
      <c r="N60" s="149"/>
      <c r="O60" s="149"/>
      <c r="P60" s="149"/>
      <c r="Q60" s="149"/>
      <c r="R60" s="149"/>
      <c r="S60" s="149"/>
      <c r="T60" s="149"/>
      <c r="U60" s="149"/>
      <c r="V60" s="149"/>
      <c r="W60" s="149"/>
      <c r="X60" s="149"/>
      <c r="Y60" s="149"/>
      <c r="Z60" s="149"/>
    </row>
    <row r="61" ht="11.25" customHeight="1">
      <c r="A61" s="149"/>
      <c r="B61" s="149"/>
      <c r="C61" s="149"/>
      <c r="D61" s="149"/>
      <c r="E61" s="149"/>
      <c r="F61" s="149"/>
      <c r="G61" s="149"/>
      <c r="H61" s="149"/>
      <c r="I61" s="149"/>
      <c r="J61" s="149"/>
      <c r="K61" s="149"/>
      <c r="L61" s="149"/>
      <c r="M61" s="149"/>
      <c r="N61" s="149"/>
      <c r="O61" s="149"/>
      <c r="P61" s="149"/>
      <c r="Q61" s="149"/>
      <c r="R61" s="149"/>
      <c r="S61" s="149"/>
      <c r="T61" s="149"/>
      <c r="U61" s="149"/>
      <c r="V61" s="149"/>
      <c r="W61" s="149"/>
      <c r="X61" s="149"/>
      <c r="Y61" s="149"/>
      <c r="Z61" s="149"/>
    </row>
    <row r="62" ht="11.25" customHeight="1">
      <c r="A62" s="149"/>
      <c r="B62" s="149"/>
      <c r="C62" s="149"/>
      <c r="D62" s="149"/>
      <c r="E62" s="149"/>
      <c r="F62" s="149"/>
      <c r="G62" s="149"/>
      <c r="H62" s="149"/>
      <c r="I62" s="149"/>
      <c r="J62" s="149"/>
      <c r="K62" s="149"/>
      <c r="L62" s="149"/>
      <c r="M62" s="149"/>
      <c r="N62" s="149"/>
      <c r="O62" s="149"/>
      <c r="P62" s="149"/>
      <c r="Q62" s="149"/>
      <c r="R62" s="149"/>
      <c r="S62" s="149"/>
      <c r="T62" s="149"/>
      <c r="U62" s="149"/>
      <c r="V62" s="149"/>
      <c r="W62" s="149"/>
      <c r="X62" s="149"/>
      <c r="Y62" s="149"/>
      <c r="Z62" s="149"/>
    </row>
    <row r="63" ht="11.25" customHeight="1">
      <c r="A63" s="149"/>
      <c r="B63" s="149"/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</row>
    <row r="64" ht="11.25" customHeight="1">
      <c r="A64" s="149"/>
      <c r="B64" s="149"/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49"/>
      <c r="T64" s="149"/>
      <c r="U64" s="149"/>
      <c r="V64" s="149"/>
      <c r="W64" s="149"/>
      <c r="X64" s="149"/>
      <c r="Y64" s="149"/>
      <c r="Z64" s="149"/>
    </row>
    <row r="65" ht="11.25" customHeight="1">
      <c r="A65" s="149"/>
      <c r="B65" s="149"/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  <c r="Z65" s="149"/>
    </row>
    <row r="66" ht="11.25" customHeight="1">
      <c r="A66" s="149"/>
      <c r="B66" s="149"/>
      <c r="C66" s="149"/>
      <c r="D66" s="149"/>
      <c r="E66" s="149"/>
      <c r="F66" s="149"/>
      <c r="G66" s="149"/>
      <c r="H66" s="149"/>
      <c r="I66" s="149"/>
      <c r="J66" s="149"/>
      <c r="K66" s="149"/>
      <c r="L66" s="149"/>
      <c r="M66" s="149"/>
      <c r="N66" s="149"/>
      <c r="O66" s="149"/>
      <c r="P66" s="149"/>
      <c r="Q66" s="149"/>
      <c r="R66" s="149"/>
      <c r="S66" s="149"/>
      <c r="T66" s="149"/>
      <c r="U66" s="149"/>
      <c r="V66" s="149"/>
      <c r="W66" s="149"/>
      <c r="X66" s="149"/>
      <c r="Y66" s="149"/>
      <c r="Z66" s="149"/>
    </row>
    <row r="67" ht="11.25" customHeight="1">
      <c r="A67" s="149"/>
      <c r="B67" s="149"/>
      <c r="C67" s="149"/>
      <c r="D67" s="149"/>
      <c r="E67" s="149"/>
      <c r="F67" s="149"/>
      <c r="G67" s="149"/>
      <c r="H67" s="149"/>
      <c r="I67" s="149"/>
      <c r="J67" s="149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  <c r="V67" s="149"/>
      <c r="W67" s="149"/>
      <c r="X67" s="149"/>
      <c r="Y67" s="149"/>
      <c r="Z67" s="149"/>
    </row>
    <row r="68" ht="11.25" customHeight="1">
      <c r="A68" s="149"/>
      <c r="B68" s="149"/>
      <c r="C68" s="149"/>
      <c r="D68" s="149"/>
      <c r="E68" s="149"/>
      <c r="F68" s="149"/>
      <c r="G68" s="149"/>
      <c r="H68" s="149"/>
      <c r="I68" s="149"/>
      <c r="J68" s="149"/>
      <c r="K68" s="149"/>
      <c r="L68" s="149"/>
      <c r="M68" s="149"/>
      <c r="N68" s="149"/>
      <c r="O68" s="149"/>
      <c r="P68" s="149"/>
      <c r="Q68" s="149"/>
      <c r="R68" s="149"/>
      <c r="S68" s="149"/>
      <c r="T68" s="149"/>
      <c r="U68" s="149"/>
      <c r="V68" s="149"/>
      <c r="W68" s="149"/>
      <c r="X68" s="149"/>
      <c r="Y68" s="149"/>
      <c r="Z68" s="149"/>
    </row>
    <row r="69" ht="11.25" customHeight="1">
      <c r="A69" s="149"/>
      <c r="B69" s="149"/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49"/>
      <c r="Y69" s="149"/>
      <c r="Z69" s="149"/>
    </row>
    <row r="70" ht="11.25" customHeight="1">
      <c r="A70" s="149"/>
      <c r="B70" s="149"/>
      <c r="C70" s="149"/>
      <c r="D70" s="149"/>
      <c r="E70" s="149"/>
      <c r="F70" s="149"/>
      <c r="G70" s="149"/>
      <c r="H70" s="149"/>
      <c r="I70" s="149"/>
      <c r="J70" s="149"/>
      <c r="K70" s="149"/>
      <c r="L70" s="149"/>
      <c r="M70" s="149"/>
      <c r="N70" s="149"/>
      <c r="O70" s="149"/>
      <c r="P70" s="149"/>
      <c r="Q70" s="149"/>
      <c r="R70" s="149"/>
      <c r="S70" s="149"/>
      <c r="T70" s="149"/>
      <c r="U70" s="149"/>
      <c r="V70" s="149"/>
      <c r="W70" s="149"/>
      <c r="X70" s="149"/>
      <c r="Y70" s="149"/>
      <c r="Z70" s="149"/>
    </row>
    <row r="71" ht="11.25" customHeight="1">
      <c r="A71" s="149"/>
      <c r="B71" s="149"/>
      <c r="C71" s="149"/>
      <c r="D71" s="149"/>
      <c r="E71" s="149"/>
      <c r="F71" s="149"/>
      <c r="G71" s="149"/>
      <c r="H71" s="149"/>
      <c r="I71" s="149"/>
      <c r="J71" s="149"/>
      <c r="K71" s="149"/>
      <c r="L71" s="149"/>
      <c r="M71" s="149"/>
      <c r="N71" s="149"/>
      <c r="O71" s="149"/>
      <c r="P71" s="149"/>
      <c r="Q71" s="149"/>
      <c r="R71" s="149"/>
      <c r="S71" s="149"/>
      <c r="T71" s="149"/>
      <c r="U71" s="149"/>
      <c r="V71" s="149"/>
      <c r="W71" s="149"/>
      <c r="X71" s="149"/>
      <c r="Y71" s="149"/>
      <c r="Z71" s="149"/>
    </row>
    <row r="72" ht="11.25" customHeight="1">
      <c r="A72" s="149"/>
      <c r="B72" s="149"/>
      <c r="C72" s="149"/>
      <c r="D72" s="149"/>
      <c r="E72" s="149"/>
      <c r="F72" s="149"/>
      <c r="G72" s="149"/>
      <c r="H72" s="149"/>
      <c r="I72" s="149"/>
      <c r="J72" s="149"/>
      <c r="K72" s="149"/>
      <c r="L72" s="149"/>
      <c r="M72" s="149"/>
      <c r="N72" s="149"/>
      <c r="O72" s="149"/>
      <c r="P72" s="149"/>
      <c r="Q72" s="149"/>
      <c r="R72" s="149"/>
      <c r="S72" s="149"/>
      <c r="T72" s="149"/>
      <c r="U72" s="149"/>
      <c r="V72" s="149"/>
      <c r="W72" s="149"/>
      <c r="X72" s="149"/>
      <c r="Y72" s="149"/>
      <c r="Z72" s="149"/>
    </row>
    <row r="73" ht="11.25" customHeight="1">
      <c r="A73" s="149"/>
      <c r="B73" s="149"/>
      <c r="C73" s="149"/>
      <c r="D73" s="149"/>
      <c r="E73" s="149"/>
      <c r="F73" s="149"/>
      <c r="G73" s="149"/>
      <c r="H73" s="149"/>
      <c r="I73" s="149"/>
      <c r="J73" s="149"/>
      <c r="K73" s="149"/>
      <c r="L73" s="149"/>
      <c r="M73" s="149"/>
      <c r="N73" s="149"/>
      <c r="O73" s="149"/>
      <c r="P73" s="149"/>
      <c r="Q73" s="149"/>
      <c r="R73" s="149"/>
      <c r="S73" s="149"/>
      <c r="T73" s="149"/>
      <c r="U73" s="149"/>
      <c r="V73" s="149"/>
      <c r="W73" s="149"/>
      <c r="X73" s="149"/>
      <c r="Y73" s="149"/>
      <c r="Z73" s="149"/>
    </row>
    <row r="74" ht="11.25" customHeight="1">
      <c r="A74" s="149"/>
      <c r="B74" s="149"/>
      <c r="C74" s="149"/>
      <c r="D74" s="149"/>
      <c r="E74" s="149"/>
      <c r="F74" s="149"/>
      <c r="G74" s="149"/>
      <c r="H74" s="149"/>
      <c r="I74" s="149"/>
      <c r="J74" s="149"/>
      <c r="K74" s="149"/>
      <c r="L74" s="149"/>
      <c r="M74" s="149"/>
      <c r="N74" s="149"/>
      <c r="O74" s="149"/>
      <c r="P74" s="149"/>
      <c r="Q74" s="149"/>
      <c r="R74" s="149"/>
      <c r="S74" s="149"/>
      <c r="T74" s="149"/>
      <c r="U74" s="149"/>
      <c r="V74" s="149"/>
      <c r="W74" s="149"/>
      <c r="X74" s="149"/>
      <c r="Y74" s="149"/>
      <c r="Z74" s="149"/>
    </row>
    <row r="75" ht="11.25" customHeight="1">
      <c r="A75" s="149"/>
      <c r="B75" s="149"/>
      <c r="C75" s="149"/>
      <c r="D75" s="149"/>
      <c r="E75" s="149"/>
      <c r="F75" s="149"/>
      <c r="G75" s="149"/>
      <c r="H75" s="149"/>
      <c r="I75" s="149"/>
      <c r="J75" s="149"/>
      <c r="K75" s="149"/>
      <c r="L75" s="149"/>
      <c r="M75" s="149"/>
      <c r="N75" s="149"/>
      <c r="O75" s="149"/>
      <c r="P75" s="149"/>
      <c r="Q75" s="149"/>
      <c r="R75" s="149"/>
      <c r="S75" s="149"/>
      <c r="T75" s="149"/>
      <c r="U75" s="149"/>
      <c r="V75" s="149"/>
      <c r="W75" s="149"/>
      <c r="X75" s="149"/>
      <c r="Y75" s="149"/>
      <c r="Z75" s="149"/>
    </row>
    <row r="76" ht="11.25" customHeight="1">
      <c r="A76" s="149"/>
      <c r="B76" s="149"/>
      <c r="C76" s="149"/>
      <c r="D76" s="149"/>
      <c r="E76" s="149"/>
      <c r="F76" s="149"/>
      <c r="G76" s="149"/>
      <c r="H76" s="149"/>
      <c r="I76" s="149"/>
      <c r="J76" s="149"/>
      <c r="K76" s="149"/>
      <c r="L76" s="149"/>
      <c r="M76" s="149"/>
      <c r="N76" s="149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</row>
    <row r="77" ht="11.25" customHeight="1">
      <c r="A77" s="149"/>
      <c r="B77" s="149"/>
      <c r="C77" s="149"/>
      <c r="D77" s="149"/>
      <c r="E77" s="149"/>
      <c r="F77" s="149"/>
      <c r="G77" s="149"/>
      <c r="H77" s="149"/>
      <c r="I77" s="149"/>
      <c r="J77" s="149"/>
      <c r="K77" s="149"/>
      <c r="L77" s="149"/>
      <c r="M77" s="149"/>
      <c r="N77" s="149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</row>
    <row r="78" ht="11.25" customHeight="1">
      <c r="A78" s="149"/>
      <c r="B78" s="149"/>
      <c r="C78" s="149"/>
      <c r="D78" s="149"/>
      <c r="E78" s="149"/>
      <c r="F78" s="149"/>
      <c r="G78" s="149"/>
      <c r="H78" s="149"/>
      <c r="I78" s="149"/>
      <c r="J78" s="149"/>
      <c r="K78" s="149"/>
      <c r="L78" s="149"/>
      <c r="M78" s="149"/>
      <c r="N78" s="149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</row>
    <row r="79" ht="11.25" customHeight="1">
      <c r="A79" s="149"/>
      <c r="B79" s="149"/>
      <c r="C79" s="149"/>
      <c r="D79" s="149"/>
      <c r="E79" s="149"/>
      <c r="F79" s="149"/>
      <c r="G79" s="149"/>
      <c r="H79" s="149"/>
      <c r="I79" s="149"/>
      <c r="J79" s="149"/>
      <c r="K79" s="149"/>
      <c r="L79" s="149"/>
      <c r="M79" s="149"/>
      <c r="N79" s="149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</row>
    <row r="80" ht="11.25" customHeight="1">
      <c r="A80" s="149"/>
      <c r="B80" s="149"/>
      <c r="C80" s="149"/>
      <c r="D80" s="149"/>
      <c r="E80" s="149"/>
      <c r="F80" s="149"/>
      <c r="G80" s="149"/>
      <c r="H80" s="149"/>
      <c r="I80" s="149"/>
      <c r="J80" s="149"/>
      <c r="K80" s="149"/>
      <c r="L80" s="149"/>
      <c r="M80" s="149"/>
      <c r="N80" s="149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</row>
    <row r="81" ht="11.25" customHeight="1">
      <c r="A81" s="149"/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</row>
    <row r="82" ht="11.25" customHeight="1">
      <c r="A82" s="149"/>
      <c r="B82" s="149"/>
      <c r="C82" s="149"/>
      <c r="D82" s="149"/>
      <c r="E82" s="149"/>
      <c r="F82" s="149"/>
      <c r="G82" s="149"/>
      <c r="H82" s="149"/>
      <c r="I82" s="149"/>
      <c r="J82" s="149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</row>
    <row r="83" ht="11.25" customHeight="1">
      <c r="A83" s="149"/>
      <c r="B83" s="149"/>
      <c r="C83" s="149"/>
      <c r="D83" s="149"/>
      <c r="E83" s="149"/>
      <c r="F83" s="149"/>
      <c r="G83" s="149"/>
      <c r="H83" s="149"/>
      <c r="I83" s="149"/>
      <c r="J83" s="149"/>
      <c r="K83" s="149"/>
      <c r="L83" s="149"/>
      <c r="M83" s="149"/>
      <c r="N83" s="149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</row>
    <row r="84" ht="11.25" customHeight="1">
      <c r="A84" s="149"/>
      <c r="B84" s="149"/>
      <c r="C84" s="149"/>
      <c r="D84" s="149"/>
      <c r="E84" s="149"/>
      <c r="F84" s="149"/>
      <c r="G84" s="149"/>
      <c r="H84" s="149"/>
      <c r="I84" s="149"/>
      <c r="J84" s="149"/>
      <c r="K84" s="149"/>
      <c r="L84" s="149"/>
      <c r="M84" s="149"/>
      <c r="N84" s="149"/>
      <c r="O84" s="149"/>
      <c r="P84" s="149"/>
      <c r="Q84" s="149"/>
      <c r="R84" s="149"/>
      <c r="S84" s="149"/>
      <c r="T84" s="149"/>
      <c r="U84" s="149"/>
      <c r="V84" s="149"/>
      <c r="W84" s="149"/>
      <c r="X84" s="149"/>
      <c r="Y84" s="149"/>
      <c r="Z84" s="149"/>
    </row>
    <row r="85" ht="11.25" customHeight="1">
      <c r="A85" s="149"/>
      <c r="B85" s="149"/>
      <c r="C85" s="149"/>
      <c r="D85" s="149"/>
      <c r="E85" s="149"/>
      <c r="F85" s="149"/>
      <c r="G85" s="149"/>
      <c r="H85" s="149"/>
      <c r="I85" s="149"/>
      <c r="J85" s="149"/>
      <c r="K85" s="149"/>
      <c r="L85" s="149"/>
      <c r="M85" s="149"/>
      <c r="N85" s="149"/>
      <c r="O85" s="149"/>
      <c r="P85" s="149"/>
      <c r="Q85" s="149"/>
      <c r="R85" s="149"/>
      <c r="S85" s="149"/>
      <c r="T85" s="149"/>
      <c r="U85" s="149"/>
      <c r="V85" s="149"/>
      <c r="W85" s="149"/>
      <c r="X85" s="149"/>
      <c r="Y85" s="149"/>
      <c r="Z85" s="149"/>
    </row>
    <row r="86" ht="11.25" customHeight="1">
      <c r="A86" s="149"/>
      <c r="B86" s="149"/>
      <c r="C86" s="149"/>
      <c r="D86" s="149"/>
      <c r="E86" s="149"/>
      <c r="F86" s="149"/>
      <c r="G86" s="149"/>
      <c r="H86" s="149"/>
      <c r="I86" s="149"/>
      <c r="J86" s="149"/>
      <c r="K86" s="149"/>
      <c r="L86" s="149"/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</row>
    <row r="87" ht="11.25" customHeight="1">
      <c r="A87" s="149"/>
      <c r="B87" s="149"/>
      <c r="C87" s="149"/>
      <c r="D87" s="149"/>
      <c r="E87" s="149"/>
      <c r="F87" s="149"/>
      <c r="G87" s="149"/>
      <c r="H87" s="149"/>
      <c r="I87" s="149"/>
      <c r="J87" s="149"/>
      <c r="K87" s="149"/>
      <c r="L87" s="149"/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</row>
    <row r="88" ht="11.25" customHeight="1">
      <c r="A88" s="149"/>
      <c r="B88" s="149"/>
      <c r="C88" s="149"/>
      <c r="D88" s="149"/>
      <c r="E88" s="149"/>
      <c r="F88" s="149"/>
      <c r="G88" s="149"/>
      <c r="H88" s="149"/>
      <c r="I88" s="149"/>
      <c r="J88" s="149"/>
      <c r="K88" s="149"/>
      <c r="L88" s="149"/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W88" s="149"/>
      <c r="X88" s="149"/>
      <c r="Y88" s="149"/>
      <c r="Z88" s="149"/>
    </row>
    <row r="89" ht="11.25" customHeight="1">
      <c r="A89" s="149"/>
      <c r="B89" s="149"/>
      <c r="C89" s="149"/>
      <c r="D89" s="149"/>
      <c r="E89" s="149"/>
      <c r="F89" s="149"/>
      <c r="G89" s="149"/>
      <c r="H89" s="149"/>
      <c r="I89" s="149"/>
      <c r="J89" s="149"/>
      <c r="K89" s="149"/>
      <c r="L89" s="149"/>
      <c r="M89" s="149"/>
      <c r="N89" s="149"/>
      <c r="O89" s="149"/>
      <c r="P89" s="149"/>
      <c r="Q89" s="149"/>
      <c r="R89" s="149"/>
      <c r="S89" s="149"/>
      <c r="T89" s="149"/>
      <c r="U89" s="149"/>
      <c r="V89" s="149"/>
      <c r="W89" s="149"/>
      <c r="X89" s="149"/>
      <c r="Y89" s="149"/>
      <c r="Z89" s="149"/>
    </row>
    <row r="90" ht="11.25" customHeight="1">
      <c r="A90" s="149"/>
      <c r="B90" s="149"/>
      <c r="C90" s="149"/>
      <c r="D90" s="149"/>
      <c r="E90" s="149"/>
      <c r="F90" s="149"/>
      <c r="G90" s="149"/>
      <c r="H90" s="149"/>
      <c r="I90" s="149"/>
      <c r="J90" s="149"/>
      <c r="K90" s="149"/>
      <c r="L90" s="149"/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W90" s="149"/>
      <c r="X90" s="149"/>
      <c r="Y90" s="149"/>
      <c r="Z90" s="149"/>
    </row>
    <row r="91" ht="11.25" customHeight="1">
      <c r="A91" s="149"/>
      <c r="B91" s="149"/>
      <c r="C91" s="149"/>
      <c r="D91" s="149"/>
      <c r="E91" s="149"/>
      <c r="F91" s="149"/>
      <c r="G91" s="149"/>
      <c r="H91" s="149"/>
      <c r="I91" s="149"/>
      <c r="J91" s="149"/>
      <c r="K91" s="149"/>
      <c r="L91" s="149"/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W91" s="149"/>
      <c r="X91" s="149"/>
      <c r="Y91" s="149"/>
      <c r="Z91" s="149"/>
    </row>
    <row r="92" ht="11.25" customHeight="1">
      <c r="A92" s="149"/>
      <c r="B92" s="149"/>
      <c r="C92" s="149"/>
      <c r="D92" s="149"/>
      <c r="E92" s="149"/>
      <c r="F92" s="149"/>
      <c r="G92" s="149"/>
      <c r="H92" s="149"/>
      <c r="I92" s="149"/>
      <c r="J92" s="149"/>
      <c r="K92" s="149"/>
      <c r="L92" s="149"/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W92" s="149"/>
      <c r="X92" s="149"/>
      <c r="Y92" s="149"/>
      <c r="Z92" s="149"/>
    </row>
    <row r="93" ht="11.25" customHeight="1">
      <c r="A93" s="149"/>
      <c r="B93" s="149"/>
      <c r="C93" s="149"/>
      <c r="D93" s="149"/>
      <c r="E93" s="149"/>
      <c r="F93" s="149"/>
      <c r="G93" s="149"/>
      <c r="H93" s="149"/>
      <c r="I93" s="149"/>
      <c r="J93" s="149"/>
      <c r="K93" s="149"/>
      <c r="L93" s="149"/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W93" s="149"/>
      <c r="X93" s="149"/>
      <c r="Y93" s="149"/>
      <c r="Z93" s="149"/>
    </row>
    <row r="94" ht="11.25" customHeight="1">
      <c r="A94" s="149"/>
      <c r="B94" s="149"/>
      <c r="C94" s="149"/>
      <c r="D94" s="149"/>
      <c r="E94" s="149"/>
      <c r="F94" s="149"/>
      <c r="G94" s="149"/>
      <c r="H94" s="149"/>
      <c r="I94" s="149"/>
      <c r="J94" s="149"/>
      <c r="K94" s="149"/>
      <c r="L94" s="149"/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W94" s="149"/>
      <c r="X94" s="149"/>
      <c r="Y94" s="149"/>
      <c r="Z94" s="149"/>
    </row>
    <row r="95" ht="11.25" customHeight="1">
      <c r="A95" s="149"/>
      <c r="B95" s="149"/>
      <c r="C95" s="149"/>
      <c r="D95" s="149"/>
      <c r="E95" s="149"/>
      <c r="F95" s="149"/>
      <c r="G95" s="149"/>
      <c r="H95" s="149"/>
      <c r="I95" s="149"/>
      <c r="J95" s="149"/>
      <c r="K95" s="149"/>
      <c r="L95" s="149"/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W95" s="149"/>
      <c r="X95" s="149"/>
      <c r="Y95" s="149"/>
      <c r="Z95" s="149"/>
    </row>
    <row r="96" ht="11.25" customHeight="1">
      <c r="A96" s="149"/>
      <c r="B96" s="149"/>
      <c r="C96" s="149"/>
      <c r="D96" s="149"/>
      <c r="E96" s="149"/>
      <c r="F96" s="149"/>
      <c r="G96" s="149"/>
      <c r="H96" s="149"/>
      <c r="I96" s="149"/>
      <c r="J96" s="149"/>
      <c r="K96" s="149"/>
      <c r="L96" s="149"/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W96" s="149"/>
      <c r="X96" s="149"/>
      <c r="Y96" s="149"/>
      <c r="Z96" s="149"/>
    </row>
    <row r="97" ht="11.25" customHeight="1">
      <c r="A97" s="149"/>
      <c r="B97" s="149"/>
      <c r="C97" s="149"/>
      <c r="D97" s="149"/>
      <c r="E97" s="149"/>
      <c r="F97" s="149"/>
      <c r="G97" s="149"/>
      <c r="H97" s="149"/>
      <c r="I97" s="149"/>
      <c r="J97" s="149"/>
      <c r="K97" s="149"/>
      <c r="L97" s="149"/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W97" s="149"/>
      <c r="X97" s="149"/>
      <c r="Y97" s="149"/>
      <c r="Z97" s="149"/>
    </row>
    <row r="98" ht="11.25" customHeight="1">
      <c r="A98" s="149"/>
      <c r="B98" s="149"/>
      <c r="C98" s="149"/>
      <c r="D98" s="149"/>
      <c r="E98" s="149"/>
      <c r="F98" s="149"/>
      <c r="G98" s="149"/>
      <c r="H98" s="149"/>
      <c r="I98" s="149"/>
      <c r="J98" s="149"/>
      <c r="K98" s="149"/>
      <c r="L98" s="149"/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W98" s="149"/>
      <c r="X98" s="149"/>
      <c r="Y98" s="149"/>
      <c r="Z98" s="149"/>
    </row>
    <row r="99" ht="11.25" customHeight="1">
      <c r="A99" s="149"/>
      <c r="B99" s="149"/>
      <c r="C99" s="149"/>
      <c r="D99" s="149"/>
      <c r="E99" s="149"/>
      <c r="F99" s="149"/>
      <c r="G99" s="149"/>
      <c r="H99" s="149"/>
      <c r="I99" s="149"/>
      <c r="J99" s="149"/>
      <c r="K99" s="149"/>
      <c r="L99" s="149"/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W99" s="149"/>
      <c r="X99" s="149"/>
      <c r="Y99" s="149"/>
      <c r="Z99" s="149"/>
    </row>
    <row r="100" ht="11.25" customHeight="1">
      <c r="A100" s="149"/>
      <c r="B100" s="149"/>
      <c r="C100" s="149"/>
      <c r="D100" s="149"/>
      <c r="E100" s="149"/>
      <c r="F100" s="149"/>
      <c r="G100" s="149"/>
      <c r="H100" s="149"/>
      <c r="I100" s="149"/>
      <c r="J100" s="149"/>
      <c r="K100" s="149"/>
      <c r="L100" s="149"/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W100" s="149"/>
      <c r="X100" s="149"/>
      <c r="Y100" s="149"/>
      <c r="Z100" s="149"/>
    </row>
    <row r="101" ht="11.25" customHeight="1">
      <c r="A101" s="149"/>
      <c r="B101" s="149"/>
      <c r="C101" s="149"/>
      <c r="D101" s="149"/>
      <c r="E101" s="149"/>
      <c r="F101" s="149"/>
      <c r="G101" s="149"/>
      <c r="H101" s="149"/>
      <c r="I101" s="149"/>
      <c r="J101" s="149"/>
      <c r="K101" s="149"/>
      <c r="L101" s="149"/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W101" s="149"/>
      <c r="X101" s="149"/>
      <c r="Y101" s="149"/>
      <c r="Z101" s="149"/>
    </row>
    <row r="102" ht="11.25" customHeight="1">
      <c r="A102" s="149"/>
      <c r="B102" s="149"/>
      <c r="C102" s="149"/>
      <c r="D102" s="149"/>
      <c r="E102" s="149"/>
      <c r="F102" s="149"/>
      <c r="G102" s="149"/>
      <c r="H102" s="149"/>
      <c r="I102" s="149"/>
      <c r="J102" s="149"/>
      <c r="K102" s="149"/>
      <c r="L102" s="149"/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W102" s="149"/>
      <c r="X102" s="149"/>
      <c r="Y102" s="149"/>
      <c r="Z102" s="149"/>
    </row>
    <row r="103" ht="11.25" customHeight="1">
      <c r="A103" s="149"/>
      <c r="B103" s="149"/>
      <c r="C103" s="149"/>
      <c r="D103" s="149"/>
      <c r="E103" s="149"/>
      <c r="F103" s="149"/>
      <c r="G103" s="149"/>
      <c r="H103" s="149"/>
      <c r="I103" s="149"/>
      <c r="J103" s="149"/>
      <c r="K103" s="149"/>
      <c r="L103" s="149"/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W103" s="149"/>
      <c r="X103" s="149"/>
      <c r="Y103" s="149"/>
      <c r="Z103" s="149"/>
    </row>
    <row r="104" ht="11.25" customHeight="1">
      <c r="A104" s="149"/>
      <c r="B104" s="149"/>
      <c r="C104" s="149"/>
      <c r="D104" s="149"/>
      <c r="E104" s="149"/>
      <c r="F104" s="149"/>
      <c r="G104" s="149"/>
      <c r="H104" s="149"/>
      <c r="I104" s="149"/>
      <c r="J104" s="149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</row>
    <row r="105" ht="11.25" customHeight="1">
      <c r="A105" s="149"/>
      <c r="B105" s="149"/>
      <c r="C105" s="149"/>
      <c r="D105" s="149"/>
      <c r="E105" s="149"/>
      <c r="F105" s="149"/>
      <c r="G105" s="149"/>
      <c r="H105" s="149"/>
      <c r="I105" s="149"/>
      <c r="J105" s="149"/>
      <c r="K105" s="149"/>
      <c r="L105" s="149"/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W105" s="149"/>
      <c r="X105" s="149"/>
      <c r="Y105" s="149"/>
      <c r="Z105" s="149"/>
    </row>
    <row r="106" ht="11.25" customHeight="1">
      <c r="A106" s="149"/>
      <c r="B106" s="149"/>
      <c r="C106" s="149"/>
      <c r="D106" s="149"/>
      <c r="E106" s="149"/>
      <c r="F106" s="149"/>
      <c r="G106" s="149"/>
      <c r="H106" s="149"/>
      <c r="I106" s="149"/>
      <c r="J106" s="149"/>
      <c r="K106" s="149"/>
      <c r="L106" s="149"/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W106" s="149"/>
      <c r="X106" s="149"/>
      <c r="Y106" s="149"/>
      <c r="Z106" s="149"/>
    </row>
    <row r="107" ht="11.25" customHeight="1">
      <c r="A107" s="149"/>
      <c r="B107" s="149"/>
      <c r="C107" s="149"/>
      <c r="D107" s="149"/>
      <c r="E107" s="149"/>
      <c r="F107" s="149"/>
      <c r="G107" s="149"/>
      <c r="H107" s="149"/>
      <c r="I107" s="149"/>
      <c r="J107" s="149"/>
      <c r="K107" s="149"/>
      <c r="L107" s="149"/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W107" s="149"/>
      <c r="X107" s="149"/>
      <c r="Y107" s="149"/>
      <c r="Z107" s="149"/>
    </row>
    <row r="108" ht="11.25" customHeight="1">
      <c r="A108" s="149"/>
      <c r="B108" s="149"/>
      <c r="C108" s="149"/>
      <c r="D108" s="149"/>
      <c r="E108" s="149"/>
      <c r="F108" s="149"/>
      <c r="G108" s="149"/>
      <c r="H108" s="149"/>
      <c r="I108" s="149"/>
      <c r="J108" s="149"/>
      <c r="K108" s="149"/>
      <c r="L108" s="149"/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W108" s="149"/>
      <c r="X108" s="149"/>
      <c r="Y108" s="149"/>
      <c r="Z108" s="149"/>
    </row>
    <row r="109" ht="11.25" customHeight="1">
      <c r="A109" s="149"/>
      <c r="B109" s="149"/>
      <c r="C109" s="149"/>
      <c r="D109" s="149"/>
      <c r="E109" s="149"/>
      <c r="F109" s="149"/>
      <c r="G109" s="149"/>
      <c r="H109" s="149"/>
      <c r="I109" s="149"/>
      <c r="J109" s="149"/>
      <c r="K109" s="149"/>
      <c r="L109" s="149"/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W109" s="149"/>
      <c r="X109" s="149"/>
      <c r="Y109" s="149"/>
      <c r="Z109" s="149"/>
    </row>
    <row r="110" ht="11.25" customHeight="1">
      <c r="A110" s="149"/>
      <c r="B110" s="149"/>
      <c r="C110" s="149"/>
      <c r="D110" s="149"/>
      <c r="E110" s="149"/>
      <c r="F110" s="149"/>
      <c r="G110" s="149"/>
      <c r="H110" s="149"/>
      <c r="I110" s="149"/>
      <c r="J110" s="149"/>
      <c r="K110" s="149"/>
      <c r="L110" s="149"/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W110" s="149"/>
      <c r="X110" s="149"/>
      <c r="Y110" s="149"/>
      <c r="Z110" s="149"/>
    </row>
    <row r="111" ht="11.25" customHeight="1">
      <c r="A111" s="149"/>
      <c r="B111" s="149"/>
      <c r="C111" s="149"/>
      <c r="D111" s="149"/>
      <c r="E111" s="149"/>
      <c r="F111" s="149"/>
      <c r="G111" s="149"/>
      <c r="H111" s="149"/>
      <c r="I111" s="149"/>
      <c r="J111" s="149"/>
      <c r="K111" s="149"/>
      <c r="L111" s="149"/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</row>
    <row r="112" ht="11.25" customHeight="1">
      <c r="A112" s="149"/>
      <c r="B112" s="149"/>
      <c r="C112" s="149"/>
      <c r="D112" s="149"/>
      <c r="E112" s="149"/>
      <c r="F112" s="149"/>
      <c r="G112" s="149"/>
      <c r="H112" s="149"/>
      <c r="I112" s="149"/>
      <c r="J112" s="149"/>
      <c r="K112" s="149"/>
      <c r="L112" s="149"/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W112" s="149"/>
      <c r="X112" s="149"/>
      <c r="Y112" s="149"/>
      <c r="Z112" s="149"/>
    </row>
    <row r="113" ht="11.25" customHeight="1">
      <c r="A113" s="149"/>
      <c r="B113" s="149"/>
      <c r="C113" s="149"/>
      <c r="D113" s="149"/>
      <c r="E113" s="149"/>
      <c r="F113" s="149"/>
      <c r="G113" s="149"/>
      <c r="H113" s="149"/>
      <c r="I113" s="149"/>
      <c r="J113" s="149"/>
      <c r="K113" s="149"/>
      <c r="L113" s="149"/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</row>
    <row r="114" ht="11.25" customHeight="1">
      <c r="A114" s="149"/>
      <c r="B114" s="149"/>
      <c r="C114" s="149"/>
      <c r="D114" s="149"/>
      <c r="E114" s="149"/>
      <c r="F114" s="149"/>
      <c r="G114" s="149"/>
      <c r="H114" s="149"/>
      <c r="I114" s="149"/>
      <c r="J114" s="149"/>
      <c r="K114" s="149"/>
      <c r="L114" s="149"/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</row>
    <row r="115" ht="11.25" customHeight="1">
      <c r="A115" s="149"/>
      <c r="B115" s="149"/>
      <c r="C115" s="149"/>
      <c r="D115" s="149"/>
      <c r="E115" s="149"/>
      <c r="F115" s="149"/>
      <c r="G115" s="149"/>
      <c r="H115" s="149"/>
      <c r="I115" s="149"/>
      <c r="J115" s="149"/>
      <c r="K115" s="149"/>
      <c r="L115" s="149"/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</row>
    <row r="116" ht="11.25" customHeight="1">
      <c r="A116" s="149"/>
      <c r="B116" s="149"/>
      <c r="C116" s="149"/>
      <c r="D116" s="149"/>
      <c r="E116" s="149"/>
      <c r="F116" s="149"/>
      <c r="G116" s="149"/>
      <c r="H116" s="149"/>
      <c r="I116" s="149"/>
      <c r="J116" s="149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  <c r="X116" s="149"/>
      <c r="Y116" s="149"/>
      <c r="Z116" s="149"/>
    </row>
    <row r="117" ht="11.25" customHeight="1">
      <c r="A117" s="149"/>
      <c r="B117" s="149"/>
      <c r="C117" s="149"/>
      <c r="D117" s="149"/>
      <c r="E117" s="149"/>
      <c r="F117" s="149"/>
      <c r="G117" s="149"/>
      <c r="H117" s="149"/>
      <c r="I117" s="149"/>
      <c r="J117" s="149"/>
      <c r="K117" s="149"/>
      <c r="L117" s="149"/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W117" s="149"/>
      <c r="X117" s="149"/>
      <c r="Y117" s="149"/>
      <c r="Z117" s="149"/>
    </row>
    <row r="118" ht="11.25" customHeight="1">
      <c r="A118" s="149"/>
      <c r="B118" s="149"/>
      <c r="C118" s="149"/>
      <c r="D118" s="149"/>
      <c r="E118" s="149"/>
      <c r="F118" s="149"/>
      <c r="G118" s="149"/>
      <c r="H118" s="149"/>
      <c r="I118" s="149"/>
      <c r="J118" s="149"/>
      <c r="K118" s="149"/>
      <c r="L118" s="149"/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W118" s="149"/>
      <c r="X118" s="149"/>
      <c r="Y118" s="149"/>
      <c r="Z118" s="149"/>
    </row>
    <row r="119" ht="11.25" customHeight="1">
      <c r="A119" s="149"/>
      <c r="B119" s="149"/>
      <c r="C119" s="149"/>
      <c r="D119" s="149"/>
      <c r="E119" s="149"/>
      <c r="F119" s="149"/>
      <c r="G119" s="149"/>
      <c r="H119" s="149"/>
      <c r="I119" s="149"/>
      <c r="J119" s="149"/>
      <c r="K119" s="149"/>
      <c r="L119" s="149"/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W119" s="149"/>
      <c r="X119" s="149"/>
      <c r="Y119" s="149"/>
      <c r="Z119" s="149"/>
    </row>
    <row r="120" ht="11.25" customHeight="1">
      <c r="A120" s="149"/>
      <c r="B120" s="149"/>
      <c r="C120" s="149"/>
      <c r="D120" s="149"/>
      <c r="E120" s="149"/>
      <c r="F120" s="149"/>
      <c r="G120" s="149"/>
      <c r="H120" s="149"/>
      <c r="I120" s="149"/>
      <c r="J120" s="149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  <c r="X120" s="149"/>
      <c r="Y120" s="149"/>
      <c r="Z120" s="149"/>
    </row>
    <row r="121" ht="11.25" customHeight="1">
      <c r="A121" s="149"/>
      <c r="B121" s="149"/>
      <c r="C121" s="149"/>
      <c r="D121" s="149"/>
      <c r="E121" s="149"/>
      <c r="F121" s="149"/>
      <c r="G121" s="149"/>
      <c r="H121" s="149"/>
      <c r="I121" s="149"/>
      <c r="J121" s="149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  <c r="X121" s="149"/>
      <c r="Y121" s="149"/>
      <c r="Z121" s="149"/>
    </row>
    <row r="122" ht="11.25" customHeight="1">
      <c r="A122" s="149"/>
      <c r="B122" s="149"/>
      <c r="C122" s="149"/>
      <c r="D122" s="149"/>
      <c r="E122" s="149"/>
      <c r="F122" s="149"/>
      <c r="G122" s="149"/>
      <c r="H122" s="149"/>
      <c r="I122" s="149"/>
      <c r="J122" s="149"/>
      <c r="K122" s="149"/>
      <c r="L122" s="149"/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W122" s="149"/>
      <c r="X122" s="149"/>
      <c r="Y122" s="149"/>
      <c r="Z122" s="149"/>
    </row>
    <row r="123" ht="11.25" customHeight="1">
      <c r="A123" s="149"/>
      <c r="B123" s="149"/>
      <c r="C123" s="149"/>
      <c r="D123" s="149"/>
      <c r="E123" s="149"/>
      <c r="F123" s="149"/>
      <c r="G123" s="149"/>
      <c r="H123" s="149"/>
      <c r="I123" s="149"/>
      <c r="J123" s="149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  <c r="X123" s="149"/>
      <c r="Y123" s="149"/>
      <c r="Z123" s="149"/>
    </row>
    <row r="124" ht="11.25" customHeight="1">
      <c r="A124" s="149"/>
      <c r="B124" s="149"/>
      <c r="C124" s="149"/>
      <c r="D124" s="149"/>
      <c r="E124" s="149"/>
      <c r="F124" s="149"/>
      <c r="G124" s="149"/>
      <c r="H124" s="149"/>
      <c r="I124" s="149"/>
      <c r="J124" s="149"/>
      <c r="K124" s="149"/>
      <c r="L124" s="149"/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W124" s="149"/>
      <c r="X124" s="149"/>
      <c r="Y124" s="149"/>
      <c r="Z124" s="149"/>
    </row>
    <row r="125" ht="11.25" customHeight="1">
      <c r="A125" s="149"/>
      <c r="B125" s="149"/>
      <c r="C125" s="149"/>
      <c r="D125" s="149"/>
      <c r="E125" s="149"/>
      <c r="F125" s="149"/>
      <c r="G125" s="149"/>
      <c r="H125" s="149"/>
      <c r="I125" s="149"/>
      <c r="J125" s="149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  <c r="X125" s="149"/>
      <c r="Y125" s="149"/>
      <c r="Z125" s="149"/>
    </row>
    <row r="126" ht="11.25" customHeight="1">
      <c r="A126" s="149"/>
      <c r="B126" s="149"/>
      <c r="C126" s="149"/>
      <c r="D126" s="149"/>
      <c r="E126" s="149"/>
      <c r="F126" s="149"/>
      <c r="G126" s="149"/>
      <c r="H126" s="149"/>
      <c r="I126" s="149"/>
      <c r="J126" s="149"/>
      <c r="K126" s="149"/>
      <c r="L126" s="149"/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W126" s="149"/>
      <c r="X126" s="149"/>
      <c r="Y126" s="149"/>
      <c r="Z126" s="149"/>
    </row>
    <row r="127" ht="11.25" customHeight="1">
      <c r="A127" s="149"/>
      <c r="B127" s="149"/>
      <c r="C127" s="149"/>
      <c r="D127" s="149"/>
      <c r="E127" s="149"/>
      <c r="F127" s="149"/>
      <c r="G127" s="149"/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/>
      <c r="Y127" s="149"/>
      <c r="Z127" s="149"/>
    </row>
    <row r="128" ht="11.25" customHeight="1">
      <c r="A128" s="149"/>
      <c r="B128" s="149"/>
      <c r="C128" s="149"/>
      <c r="D128" s="149"/>
      <c r="E128" s="149"/>
      <c r="F128" s="149"/>
      <c r="G128" s="149"/>
      <c r="H128" s="149"/>
      <c r="I128" s="149"/>
      <c r="J128" s="149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  <c r="X128" s="149"/>
      <c r="Y128" s="149"/>
      <c r="Z128" s="149"/>
    </row>
    <row r="129" ht="11.25" customHeight="1">
      <c r="A129" s="149"/>
      <c r="B129" s="149"/>
      <c r="C129" s="149"/>
      <c r="D129" s="149"/>
      <c r="E129" s="149"/>
      <c r="F129" s="149"/>
      <c r="G129" s="149"/>
      <c r="H129" s="149"/>
      <c r="I129" s="149"/>
      <c r="J129" s="149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W129" s="149"/>
      <c r="X129" s="149"/>
      <c r="Y129" s="149"/>
      <c r="Z129" s="149"/>
    </row>
    <row r="130" ht="11.25" customHeight="1">
      <c r="A130" s="149"/>
      <c r="B130" s="149"/>
      <c r="C130" s="149"/>
      <c r="D130" s="149"/>
      <c r="E130" s="149"/>
      <c r="F130" s="149"/>
      <c r="G130" s="149"/>
      <c r="H130" s="149"/>
      <c r="I130" s="149"/>
      <c r="J130" s="149"/>
      <c r="K130" s="149"/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W130" s="149"/>
      <c r="X130" s="149"/>
      <c r="Y130" s="149"/>
      <c r="Z130" s="149"/>
    </row>
    <row r="131" ht="11.25" customHeight="1">
      <c r="A131" s="149"/>
      <c r="B131" s="149"/>
      <c r="C131" s="149"/>
      <c r="D131" s="149"/>
      <c r="E131" s="149"/>
      <c r="F131" s="149"/>
      <c r="G131" s="149"/>
      <c r="H131" s="149"/>
      <c r="I131" s="149"/>
      <c r="J131" s="149"/>
      <c r="K131" s="149"/>
      <c r="L131" s="149"/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W131" s="149"/>
      <c r="X131" s="149"/>
      <c r="Y131" s="149"/>
      <c r="Z131" s="149"/>
    </row>
    <row r="132" ht="11.25" customHeight="1">
      <c r="A132" s="149"/>
      <c r="B132" s="149"/>
      <c r="C132" s="149"/>
      <c r="D132" s="149"/>
      <c r="E132" s="149"/>
      <c r="F132" s="149"/>
      <c r="G132" s="149"/>
      <c r="H132" s="149"/>
      <c r="I132" s="149"/>
      <c r="J132" s="149"/>
      <c r="K132" s="149"/>
      <c r="L132" s="149"/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W132" s="149"/>
      <c r="X132" s="149"/>
      <c r="Y132" s="149"/>
      <c r="Z132" s="149"/>
    </row>
    <row r="133" ht="11.25" customHeight="1">
      <c r="A133" s="149"/>
      <c r="B133" s="149"/>
      <c r="C133" s="149"/>
      <c r="D133" s="149"/>
      <c r="E133" s="149"/>
      <c r="F133" s="149"/>
      <c r="G133" s="149"/>
      <c r="H133" s="149"/>
      <c r="I133" s="149"/>
      <c r="J133" s="149"/>
      <c r="K133" s="149"/>
      <c r="L133" s="149"/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W133" s="149"/>
      <c r="X133" s="149"/>
      <c r="Y133" s="149"/>
      <c r="Z133" s="149"/>
    </row>
    <row r="134" ht="11.25" customHeight="1">
      <c r="A134" s="149"/>
      <c r="B134" s="149"/>
      <c r="C134" s="149"/>
      <c r="D134" s="149"/>
      <c r="E134" s="149"/>
      <c r="F134" s="149"/>
      <c r="G134" s="149"/>
      <c r="H134" s="149"/>
      <c r="I134" s="149"/>
      <c r="J134" s="149"/>
      <c r="K134" s="149"/>
      <c r="L134" s="149"/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W134" s="149"/>
      <c r="X134" s="149"/>
      <c r="Y134" s="149"/>
      <c r="Z134" s="149"/>
    </row>
    <row r="135" ht="11.25" customHeight="1">
      <c r="A135" s="149"/>
      <c r="B135" s="149"/>
      <c r="C135" s="149"/>
      <c r="D135" s="149"/>
      <c r="E135" s="149"/>
      <c r="F135" s="149"/>
      <c r="G135" s="149"/>
      <c r="H135" s="149"/>
      <c r="I135" s="149"/>
      <c r="J135" s="149"/>
      <c r="K135" s="149"/>
      <c r="L135" s="149"/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</row>
    <row r="136" ht="11.25" customHeight="1">
      <c r="A136" s="149"/>
      <c r="B136" s="149"/>
      <c r="C136" s="149"/>
      <c r="D136" s="149"/>
      <c r="E136" s="149"/>
      <c r="F136" s="149"/>
      <c r="G136" s="149"/>
      <c r="H136" s="149"/>
      <c r="I136" s="149"/>
      <c r="J136" s="149"/>
      <c r="K136" s="149"/>
      <c r="L136" s="149"/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</row>
    <row r="137" ht="11.25" customHeight="1">
      <c r="A137" s="149"/>
      <c r="B137" s="149"/>
      <c r="C137" s="149"/>
      <c r="D137" s="149"/>
      <c r="E137" s="149"/>
      <c r="F137" s="149"/>
      <c r="G137" s="149"/>
      <c r="H137" s="149"/>
      <c r="I137" s="149"/>
      <c r="J137" s="149"/>
      <c r="K137" s="149"/>
      <c r="L137" s="149"/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</row>
    <row r="138" ht="11.25" customHeight="1">
      <c r="A138" s="149"/>
      <c r="B138" s="149"/>
      <c r="C138" s="149"/>
      <c r="D138" s="149"/>
      <c r="E138" s="149"/>
      <c r="F138" s="149"/>
      <c r="G138" s="149"/>
      <c r="H138" s="149"/>
      <c r="I138" s="149"/>
      <c r="J138" s="149"/>
      <c r="K138" s="149"/>
      <c r="L138" s="149"/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</row>
    <row r="139" ht="11.25" customHeight="1">
      <c r="A139" s="149"/>
      <c r="B139" s="149"/>
      <c r="C139" s="149"/>
      <c r="D139" s="149"/>
      <c r="E139" s="149"/>
      <c r="F139" s="149"/>
      <c r="G139" s="149"/>
      <c r="H139" s="149"/>
      <c r="I139" s="149"/>
      <c r="J139" s="149"/>
      <c r="K139" s="149"/>
      <c r="L139" s="149"/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</row>
    <row r="140" ht="11.25" customHeight="1">
      <c r="A140" s="149"/>
      <c r="B140" s="149"/>
      <c r="C140" s="149"/>
      <c r="D140" s="149"/>
      <c r="E140" s="149"/>
      <c r="F140" s="149"/>
      <c r="G140" s="149"/>
      <c r="H140" s="149"/>
      <c r="I140" s="149"/>
      <c r="J140" s="149"/>
      <c r="K140" s="149"/>
      <c r="L140" s="149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</row>
    <row r="141" ht="11.25" customHeight="1">
      <c r="A141" s="149"/>
      <c r="B141" s="149"/>
      <c r="C141" s="149"/>
      <c r="D141" s="149"/>
      <c r="E141" s="149"/>
      <c r="F141" s="149"/>
      <c r="G141" s="149"/>
      <c r="H141" s="149"/>
      <c r="I141" s="149"/>
      <c r="J141" s="149"/>
      <c r="K141" s="149"/>
      <c r="L141" s="149"/>
      <c r="M141" s="149"/>
      <c r="N141" s="149"/>
      <c r="O141" s="149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</row>
    <row r="142" ht="11.25" customHeight="1">
      <c r="A142" s="149"/>
      <c r="B142" s="149"/>
      <c r="C142" s="149"/>
      <c r="D142" s="149"/>
      <c r="E142" s="149"/>
      <c r="F142" s="149"/>
      <c r="G142" s="149"/>
      <c r="H142" s="149"/>
      <c r="I142" s="149"/>
      <c r="J142" s="149"/>
      <c r="K142" s="149"/>
      <c r="L142" s="149"/>
      <c r="M142" s="149"/>
      <c r="N142" s="149"/>
      <c r="O142" s="149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</row>
    <row r="143" ht="11.25" customHeight="1">
      <c r="A143" s="149"/>
      <c r="B143" s="149"/>
      <c r="C143" s="149"/>
      <c r="D143" s="149"/>
      <c r="E143" s="149"/>
      <c r="F143" s="149"/>
      <c r="G143" s="149"/>
      <c r="H143" s="149"/>
      <c r="I143" s="149"/>
      <c r="J143" s="149"/>
      <c r="K143" s="149"/>
      <c r="L143" s="149"/>
      <c r="M143" s="149"/>
      <c r="N143" s="149"/>
      <c r="O143" s="149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</row>
    <row r="144" ht="11.25" customHeight="1">
      <c r="A144" s="149"/>
      <c r="B144" s="149"/>
      <c r="C144" s="149"/>
      <c r="D144" s="149"/>
      <c r="E144" s="149"/>
      <c r="F144" s="149"/>
      <c r="G144" s="149"/>
      <c r="H144" s="149"/>
      <c r="I144" s="149"/>
      <c r="J144" s="149"/>
      <c r="K144" s="149"/>
      <c r="L144" s="149"/>
      <c r="M144" s="149"/>
      <c r="N144" s="149"/>
      <c r="O144" s="149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</row>
    <row r="145" ht="11.25" customHeight="1">
      <c r="A145" s="149"/>
      <c r="B145" s="149"/>
      <c r="C145" s="149"/>
      <c r="D145" s="149"/>
      <c r="E145" s="149"/>
      <c r="F145" s="149"/>
      <c r="G145" s="149"/>
      <c r="H145" s="149"/>
      <c r="I145" s="149"/>
      <c r="J145" s="149"/>
      <c r="K145" s="149"/>
      <c r="L145" s="149"/>
      <c r="M145" s="149"/>
      <c r="N145" s="149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</row>
    <row r="146" ht="11.25" customHeight="1">
      <c r="A146" s="149"/>
      <c r="B146" s="149"/>
      <c r="C146" s="149"/>
      <c r="D146" s="149"/>
      <c r="E146" s="149"/>
      <c r="F146" s="149"/>
      <c r="G146" s="149"/>
      <c r="H146" s="149"/>
      <c r="I146" s="149"/>
      <c r="J146" s="149"/>
      <c r="K146" s="149"/>
      <c r="L146" s="149"/>
      <c r="M146" s="149"/>
      <c r="N146" s="149"/>
      <c r="O146" s="149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</row>
    <row r="147" ht="11.25" customHeight="1">
      <c r="A147" s="149"/>
      <c r="B147" s="149"/>
      <c r="C147" s="149"/>
      <c r="D147" s="149"/>
      <c r="E147" s="149"/>
      <c r="F147" s="149"/>
      <c r="G147" s="149"/>
      <c r="H147" s="149"/>
      <c r="I147" s="149"/>
      <c r="J147" s="149"/>
      <c r="K147" s="149"/>
      <c r="L147" s="149"/>
      <c r="M147" s="149"/>
      <c r="N147" s="149"/>
      <c r="O147" s="149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</row>
    <row r="148" ht="11.25" customHeight="1">
      <c r="A148" s="149"/>
      <c r="B148" s="149"/>
      <c r="C148" s="149"/>
      <c r="D148" s="149"/>
      <c r="E148" s="149"/>
      <c r="F148" s="149"/>
      <c r="G148" s="149"/>
      <c r="H148" s="149"/>
      <c r="I148" s="149"/>
      <c r="J148" s="149"/>
      <c r="K148" s="149"/>
      <c r="L148" s="149"/>
      <c r="M148" s="149"/>
      <c r="N148" s="149"/>
      <c r="O148" s="149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</row>
    <row r="149" ht="11.25" customHeight="1">
      <c r="A149" s="149"/>
      <c r="B149" s="149"/>
      <c r="C149" s="149"/>
      <c r="D149" s="149"/>
      <c r="E149" s="149"/>
      <c r="F149" s="149"/>
      <c r="G149" s="149"/>
      <c r="H149" s="149"/>
      <c r="I149" s="149"/>
      <c r="J149" s="149"/>
      <c r="K149" s="149"/>
      <c r="L149" s="149"/>
      <c r="M149" s="149"/>
      <c r="N149" s="149"/>
      <c r="O149" s="149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</row>
    <row r="150" ht="11.25" customHeight="1">
      <c r="A150" s="149"/>
      <c r="B150" s="149"/>
      <c r="C150" s="149"/>
      <c r="D150" s="149"/>
      <c r="E150" s="149"/>
      <c r="F150" s="149"/>
      <c r="G150" s="149"/>
      <c r="H150" s="149"/>
      <c r="I150" s="149"/>
      <c r="J150" s="149"/>
      <c r="K150" s="149"/>
      <c r="L150" s="149"/>
      <c r="M150" s="149"/>
      <c r="N150" s="149"/>
      <c r="O150" s="149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</row>
    <row r="151" ht="11.25" customHeight="1">
      <c r="A151" s="149"/>
      <c r="B151" s="149"/>
      <c r="C151" s="149"/>
      <c r="D151" s="149"/>
      <c r="E151" s="149"/>
      <c r="F151" s="149"/>
      <c r="G151" s="149"/>
      <c r="H151" s="149"/>
      <c r="I151" s="149"/>
      <c r="J151" s="149"/>
      <c r="K151" s="149"/>
      <c r="L151" s="149"/>
      <c r="M151" s="149"/>
      <c r="N151" s="149"/>
      <c r="O151" s="149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</row>
    <row r="152" ht="11.25" customHeight="1">
      <c r="A152" s="149"/>
      <c r="B152" s="149"/>
      <c r="C152" s="149"/>
      <c r="D152" s="149"/>
      <c r="E152" s="149"/>
      <c r="F152" s="149"/>
      <c r="G152" s="149"/>
      <c r="H152" s="149"/>
      <c r="I152" s="149"/>
      <c r="J152" s="149"/>
      <c r="K152" s="149"/>
      <c r="L152" s="149"/>
      <c r="M152" s="149"/>
      <c r="N152" s="149"/>
      <c r="O152" s="149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</row>
    <row r="153" ht="11.25" customHeight="1">
      <c r="A153" s="149"/>
      <c r="B153" s="149"/>
      <c r="C153" s="149"/>
      <c r="D153" s="149"/>
      <c r="E153" s="149"/>
      <c r="F153" s="149"/>
      <c r="G153" s="149"/>
      <c r="H153" s="149"/>
      <c r="I153" s="149"/>
      <c r="J153" s="149"/>
      <c r="K153" s="149"/>
      <c r="L153" s="149"/>
      <c r="M153" s="149"/>
      <c r="N153" s="149"/>
      <c r="O153" s="149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</row>
    <row r="154" ht="11.25" customHeight="1">
      <c r="A154" s="149"/>
      <c r="B154" s="149"/>
      <c r="C154" s="149"/>
      <c r="D154" s="149"/>
      <c r="E154" s="149"/>
      <c r="F154" s="149"/>
      <c r="G154" s="149"/>
      <c r="H154" s="149"/>
      <c r="I154" s="149"/>
      <c r="J154" s="149"/>
      <c r="K154" s="149"/>
      <c r="L154" s="149"/>
      <c r="M154" s="149"/>
      <c r="N154" s="149"/>
      <c r="O154" s="149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</row>
    <row r="155" ht="11.25" customHeight="1">
      <c r="A155" s="149"/>
      <c r="B155" s="149"/>
      <c r="C155" s="149"/>
      <c r="D155" s="149"/>
      <c r="E155" s="149"/>
      <c r="F155" s="149"/>
      <c r="G155" s="149"/>
      <c r="H155" s="149"/>
      <c r="I155" s="149"/>
      <c r="J155" s="149"/>
      <c r="K155" s="149"/>
      <c r="L155" s="149"/>
      <c r="M155" s="149"/>
      <c r="N155" s="149"/>
      <c r="O155" s="149"/>
      <c r="P155" s="149"/>
      <c r="Q155" s="149"/>
      <c r="R155" s="149"/>
      <c r="S155" s="149"/>
      <c r="T155" s="149"/>
      <c r="U155" s="149"/>
      <c r="V155" s="149"/>
      <c r="W155" s="149"/>
      <c r="X155" s="149"/>
      <c r="Y155" s="149"/>
      <c r="Z155" s="149"/>
    </row>
    <row r="156" ht="11.25" customHeight="1">
      <c r="A156" s="149"/>
      <c r="B156" s="149"/>
      <c r="C156" s="149"/>
      <c r="D156" s="149"/>
      <c r="E156" s="149"/>
      <c r="F156" s="149"/>
      <c r="G156" s="149"/>
      <c r="H156" s="149"/>
      <c r="I156" s="149"/>
      <c r="J156" s="149"/>
      <c r="K156" s="149"/>
      <c r="L156" s="149"/>
      <c r="M156" s="149"/>
      <c r="N156" s="149"/>
      <c r="O156" s="149"/>
      <c r="P156" s="149"/>
      <c r="Q156" s="149"/>
      <c r="R156" s="149"/>
      <c r="S156" s="149"/>
      <c r="T156" s="149"/>
      <c r="U156" s="149"/>
      <c r="V156" s="149"/>
      <c r="W156" s="149"/>
      <c r="X156" s="149"/>
      <c r="Y156" s="149"/>
      <c r="Z156" s="149"/>
    </row>
    <row r="157" ht="11.25" customHeight="1">
      <c r="A157" s="149"/>
      <c r="B157" s="149"/>
      <c r="C157" s="149"/>
      <c r="D157" s="149"/>
      <c r="E157" s="149"/>
      <c r="F157" s="149"/>
      <c r="G157" s="149"/>
      <c r="H157" s="149"/>
      <c r="I157" s="149"/>
      <c r="J157" s="149"/>
      <c r="K157" s="149"/>
      <c r="L157" s="149"/>
      <c r="M157" s="149"/>
      <c r="N157" s="149"/>
      <c r="O157" s="149"/>
      <c r="P157" s="149"/>
      <c r="Q157" s="149"/>
      <c r="R157" s="149"/>
      <c r="S157" s="149"/>
      <c r="T157" s="149"/>
      <c r="U157" s="149"/>
      <c r="V157" s="149"/>
      <c r="W157" s="149"/>
      <c r="X157" s="149"/>
      <c r="Y157" s="149"/>
      <c r="Z157" s="149"/>
    </row>
    <row r="158" ht="11.25" customHeight="1">
      <c r="A158" s="149"/>
      <c r="B158" s="149"/>
      <c r="C158" s="149"/>
      <c r="D158" s="149"/>
      <c r="E158" s="149"/>
      <c r="F158" s="149"/>
      <c r="G158" s="149"/>
      <c r="H158" s="149"/>
      <c r="I158" s="149"/>
      <c r="J158" s="149"/>
      <c r="K158" s="149"/>
      <c r="L158" s="149"/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W158" s="149"/>
      <c r="X158" s="149"/>
      <c r="Y158" s="149"/>
      <c r="Z158" s="149"/>
    </row>
    <row r="159" ht="11.25" customHeight="1">
      <c r="A159" s="149"/>
      <c r="B159" s="149"/>
      <c r="C159" s="149"/>
      <c r="D159" s="149"/>
      <c r="E159" s="149"/>
      <c r="F159" s="149"/>
      <c r="G159" s="149"/>
      <c r="H159" s="149"/>
      <c r="I159" s="149"/>
      <c r="J159" s="149"/>
      <c r="K159" s="149"/>
      <c r="L159" s="149"/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W159" s="149"/>
      <c r="X159" s="149"/>
      <c r="Y159" s="149"/>
      <c r="Z159" s="149"/>
    </row>
    <row r="160" ht="11.25" customHeight="1">
      <c r="A160" s="149"/>
      <c r="B160" s="149"/>
      <c r="C160" s="149"/>
      <c r="D160" s="149"/>
      <c r="E160" s="149"/>
      <c r="F160" s="149"/>
      <c r="G160" s="149"/>
      <c r="H160" s="149"/>
      <c r="I160" s="149"/>
      <c r="J160" s="149"/>
      <c r="K160" s="149"/>
      <c r="L160" s="149"/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W160" s="149"/>
      <c r="X160" s="149"/>
      <c r="Y160" s="149"/>
      <c r="Z160" s="149"/>
    </row>
    <row r="161" ht="11.25" customHeight="1">
      <c r="A161" s="149"/>
      <c r="B161" s="149"/>
      <c r="C161" s="149"/>
      <c r="D161" s="149"/>
      <c r="E161" s="149"/>
      <c r="F161" s="149"/>
      <c r="G161" s="149"/>
      <c r="H161" s="149"/>
      <c r="I161" s="149"/>
      <c r="J161" s="149"/>
      <c r="K161" s="149"/>
      <c r="L161" s="149"/>
      <c r="M161" s="149"/>
      <c r="N161" s="149"/>
      <c r="O161" s="149"/>
      <c r="P161" s="149"/>
      <c r="Q161" s="149"/>
      <c r="R161" s="149"/>
      <c r="S161" s="149"/>
      <c r="T161" s="149"/>
      <c r="U161" s="149"/>
      <c r="V161" s="149"/>
      <c r="W161" s="149"/>
      <c r="X161" s="149"/>
      <c r="Y161" s="149"/>
      <c r="Z161" s="149"/>
    </row>
    <row r="162" ht="11.25" customHeight="1">
      <c r="A162" s="149"/>
      <c r="B162" s="149"/>
      <c r="C162" s="149"/>
      <c r="D162" s="149"/>
      <c r="E162" s="149"/>
      <c r="F162" s="149"/>
      <c r="G162" s="149"/>
      <c r="H162" s="149"/>
      <c r="I162" s="149"/>
      <c r="J162" s="149"/>
      <c r="K162" s="149"/>
      <c r="L162" s="149"/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W162" s="149"/>
      <c r="X162" s="149"/>
      <c r="Y162" s="149"/>
      <c r="Z162" s="149"/>
    </row>
    <row r="163" ht="11.25" customHeight="1">
      <c r="A163" s="149"/>
      <c r="B163" s="149"/>
      <c r="C163" s="149"/>
      <c r="D163" s="149"/>
      <c r="E163" s="149"/>
      <c r="F163" s="149"/>
      <c r="G163" s="149"/>
      <c r="H163" s="149"/>
      <c r="I163" s="149"/>
      <c r="J163" s="149"/>
      <c r="K163" s="149"/>
      <c r="L163" s="149"/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W163" s="149"/>
      <c r="X163" s="149"/>
      <c r="Y163" s="149"/>
      <c r="Z163" s="149"/>
    </row>
    <row r="164" ht="11.25" customHeight="1">
      <c r="A164" s="149"/>
      <c r="B164" s="149"/>
      <c r="C164" s="149"/>
      <c r="D164" s="149"/>
      <c r="E164" s="149"/>
      <c r="F164" s="149"/>
      <c r="G164" s="149"/>
      <c r="H164" s="149"/>
      <c r="I164" s="149"/>
      <c r="J164" s="149"/>
      <c r="K164" s="149"/>
      <c r="L164" s="149"/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W164" s="149"/>
      <c r="X164" s="149"/>
      <c r="Y164" s="149"/>
      <c r="Z164" s="149"/>
    </row>
    <row r="165" ht="11.25" customHeight="1">
      <c r="A165" s="149"/>
      <c r="B165" s="149"/>
      <c r="C165" s="149"/>
      <c r="D165" s="149"/>
      <c r="E165" s="149"/>
      <c r="F165" s="149"/>
      <c r="G165" s="149"/>
      <c r="H165" s="149"/>
      <c r="I165" s="149"/>
      <c r="J165" s="149"/>
      <c r="K165" s="149"/>
      <c r="L165" s="149"/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W165" s="149"/>
      <c r="X165" s="149"/>
      <c r="Y165" s="149"/>
      <c r="Z165" s="149"/>
    </row>
    <row r="166" ht="11.25" customHeight="1">
      <c r="A166" s="149"/>
      <c r="B166" s="149"/>
      <c r="C166" s="149"/>
      <c r="D166" s="149"/>
      <c r="E166" s="149"/>
      <c r="F166" s="149"/>
      <c r="G166" s="149"/>
      <c r="H166" s="149"/>
      <c r="I166" s="149"/>
      <c r="J166" s="149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W166" s="149"/>
      <c r="X166" s="149"/>
      <c r="Y166" s="149"/>
      <c r="Z166" s="149"/>
    </row>
    <row r="167" ht="11.25" customHeight="1">
      <c r="A167" s="149"/>
      <c r="B167" s="149"/>
      <c r="C167" s="149"/>
      <c r="D167" s="149"/>
      <c r="E167" s="149"/>
      <c r="F167" s="149"/>
      <c r="G167" s="149"/>
      <c r="H167" s="149"/>
      <c r="I167" s="149"/>
      <c r="J167" s="149"/>
      <c r="K167" s="149"/>
      <c r="L167" s="149"/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W167" s="149"/>
      <c r="X167" s="149"/>
      <c r="Y167" s="149"/>
      <c r="Z167" s="149"/>
    </row>
    <row r="168" ht="11.25" customHeight="1">
      <c r="A168" s="149"/>
      <c r="B168" s="149"/>
      <c r="C168" s="149"/>
      <c r="D168" s="149"/>
      <c r="E168" s="149"/>
      <c r="F168" s="149"/>
      <c r="G168" s="149"/>
      <c r="H168" s="149"/>
      <c r="I168" s="149"/>
      <c r="J168" s="149"/>
      <c r="K168" s="149"/>
      <c r="L168" s="149"/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W168" s="149"/>
      <c r="X168" s="149"/>
      <c r="Y168" s="149"/>
      <c r="Z168" s="149"/>
    </row>
    <row r="169" ht="11.25" customHeight="1">
      <c r="A169" s="149"/>
      <c r="B169" s="149"/>
      <c r="C169" s="149"/>
      <c r="D169" s="149"/>
      <c r="E169" s="149"/>
      <c r="F169" s="149"/>
      <c r="G169" s="149"/>
      <c r="H169" s="149"/>
      <c r="I169" s="149"/>
      <c r="J169" s="149"/>
      <c r="K169" s="149"/>
      <c r="L169" s="149"/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W169" s="149"/>
      <c r="X169" s="149"/>
      <c r="Y169" s="149"/>
      <c r="Z169" s="149"/>
    </row>
    <row r="170" ht="11.25" customHeight="1">
      <c r="A170" s="149"/>
      <c r="B170" s="149"/>
      <c r="C170" s="149"/>
      <c r="D170" s="149"/>
      <c r="E170" s="149"/>
      <c r="F170" s="149"/>
      <c r="G170" s="149"/>
      <c r="H170" s="149"/>
      <c r="I170" s="149"/>
      <c r="J170" s="149"/>
      <c r="K170" s="149"/>
      <c r="L170" s="149"/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W170" s="149"/>
      <c r="X170" s="149"/>
      <c r="Y170" s="149"/>
      <c r="Z170" s="149"/>
    </row>
    <row r="171" ht="11.25" customHeight="1">
      <c r="A171" s="149"/>
      <c r="B171" s="149"/>
      <c r="C171" s="149"/>
      <c r="D171" s="149"/>
      <c r="E171" s="149"/>
      <c r="F171" s="149"/>
      <c r="G171" s="149"/>
      <c r="H171" s="149"/>
      <c r="I171" s="149"/>
      <c r="J171" s="149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W171" s="149"/>
      <c r="X171" s="149"/>
      <c r="Y171" s="149"/>
      <c r="Z171" s="149"/>
    </row>
    <row r="172" ht="11.25" customHeight="1">
      <c r="A172" s="149"/>
      <c r="B172" s="149"/>
      <c r="C172" s="149"/>
      <c r="D172" s="149"/>
      <c r="E172" s="149"/>
      <c r="F172" s="149"/>
      <c r="G172" s="149"/>
      <c r="H172" s="149"/>
      <c r="I172" s="149"/>
      <c r="J172" s="149"/>
      <c r="K172" s="149"/>
      <c r="L172" s="149"/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W172" s="149"/>
      <c r="X172" s="149"/>
      <c r="Y172" s="149"/>
      <c r="Z172" s="149"/>
    </row>
    <row r="173" ht="11.25" customHeight="1">
      <c r="A173" s="149"/>
      <c r="B173" s="149"/>
      <c r="C173" s="149"/>
      <c r="D173" s="149"/>
      <c r="E173" s="149"/>
      <c r="F173" s="149"/>
      <c r="G173" s="149"/>
      <c r="H173" s="149"/>
      <c r="I173" s="149"/>
      <c r="J173" s="149"/>
      <c r="K173" s="149"/>
      <c r="L173" s="149"/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W173" s="149"/>
      <c r="X173" s="149"/>
      <c r="Y173" s="149"/>
      <c r="Z173" s="149"/>
    </row>
    <row r="174" ht="11.25" customHeight="1">
      <c r="A174" s="149"/>
      <c r="B174" s="149"/>
      <c r="C174" s="149"/>
      <c r="D174" s="149"/>
      <c r="E174" s="149"/>
      <c r="F174" s="149"/>
      <c r="G174" s="149"/>
      <c r="H174" s="149"/>
      <c r="I174" s="149"/>
      <c r="J174" s="149"/>
      <c r="K174" s="149"/>
      <c r="L174" s="149"/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W174" s="149"/>
      <c r="X174" s="149"/>
      <c r="Y174" s="149"/>
      <c r="Z174" s="149"/>
    </row>
    <row r="175" ht="11.25" customHeight="1">
      <c r="A175" s="149"/>
      <c r="B175" s="149"/>
      <c r="C175" s="149"/>
      <c r="D175" s="149"/>
      <c r="E175" s="149"/>
      <c r="F175" s="149"/>
      <c r="G175" s="149"/>
      <c r="H175" s="149"/>
      <c r="I175" s="149"/>
      <c r="J175" s="149"/>
      <c r="K175" s="149"/>
      <c r="L175" s="149"/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W175" s="149"/>
      <c r="X175" s="149"/>
      <c r="Y175" s="149"/>
      <c r="Z175" s="149"/>
    </row>
    <row r="176" ht="11.25" customHeight="1">
      <c r="A176" s="149"/>
      <c r="B176" s="149"/>
      <c r="C176" s="149"/>
      <c r="D176" s="149"/>
      <c r="E176" s="149"/>
      <c r="F176" s="149"/>
      <c r="G176" s="149"/>
      <c r="H176" s="149"/>
      <c r="I176" s="149"/>
      <c r="J176" s="149"/>
      <c r="K176" s="149"/>
      <c r="L176" s="149"/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W176" s="149"/>
      <c r="X176" s="149"/>
      <c r="Y176" s="149"/>
      <c r="Z176" s="149"/>
    </row>
    <row r="177" ht="11.25" customHeight="1">
      <c r="A177" s="149"/>
      <c r="B177" s="149"/>
      <c r="C177" s="149"/>
      <c r="D177" s="149"/>
      <c r="E177" s="149"/>
      <c r="F177" s="149"/>
      <c r="G177" s="149"/>
      <c r="H177" s="149"/>
      <c r="I177" s="149"/>
      <c r="J177" s="149"/>
      <c r="K177" s="149"/>
      <c r="L177" s="149"/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W177" s="149"/>
      <c r="X177" s="149"/>
      <c r="Y177" s="149"/>
      <c r="Z177" s="149"/>
    </row>
    <row r="178" ht="11.25" customHeight="1">
      <c r="A178" s="149"/>
      <c r="B178" s="149"/>
      <c r="C178" s="149"/>
      <c r="D178" s="149"/>
      <c r="E178" s="149"/>
      <c r="F178" s="149"/>
      <c r="G178" s="149"/>
      <c r="H178" s="149"/>
      <c r="I178" s="149"/>
      <c r="J178" s="149"/>
      <c r="K178" s="149"/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W178" s="149"/>
      <c r="X178" s="149"/>
      <c r="Y178" s="149"/>
      <c r="Z178" s="149"/>
    </row>
    <row r="179" ht="11.25" customHeight="1">
      <c r="A179" s="149"/>
      <c r="B179" s="149"/>
      <c r="C179" s="149"/>
      <c r="D179" s="149"/>
      <c r="E179" s="149"/>
      <c r="F179" s="149"/>
      <c r="G179" s="149"/>
      <c r="H179" s="149"/>
      <c r="I179" s="149"/>
      <c r="J179" s="149"/>
      <c r="K179" s="149"/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W179" s="149"/>
      <c r="X179" s="149"/>
      <c r="Y179" s="149"/>
      <c r="Z179" s="149"/>
    </row>
    <row r="180" ht="11.25" customHeight="1">
      <c r="A180" s="149"/>
      <c r="B180" s="149"/>
      <c r="C180" s="149"/>
      <c r="D180" s="149"/>
      <c r="E180" s="149"/>
      <c r="F180" s="149"/>
      <c r="G180" s="149"/>
      <c r="H180" s="149"/>
      <c r="I180" s="149"/>
      <c r="J180" s="149"/>
      <c r="K180" s="149"/>
      <c r="L180" s="149"/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W180" s="149"/>
      <c r="X180" s="149"/>
      <c r="Y180" s="149"/>
      <c r="Z180" s="149"/>
    </row>
    <row r="181" ht="11.25" customHeight="1">
      <c r="A181" s="149"/>
      <c r="B181" s="149"/>
      <c r="C181" s="149"/>
      <c r="D181" s="149"/>
      <c r="E181" s="149"/>
      <c r="F181" s="149"/>
      <c r="G181" s="149"/>
      <c r="H181" s="149"/>
      <c r="I181" s="149"/>
      <c r="J181" s="149"/>
      <c r="K181" s="149"/>
      <c r="L181" s="149"/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W181" s="149"/>
      <c r="X181" s="149"/>
      <c r="Y181" s="149"/>
      <c r="Z181" s="149"/>
    </row>
    <row r="182" ht="11.25" customHeight="1">
      <c r="A182" s="149"/>
      <c r="B182" s="149"/>
      <c r="C182" s="149"/>
      <c r="D182" s="149"/>
      <c r="E182" s="149"/>
      <c r="F182" s="149"/>
      <c r="G182" s="149"/>
      <c r="H182" s="149"/>
      <c r="I182" s="149"/>
      <c r="J182" s="149"/>
      <c r="K182" s="149"/>
      <c r="L182" s="149"/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W182" s="149"/>
      <c r="X182" s="149"/>
      <c r="Y182" s="149"/>
      <c r="Z182" s="149"/>
    </row>
    <row r="183" ht="11.25" customHeight="1">
      <c r="A183" s="149"/>
      <c r="B183" s="149"/>
      <c r="C183" s="149"/>
      <c r="D183" s="149"/>
      <c r="E183" s="149"/>
      <c r="F183" s="149"/>
      <c r="G183" s="149"/>
      <c r="H183" s="149"/>
      <c r="I183" s="149"/>
      <c r="J183" s="149"/>
      <c r="K183" s="149"/>
      <c r="L183" s="149"/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W183" s="149"/>
      <c r="X183" s="149"/>
      <c r="Y183" s="149"/>
      <c r="Z183" s="149"/>
    </row>
    <row r="184" ht="11.25" customHeight="1">
      <c r="A184" s="149"/>
      <c r="B184" s="149"/>
      <c r="C184" s="149"/>
      <c r="D184" s="149"/>
      <c r="E184" s="149"/>
      <c r="F184" s="149"/>
      <c r="G184" s="149"/>
      <c r="H184" s="149"/>
      <c r="I184" s="149"/>
      <c r="J184" s="149"/>
      <c r="K184" s="149"/>
      <c r="L184" s="149"/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W184" s="149"/>
      <c r="X184" s="149"/>
      <c r="Y184" s="149"/>
      <c r="Z184" s="149"/>
    </row>
    <row r="185" ht="11.25" customHeight="1">
      <c r="A185" s="149"/>
      <c r="B185" s="149"/>
      <c r="C185" s="149"/>
      <c r="D185" s="149"/>
      <c r="E185" s="149"/>
      <c r="F185" s="149"/>
      <c r="G185" s="149"/>
      <c r="H185" s="149"/>
      <c r="I185" s="149"/>
      <c r="J185" s="149"/>
      <c r="K185" s="149"/>
      <c r="L185" s="149"/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W185" s="149"/>
      <c r="X185" s="149"/>
      <c r="Y185" s="149"/>
      <c r="Z185" s="149"/>
    </row>
    <row r="186" ht="11.25" customHeight="1">
      <c r="A186" s="149"/>
      <c r="B186" s="149"/>
      <c r="C186" s="149"/>
      <c r="D186" s="149"/>
      <c r="E186" s="149"/>
      <c r="F186" s="149"/>
      <c r="G186" s="149"/>
      <c r="H186" s="149"/>
      <c r="I186" s="149"/>
      <c r="J186" s="149"/>
      <c r="K186" s="149"/>
      <c r="L186" s="149"/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W186" s="149"/>
      <c r="X186" s="149"/>
      <c r="Y186" s="149"/>
      <c r="Z186" s="149"/>
    </row>
    <row r="187" ht="11.25" customHeight="1">
      <c r="A187" s="149"/>
      <c r="B187" s="149"/>
      <c r="C187" s="149"/>
      <c r="D187" s="149"/>
      <c r="E187" s="149"/>
      <c r="F187" s="149"/>
      <c r="G187" s="149"/>
      <c r="H187" s="149"/>
      <c r="I187" s="149"/>
      <c r="J187" s="149"/>
      <c r="K187" s="149"/>
      <c r="L187" s="149"/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W187" s="149"/>
      <c r="X187" s="149"/>
      <c r="Y187" s="149"/>
      <c r="Z187" s="149"/>
    </row>
    <row r="188" ht="11.25" customHeight="1">
      <c r="A188" s="149"/>
      <c r="B188" s="149"/>
      <c r="C188" s="149"/>
      <c r="D188" s="149"/>
      <c r="E188" s="149"/>
      <c r="F188" s="149"/>
      <c r="G188" s="149"/>
      <c r="H188" s="149"/>
      <c r="I188" s="149"/>
      <c r="J188" s="149"/>
      <c r="K188" s="149"/>
      <c r="L188" s="149"/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W188" s="149"/>
      <c r="X188" s="149"/>
      <c r="Y188" s="149"/>
      <c r="Z188" s="149"/>
    </row>
    <row r="189" ht="11.25" customHeight="1">
      <c r="A189" s="149"/>
      <c r="B189" s="149"/>
      <c r="C189" s="149"/>
      <c r="D189" s="149"/>
      <c r="E189" s="149"/>
      <c r="F189" s="149"/>
      <c r="G189" s="149"/>
      <c r="H189" s="149"/>
      <c r="I189" s="149"/>
      <c r="J189" s="149"/>
      <c r="K189" s="149"/>
      <c r="L189" s="149"/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W189" s="149"/>
      <c r="X189" s="149"/>
      <c r="Y189" s="149"/>
      <c r="Z189" s="149"/>
    </row>
    <row r="190" ht="11.25" customHeight="1">
      <c r="A190" s="149"/>
      <c r="B190" s="149"/>
      <c r="C190" s="149"/>
      <c r="D190" s="149"/>
      <c r="E190" s="149"/>
      <c r="F190" s="149"/>
      <c r="G190" s="149"/>
      <c r="H190" s="149"/>
      <c r="I190" s="149"/>
      <c r="J190" s="149"/>
      <c r="K190" s="149"/>
      <c r="L190" s="149"/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W190" s="149"/>
      <c r="X190" s="149"/>
      <c r="Y190" s="149"/>
      <c r="Z190" s="149"/>
    </row>
    <row r="191" ht="11.25" customHeight="1">
      <c r="A191" s="149"/>
      <c r="B191" s="149"/>
      <c r="C191" s="149"/>
      <c r="D191" s="149"/>
      <c r="E191" s="149"/>
      <c r="F191" s="149"/>
      <c r="G191" s="149"/>
      <c r="H191" s="149"/>
      <c r="I191" s="149"/>
      <c r="J191" s="149"/>
      <c r="K191" s="149"/>
      <c r="L191" s="149"/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W191" s="149"/>
      <c r="X191" s="149"/>
      <c r="Y191" s="149"/>
      <c r="Z191" s="149"/>
    </row>
    <row r="192" ht="11.25" customHeight="1">
      <c r="A192" s="149"/>
      <c r="B192" s="149"/>
      <c r="C192" s="149"/>
      <c r="D192" s="149"/>
      <c r="E192" s="149"/>
      <c r="F192" s="149"/>
      <c r="G192" s="149"/>
      <c r="H192" s="149"/>
      <c r="I192" s="149"/>
      <c r="J192" s="149"/>
      <c r="K192" s="149"/>
      <c r="L192" s="149"/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W192" s="149"/>
      <c r="X192" s="149"/>
      <c r="Y192" s="149"/>
      <c r="Z192" s="149"/>
    </row>
    <row r="193" ht="11.25" customHeight="1">
      <c r="A193" s="149"/>
      <c r="B193" s="149"/>
      <c r="C193" s="149"/>
      <c r="D193" s="149"/>
      <c r="E193" s="149"/>
      <c r="F193" s="149"/>
      <c r="G193" s="149"/>
      <c r="H193" s="149"/>
      <c r="I193" s="149"/>
      <c r="J193" s="149"/>
      <c r="K193" s="149"/>
      <c r="L193" s="149"/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W193" s="149"/>
      <c r="X193" s="149"/>
      <c r="Y193" s="149"/>
      <c r="Z193" s="149"/>
    </row>
    <row r="194" ht="11.25" customHeight="1">
      <c r="A194" s="149"/>
      <c r="B194" s="149"/>
      <c r="C194" s="149"/>
      <c r="D194" s="149"/>
      <c r="E194" s="149"/>
      <c r="F194" s="149"/>
      <c r="G194" s="149"/>
      <c r="H194" s="149"/>
      <c r="I194" s="149"/>
      <c r="J194" s="149"/>
      <c r="K194" s="149"/>
      <c r="L194" s="149"/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W194" s="149"/>
      <c r="X194" s="149"/>
      <c r="Y194" s="149"/>
      <c r="Z194" s="149"/>
    </row>
    <row r="195" ht="11.25" customHeight="1">
      <c r="A195" s="149"/>
      <c r="B195" s="149"/>
      <c r="C195" s="149"/>
      <c r="D195" s="149"/>
      <c r="E195" s="149"/>
      <c r="F195" s="149"/>
      <c r="G195" s="149"/>
      <c r="H195" s="149"/>
      <c r="I195" s="149"/>
      <c r="J195" s="149"/>
      <c r="K195" s="149"/>
      <c r="L195" s="149"/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W195" s="149"/>
      <c r="X195" s="149"/>
      <c r="Y195" s="149"/>
      <c r="Z195" s="149"/>
    </row>
    <row r="196" ht="11.25" customHeight="1">
      <c r="A196" s="149"/>
      <c r="B196" s="149"/>
      <c r="C196" s="149"/>
      <c r="D196" s="149"/>
      <c r="E196" s="149"/>
      <c r="F196" s="149"/>
      <c r="G196" s="149"/>
      <c r="H196" s="149"/>
      <c r="I196" s="149"/>
      <c r="J196" s="149"/>
      <c r="K196" s="149"/>
      <c r="L196" s="149"/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W196" s="149"/>
      <c r="X196" s="149"/>
      <c r="Y196" s="149"/>
      <c r="Z196" s="149"/>
    </row>
    <row r="197" ht="11.25" customHeight="1">
      <c r="A197" s="149"/>
      <c r="B197" s="149"/>
      <c r="C197" s="149"/>
      <c r="D197" s="149"/>
      <c r="E197" s="149"/>
      <c r="F197" s="149"/>
      <c r="G197" s="149"/>
      <c r="H197" s="149"/>
      <c r="I197" s="149"/>
      <c r="J197" s="149"/>
      <c r="K197" s="149"/>
      <c r="L197" s="149"/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W197" s="149"/>
      <c r="X197" s="149"/>
      <c r="Y197" s="149"/>
      <c r="Z197" s="149"/>
    </row>
    <row r="198" ht="11.25" customHeight="1">
      <c r="A198" s="149"/>
      <c r="B198" s="149"/>
      <c r="C198" s="149"/>
      <c r="D198" s="149"/>
      <c r="E198" s="149"/>
      <c r="F198" s="149"/>
      <c r="G198" s="149"/>
      <c r="H198" s="149"/>
      <c r="I198" s="149"/>
      <c r="J198" s="149"/>
      <c r="K198" s="149"/>
      <c r="L198" s="149"/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W198" s="149"/>
      <c r="X198" s="149"/>
      <c r="Y198" s="149"/>
      <c r="Z198" s="149"/>
    </row>
    <row r="199" ht="11.25" customHeight="1">
      <c r="A199" s="149"/>
      <c r="B199" s="149"/>
      <c r="C199" s="149"/>
      <c r="D199" s="149"/>
      <c r="E199" s="149"/>
      <c r="F199" s="149"/>
      <c r="G199" s="149"/>
      <c r="H199" s="149"/>
      <c r="I199" s="149"/>
      <c r="J199" s="149"/>
      <c r="K199" s="149"/>
      <c r="L199" s="149"/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W199" s="149"/>
      <c r="X199" s="149"/>
      <c r="Y199" s="149"/>
      <c r="Z199" s="149"/>
    </row>
    <row r="200" ht="11.25" customHeight="1">
      <c r="A200" s="149"/>
      <c r="B200" s="149"/>
      <c r="C200" s="149"/>
      <c r="D200" s="149"/>
      <c r="E200" s="149"/>
      <c r="F200" s="149"/>
      <c r="G200" s="149"/>
      <c r="H200" s="149"/>
      <c r="I200" s="149"/>
      <c r="J200" s="149"/>
      <c r="K200" s="149"/>
      <c r="L200" s="149"/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W200" s="149"/>
      <c r="X200" s="149"/>
      <c r="Y200" s="149"/>
      <c r="Z200" s="149"/>
    </row>
    <row r="201" ht="11.25" customHeight="1">
      <c r="A201" s="149"/>
      <c r="B201" s="149"/>
      <c r="C201" s="149"/>
      <c r="D201" s="149"/>
      <c r="E201" s="149"/>
      <c r="F201" s="149"/>
      <c r="G201" s="149"/>
      <c r="H201" s="149"/>
      <c r="I201" s="149"/>
      <c r="J201" s="149"/>
      <c r="K201" s="149"/>
      <c r="L201" s="149"/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W201" s="149"/>
      <c r="X201" s="149"/>
      <c r="Y201" s="149"/>
      <c r="Z201" s="149"/>
    </row>
    <row r="202" ht="11.25" customHeight="1">
      <c r="A202" s="149"/>
      <c r="B202" s="149"/>
      <c r="C202" s="149"/>
      <c r="D202" s="149"/>
      <c r="E202" s="149"/>
      <c r="F202" s="149"/>
      <c r="G202" s="149"/>
      <c r="H202" s="149"/>
      <c r="I202" s="149"/>
      <c r="J202" s="149"/>
      <c r="K202" s="149"/>
      <c r="L202" s="149"/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W202" s="149"/>
      <c r="X202" s="149"/>
      <c r="Y202" s="149"/>
      <c r="Z202" s="149"/>
    </row>
    <row r="203" ht="11.25" customHeight="1">
      <c r="A203" s="149"/>
      <c r="B203" s="149"/>
      <c r="C203" s="149"/>
      <c r="D203" s="149"/>
      <c r="E203" s="149"/>
      <c r="F203" s="149"/>
      <c r="G203" s="149"/>
      <c r="H203" s="149"/>
      <c r="I203" s="149"/>
      <c r="J203" s="149"/>
      <c r="K203" s="149"/>
      <c r="L203" s="149"/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W203" s="149"/>
      <c r="X203" s="149"/>
      <c r="Y203" s="149"/>
      <c r="Z203" s="149"/>
    </row>
    <row r="204" ht="11.25" customHeight="1">
      <c r="A204" s="149"/>
      <c r="B204" s="149"/>
      <c r="C204" s="149"/>
      <c r="D204" s="149"/>
      <c r="E204" s="149"/>
      <c r="F204" s="149"/>
      <c r="G204" s="149"/>
      <c r="H204" s="149"/>
      <c r="I204" s="149"/>
      <c r="J204" s="149"/>
      <c r="K204" s="149"/>
      <c r="L204" s="149"/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W204" s="149"/>
      <c r="X204" s="149"/>
      <c r="Y204" s="149"/>
      <c r="Z204" s="149"/>
    </row>
    <row r="205" ht="11.25" customHeight="1">
      <c r="A205" s="149"/>
      <c r="B205" s="149"/>
      <c r="C205" s="149"/>
      <c r="D205" s="149"/>
      <c r="E205" s="149"/>
      <c r="F205" s="149"/>
      <c r="G205" s="149"/>
      <c r="H205" s="149"/>
      <c r="I205" s="149"/>
      <c r="J205" s="149"/>
      <c r="K205" s="149"/>
      <c r="L205" s="149"/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W205" s="149"/>
      <c r="X205" s="149"/>
      <c r="Y205" s="149"/>
      <c r="Z205" s="149"/>
    </row>
    <row r="206" ht="11.25" customHeight="1">
      <c r="A206" s="149"/>
      <c r="B206" s="149"/>
      <c r="C206" s="149"/>
      <c r="D206" s="149"/>
      <c r="E206" s="149"/>
      <c r="F206" s="149"/>
      <c r="G206" s="149"/>
      <c r="H206" s="149"/>
      <c r="I206" s="149"/>
      <c r="J206" s="149"/>
      <c r="K206" s="149"/>
      <c r="L206" s="149"/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W206" s="149"/>
      <c r="X206" s="149"/>
      <c r="Y206" s="149"/>
      <c r="Z206" s="149"/>
    </row>
    <row r="207" ht="11.25" customHeight="1">
      <c r="A207" s="149"/>
      <c r="B207" s="149"/>
      <c r="C207" s="149"/>
      <c r="D207" s="149"/>
      <c r="E207" s="149"/>
      <c r="F207" s="149"/>
      <c r="G207" s="149"/>
      <c r="H207" s="149"/>
      <c r="I207" s="149"/>
      <c r="J207" s="149"/>
      <c r="K207" s="149"/>
      <c r="L207" s="149"/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W207" s="149"/>
      <c r="X207" s="149"/>
      <c r="Y207" s="149"/>
      <c r="Z207" s="149"/>
    </row>
    <row r="208" ht="11.25" customHeight="1">
      <c r="A208" s="149"/>
      <c r="B208" s="149"/>
      <c r="C208" s="149"/>
      <c r="D208" s="149"/>
      <c r="E208" s="149"/>
      <c r="F208" s="149"/>
      <c r="G208" s="149"/>
      <c r="H208" s="149"/>
      <c r="I208" s="149"/>
      <c r="J208" s="149"/>
      <c r="K208" s="149"/>
      <c r="L208" s="149"/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W208" s="149"/>
      <c r="X208" s="149"/>
      <c r="Y208" s="149"/>
      <c r="Z208" s="149"/>
    </row>
    <row r="209" ht="11.25" customHeight="1">
      <c r="A209" s="149"/>
      <c r="B209" s="149"/>
      <c r="C209" s="149"/>
      <c r="D209" s="149"/>
      <c r="E209" s="149"/>
      <c r="F209" s="149"/>
      <c r="G209" s="149"/>
      <c r="H209" s="149"/>
      <c r="I209" s="149"/>
      <c r="J209" s="149"/>
      <c r="K209" s="149"/>
      <c r="L209" s="149"/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W209" s="149"/>
      <c r="X209" s="149"/>
      <c r="Y209" s="149"/>
      <c r="Z209" s="149"/>
    </row>
    <row r="210" ht="11.25" customHeight="1">
      <c r="A210" s="149"/>
      <c r="B210" s="149"/>
      <c r="C210" s="149"/>
      <c r="D210" s="149"/>
      <c r="E210" s="149"/>
      <c r="F210" s="149"/>
      <c r="G210" s="149"/>
      <c r="H210" s="149"/>
      <c r="I210" s="149"/>
      <c r="J210" s="149"/>
      <c r="K210" s="149"/>
      <c r="L210" s="149"/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W210" s="149"/>
      <c r="X210" s="149"/>
      <c r="Y210" s="149"/>
      <c r="Z210" s="149"/>
    </row>
    <row r="211" ht="11.25" customHeight="1">
      <c r="A211" s="149"/>
      <c r="B211" s="149"/>
      <c r="C211" s="149"/>
      <c r="D211" s="149"/>
      <c r="E211" s="149"/>
      <c r="F211" s="149"/>
      <c r="G211" s="149"/>
      <c r="H211" s="149"/>
      <c r="I211" s="149"/>
      <c r="J211" s="149"/>
      <c r="K211" s="149"/>
      <c r="L211" s="149"/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W211" s="149"/>
      <c r="X211" s="149"/>
      <c r="Y211" s="149"/>
      <c r="Z211" s="149"/>
    </row>
    <row r="212" ht="11.25" customHeight="1">
      <c r="A212" s="149"/>
      <c r="B212" s="149"/>
      <c r="C212" s="149"/>
      <c r="D212" s="149"/>
      <c r="E212" s="149"/>
      <c r="F212" s="149"/>
      <c r="G212" s="149"/>
      <c r="H212" s="149"/>
      <c r="I212" s="149"/>
      <c r="J212" s="149"/>
      <c r="K212" s="149"/>
      <c r="L212" s="149"/>
      <c r="M212" s="149"/>
      <c r="N212" s="149"/>
      <c r="O212" s="149"/>
      <c r="P212" s="149"/>
      <c r="Q212" s="149"/>
      <c r="R212" s="149"/>
      <c r="S212" s="149"/>
      <c r="T212" s="149"/>
      <c r="U212" s="149"/>
      <c r="V212" s="149"/>
      <c r="W212" s="149"/>
      <c r="X212" s="149"/>
      <c r="Y212" s="149"/>
      <c r="Z212" s="149"/>
    </row>
    <row r="213" ht="11.25" customHeight="1">
      <c r="A213" s="149"/>
      <c r="B213" s="149"/>
      <c r="C213" s="149"/>
      <c r="D213" s="149"/>
      <c r="E213" s="149"/>
      <c r="F213" s="149"/>
      <c r="G213" s="149"/>
      <c r="H213" s="149"/>
      <c r="I213" s="149"/>
      <c r="J213" s="149"/>
      <c r="K213" s="149"/>
      <c r="L213" s="149"/>
      <c r="M213" s="149"/>
      <c r="N213" s="149"/>
      <c r="O213" s="149"/>
      <c r="P213" s="149"/>
      <c r="Q213" s="149"/>
      <c r="R213" s="149"/>
      <c r="S213" s="149"/>
      <c r="T213" s="149"/>
      <c r="U213" s="149"/>
      <c r="V213" s="149"/>
      <c r="W213" s="149"/>
      <c r="X213" s="149"/>
      <c r="Y213" s="149"/>
      <c r="Z213" s="149"/>
    </row>
    <row r="214" ht="11.25" customHeight="1">
      <c r="A214" s="149"/>
      <c r="B214" s="149"/>
      <c r="C214" s="149"/>
      <c r="D214" s="149"/>
      <c r="E214" s="149"/>
      <c r="F214" s="149"/>
      <c r="G214" s="149"/>
      <c r="H214" s="149"/>
      <c r="I214" s="149"/>
      <c r="J214" s="149"/>
      <c r="K214" s="149"/>
      <c r="L214" s="149"/>
      <c r="M214" s="149"/>
      <c r="N214" s="149"/>
      <c r="O214" s="149"/>
      <c r="P214" s="149"/>
      <c r="Q214" s="149"/>
      <c r="R214" s="149"/>
      <c r="S214" s="149"/>
      <c r="T214" s="149"/>
      <c r="U214" s="149"/>
      <c r="V214" s="149"/>
      <c r="W214" s="149"/>
      <c r="X214" s="149"/>
      <c r="Y214" s="149"/>
      <c r="Z214" s="149"/>
    </row>
    <row r="215" ht="11.25" customHeight="1">
      <c r="A215" s="149"/>
      <c r="B215" s="149"/>
      <c r="C215" s="149"/>
      <c r="D215" s="149"/>
      <c r="E215" s="149"/>
      <c r="F215" s="149"/>
      <c r="G215" s="149"/>
      <c r="H215" s="149"/>
      <c r="I215" s="149"/>
      <c r="J215" s="149"/>
      <c r="K215" s="149"/>
      <c r="L215" s="149"/>
      <c r="M215" s="149"/>
      <c r="N215" s="149"/>
      <c r="O215" s="149"/>
      <c r="P215" s="149"/>
      <c r="Q215" s="149"/>
      <c r="R215" s="149"/>
      <c r="S215" s="149"/>
      <c r="T215" s="149"/>
      <c r="U215" s="149"/>
      <c r="V215" s="149"/>
      <c r="W215" s="149"/>
      <c r="X215" s="149"/>
      <c r="Y215" s="149"/>
      <c r="Z215" s="149"/>
    </row>
    <row r="216" ht="11.25" customHeight="1">
      <c r="A216" s="149"/>
      <c r="B216" s="149"/>
      <c r="C216" s="149"/>
      <c r="D216" s="149"/>
      <c r="E216" s="149"/>
      <c r="F216" s="149"/>
      <c r="G216" s="149"/>
      <c r="H216" s="149"/>
      <c r="I216" s="149"/>
      <c r="J216" s="149"/>
      <c r="K216" s="149"/>
      <c r="L216" s="149"/>
      <c r="M216" s="149"/>
      <c r="N216" s="149"/>
      <c r="O216" s="149"/>
      <c r="P216" s="149"/>
      <c r="Q216" s="149"/>
      <c r="R216" s="149"/>
      <c r="S216" s="149"/>
      <c r="T216" s="149"/>
      <c r="U216" s="149"/>
      <c r="V216" s="149"/>
      <c r="W216" s="149"/>
      <c r="X216" s="149"/>
      <c r="Y216" s="149"/>
      <c r="Z216" s="149"/>
    </row>
    <row r="217" ht="11.25" customHeight="1">
      <c r="A217" s="149"/>
      <c r="B217" s="149"/>
      <c r="C217" s="149"/>
      <c r="D217" s="149"/>
      <c r="E217" s="149"/>
      <c r="F217" s="149"/>
      <c r="G217" s="149"/>
      <c r="H217" s="149"/>
      <c r="I217" s="149"/>
      <c r="J217" s="149"/>
      <c r="K217" s="149"/>
      <c r="L217" s="149"/>
      <c r="M217" s="149"/>
      <c r="N217" s="149"/>
      <c r="O217" s="149"/>
      <c r="P217" s="149"/>
      <c r="Q217" s="149"/>
      <c r="R217" s="149"/>
      <c r="S217" s="149"/>
      <c r="T217" s="149"/>
      <c r="U217" s="149"/>
      <c r="V217" s="149"/>
      <c r="W217" s="149"/>
      <c r="X217" s="149"/>
      <c r="Y217" s="149"/>
      <c r="Z217" s="149"/>
    </row>
    <row r="218" ht="11.25" customHeight="1">
      <c r="A218" s="149"/>
      <c r="B218" s="149"/>
      <c r="C218" s="149"/>
      <c r="D218" s="149"/>
      <c r="E218" s="149"/>
      <c r="F218" s="149"/>
      <c r="G218" s="149"/>
      <c r="H218" s="149"/>
      <c r="I218" s="149"/>
      <c r="J218" s="149"/>
      <c r="K218" s="149"/>
      <c r="L218" s="149"/>
      <c r="M218" s="149"/>
      <c r="N218" s="149"/>
      <c r="O218" s="149"/>
      <c r="P218" s="149"/>
      <c r="Q218" s="149"/>
      <c r="R218" s="149"/>
      <c r="S218" s="149"/>
      <c r="T218" s="149"/>
      <c r="U218" s="149"/>
      <c r="V218" s="149"/>
      <c r="W218" s="149"/>
      <c r="X218" s="149"/>
      <c r="Y218" s="149"/>
      <c r="Z218" s="149"/>
    </row>
    <row r="219" ht="11.25" customHeight="1">
      <c r="A219" s="149"/>
      <c r="B219" s="149"/>
      <c r="C219" s="149"/>
      <c r="D219" s="149"/>
      <c r="E219" s="149"/>
      <c r="F219" s="149"/>
      <c r="G219" s="149"/>
      <c r="H219" s="149"/>
      <c r="I219" s="149"/>
      <c r="J219" s="149"/>
      <c r="K219" s="149"/>
      <c r="L219" s="149"/>
      <c r="M219" s="149"/>
      <c r="N219" s="149"/>
      <c r="O219" s="149"/>
      <c r="P219" s="149"/>
      <c r="Q219" s="149"/>
      <c r="R219" s="149"/>
      <c r="S219" s="149"/>
      <c r="T219" s="149"/>
      <c r="U219" s="149"/>
      <c r="V219" s="149"/>
      <c r="W219" s="149"/>
      <c r="X219" s="149"/>
      <c r="Y219" s="149"/>
      <c r="Z219" s="149"/>
    </row>
    <row r="220" ht="11.25" customHeight="1">
      <c r="A220" s="149"/>
      <c r="B220" s="149"/>
      <c r="C220" s="149"/>
      <c r="D220" s="149"/>
      <c r="E220" s="149"/>
      <c r="F220" s="149"/>
      <c r="G220" s="149"/>
      <c r="H220" s="149"/>
      <c r="I220" s="149"/>
      <c r="J220" s="149"/>
      <c r="K220" s="149"/>
      <c r="L220" s="149"/>
      <c r="M220" s="149"/>
      <c r="N220" s="149"/>
      <c r="O220" s="149"/>
      <c r="P220" s="149"/>
      <c r="Q220" s="149"/>
      <c r="R220" s="149"/>
      <c r="S220" s="149"/>
      <c r="T220" s="149"/>
      <c r="U220" s="149"/>
      <c r="V220" s="149"/>
      <c r="W220" s="149"/>
      <c r="X220" s="149"/>
      <c r="Y220" s="149"/>
      <c r="Z220" s="149"/>
    </row>
    <row r="221" ht="11.25" customHeight="1">
      <c r="A221" s="149"/>
      <c r="B221" s="149"/>
      <c r="C221" s="149"/>
      <c r="D221" s="149"/>
      <c r="E221" s="149"/>
      <c r="F221" s="149"/>
      <c r="G221" s="149"/>
      <c r="H221" s="149"/>
      <c r="I221" s="149"/>
      <c r="J221" s="149"/>
      <c r="K221" s="149"/>
      <c r="L221" s="149"/>
      <c r="M221" s="149"/>
      <c r="N221" s="149"/>
      <c r="O221" s="149"/>
      <c r="P221" s="149"/>
      <c r="Q221" s="149"/>
      <c r="R221" s="149"/>
      <c r="S221" s="149"/>
      <c r="T221" s="149"/>
      <c r="U221" s="149"/>
      <c r="V221" s="149"/>
      <c r="W221" s="149"/>
      <c r="X221" s="149"/>
      <c r="Y221" s="149"/>
      <c r="Z221" s="149"/>
    </row>
    <row r="222" ht="11.25" customHeight="1">
      <c r="A222" s="149"/>
      <c r="B222" s="149"/>
      <c r="C222" s="149"/>
      <c r="D222" s="149"/>
      <c r="E222" s="149"/>
      <c r="F222" s="149"/>
      <c r="G222" s="149"/>
      <c r="H222" s="149"/>
      <c r="I222" s="149"/>
      <c r="J222" s="149"/>
      <c r="K222" s="149"/>
      <c r="L222" s="149"/>
      <c r="M222" s="149"/>
      <c r="N222" s="149"/>
      <c r="O222" s="149"/>
      <c r="P222" s="149"/>
      <c r="Q222" s="149"/>
      <c r="R222" s="149"/>
      <c r="S222" s="149"/>
      <c r="T222" s="149"/>
      <c r="U222" s="149"/>
      <c r="V222" s="149"/>
      <c r="W222" s="149"/>
      <c r="X222" s="149"/>
      <c r="Y222" s="149"/>
      <c r="Z222" s="149"/>
    </row>
    <row r="223" ht="11.25" customHeight="1">
      <c r="A223" s="149"/>
      <c r="B223" s="149"/>
      <c r="C223" s="149"/>
      <c r="D223" s="149"/>
      <c r="E223" s="149"/>
      <c r="F223" s="149"/>
      <c r="G223" s="149"/>
      <c r="H223" s="149"/>
      <c r="I223" s="149"/>
      <c r="J223" s="149"/>
      <c r="K223" s="149"/>
      <c r="L223" s="149"/>
      <c r="M223" s="149"/>
      <c r="N223" s="149"/>
      <c r="O223" s="149"/>
      <c r="P223" s="149"/>
      <c r="Q223" s="149"/>
      <c r="R223" s="149"/>
      <c r="S223" s="149"/>
      <c r="T223" s="149"/>
      <c r="U223" s="149"/>
      <c r="V223" s="149"/>
      <c r="W223" s="149"/>
      <c r="X223" s="149"/>
      <c r="Y223" s="149"/>
      <c r="Z223" s="149"/>
    </row>
    <row r="224" ht="11.25" customHeight="1">
      <c r="A224" s="149"/>
      <c r="B224" s="149"/>
      <c r="C224" s="149"/>
      <c r="D224" s="149"/>
      <c r="E224" s="149"/>
      <c r="F224" s="149"/>
      <c r="G224" s="149"/>
      <c r="H224" s="149"/>
      <c r="I224" s="149"/>
      <c r="J224" s="149"/>
      <c r="K224" s="149"/>
      <c r="L224" s="149"/>
      <c r="M224" s="149"/>
      <c r="N224" s="149"/>
      <c r="O224" s="149"/>
      <c r="P224" s="149"/>
      <c r="Q224" s="149"/>
      <c r="R224" s="149"/>
      <c r="S224" s="149"/>
      <c r="T224" s="149"/>
      <c r="U224" s="149"/>
      <c r="V224" s="149"/>
      <c r="W224" s="149"/>
      <c r="X224" s="149"/>
      <c r="Y224" s="149"/>
      <c r="Z224" s="149"/>
    </row>
    <row r="225" ht="11.25" customHeight="1">
      <c r="A225" s="149"/>
      <c r="B225" s="149"/>
      <c r="C225" s="149"/>
      <c r="D225" s="149"/>
      <c r="E225" s="149"/>
      <c r="F225" s="149"/>
      <c r="G225" s="149"/>
      <c r="H225" s="149"/>
      <c r="I225" s="149"/>
      <c r="J225" s="149"/>
      <c r="K225" s="149"/>
      <c r="L225" s="149"/>
      <c r="M225" s="149"/>
      <c r="N225" s="149"/>
      <c r="O225" s="149"/>
      <c r="P225" s="149"/>
      <c r="Q225" s="149"/>
      <c r="R225" s="149"/>
      <c r="S225" s="149"/>
      <c r="T225" s="149"/>
      <c r="U225" s="149"/>
      <c r="V225" s="149"/>
      <c r="W225" s="149"/>
      <c r="X225" s="149"/>
      <c r="Y225" s="149"/>
      <c r="Z225" s="149"/>
    </row>
    <row r="226" ht="11.25" customHeight="1">
      <c r="A226" s="149"/>
      <c r="B226" s="149"/>
      <c r="C226" s="149"/>
      <c r="D226" s="149"/>
      <c r="E226" s="149"/>
      <c r="F226" s="149"/>
      <c r="G226" s="149"/>
      <c r="H226" s="149"/>
      <c r="I226" s="149"/>
      <c r="J226" s="149"/>
      <c r="K226" s="149"/>
      <c r="L226" s="149"/>
      <c r="M226" s="149"/>
      <c r="N226" s="149"/>
      <c r="O226" s="149"/>
      <c r="P226" s="149"/>
      <c r="Q226" s="149"/>
      <c r="R226" s="149"/>
      <c r="S226" s="149"/>
      <c r="T226" s="149"/>
      <c r="U226" s="149"/>
      <c r="V226" s="149"/>
      <c r="W226" s="149"/>
      <c r="X226" s="149"/>
      <c r="Y226" s="149"/>
      <c r="Z226" s="149"/>
    </row>
    <row r="227" ht="11.25" customHeight="1">
      <c r="A227" s="149"/>
      <c r="B227" s="149"/>
      <c r="C227" s="149"/>
      <c r="D227" s="149"/>
      <c r="E227" s="149"/>
      <c r="F227" s="149"/>
      <c r="G227" s="149"/>
      <c r="H227" s="149"/>
      <c r="I227" s="149"/>
      <c r="J227" s="149"/>
      <c r="K227" s="149"/>
      <c r="L227" s="149"/>
      <c r="M227" s="149"/>
      <c r="N227" s="149"/>
      <c r="O227" s="149"/>
      <c r="P227" s="149"/>
      <c r="Q227" s="149"/>
      <c r="R227" s="149"/>
      <c r="S227" s="149"/>
      <c r="T227" s="149"/>
      <c r="U227" s="149"/>
      <c r="V227" s="149"/>
      <c r="W227" s="149"/>
      <c r="X227" s="149"/>
      <c r="Y227" s="149"/>
      <c r="Z227" s="149"/>
    </row>
    <row r="228" ht="11.25" customHeight="1">
      <c r="A228" s="149"/>
      <c r="B228" s="149"/>
      <c r="C228" s="149"/>
      <c r="D228" s="149"/>
      <c r="E228" s="149"/>
      <c r="F228" s="149"/>
      <c r="G228" s="149"/>
      <c r="H228" s="149"/>
      <c r="I228" s="149"/>
      <c r="J228" s="149"/>
      <c r="K228" s="149"/>
      <c r="L228" s="149"/>
      <c r="M228" s="149"/>
      <c r="N228" s="149"/>
      <c r="O228" s="149"/>
      <c r="P228" s="149"/>
      <c r="Q228" s="149"/>
      <c r="R228" s="149"/>
      <c r="S228" s="149"/>
      <c r="T228" s="149"/>
      <c r="U228" s="149"/>
      <c r="V228" s="149"/>
      <c r="W228" s="149"/>
      <c r="X228" s="149"/>
      <c r="Y228" s="149"/>
      <c r="Z228" s="149"/>
    </row>
    <row r="229" ht="11.25" customHeight="1">
      <c r="A229" s="149"/>
      <c r="B229" s="149"/>
      <c r="C229" s="149"/>
      <c r="D229" s="149"/>
      <c r="E229" s="149"/>
      <c r="F229" s="149"/>
      <c r="G229" s="149"/>
      <c r="H229" s="149"/>
      <c r="I229" s="149"/>
      <c r="J229" s="149"/>
      <c r="K229" s="149"/>
      <c r="L229" s="149"/>
      <c r="M229" s="149"/>
      <c r="N229" s="149"/>
      <c r="O229" s="149"/>
      <c r="P229" s="149"/>
      <c r="Q229" s="149"/>
      <c r="R229" s="149"/>
      <c r="S229" s="149"/>
      <c r="T229" s="149"/>
      <c r="U229" s="149"/>
      <c r="V229" s="149"/>
      <c r="W229" s="149"/>
      <c r="X229" s="149"/>
      <c r="Y229" s="149"/>
      <c r="Z229" s="149"/>
    </row>
    <row r="230" ht="11.25" customHeight="1">
      <c r="A230" s="149"/>
      <c r="B230" s="149"/>
      <c r="C230" s="149"/>
      <c r="D230" s="149"/>
      <c r="E230" s="149"/>
      <c r="F230" s="149"/>
      <c r="G230" s="149"/>
      <c r="H230" s="149"/>
      <c r="I230" s="149"/>
      <c r="J230" s="149"/>
      <c r="K230" s="149"/>
      <c r="L230" s="149"/>
      <c r="M230" s="149"/>
      <c r="N230" s="149"/>
      <c r="O230" s="149"/>
      <c r="P230" s="149"/>
      <c r="Q230" s="149"/>
      <c r="R230" s="149"/>
      <c r="S230" s="149"/>
      <c r="T230" s="149"/>
      <c r="U230" s="149"/>
      <c r="V230" s="149"/>
      <c r="W230" s="149"/>
      <c r="X230" s="149"/>
      <c r="Y230" s="149"/>
      <c r="Z230" s="149"/>
    </row>
    <row r="231" ht="11.25" customHeight="1">
      <c r="A231" s="149"/>
      <c r="B231" s="149"/>
      <c r="C231" s="149"/>
      <c r="D231" s="149"/>
      <c r="E231" s="149"/>
      <c r="F231" s="149"/>
      <c r="G231" s="149"/>
      <c r="H231" s="149"/>
      <c r="I231" s="149"/>
      <c r="J231" s="149"/>
      <c r="K231" s="149"/>
      <c r="L231" s="149"/>
      <c r="M231" s="149"/>
      <c r="N231" s="149"/>
      <c r="O231" s="149"/>
      <c r="P231" s="149"/>
      <c r="Q231" s="149"/>
      <c r="R231" s="149"/>
      <c r="S231" s="149"/>
      <c r="T231" s="149"/>
      <c r="U231" s="149"/>
      <c r="V231" s="149"/>
      <c r="W231" s="149"/>
      <c r="X231" s="149"/>
      <c r="Y231" s="149"/>
      <c r="Z231" s="149"/>
    </row>
    <row r="232" ht="11.25" customHeight="1">
      <c r="A232" s="149"/>
      <c r="B232" s="149"/>
      <c r="C232" s="149"/>
      <c r="D232" s="149"/>
      <c r="E232" s="149"/>
      <c r="F232" s="149"/>
      <c r="G232" s="149"/>
      <c r="H232" s="149"/>
      <c r="I232" s="149"/>
      <c r="J232" s="149"/>
      <c r="K232" s="149"/>
      <c r="L232" s="149"/>
      <c r="M232" s="149"/>
      <c r="N232" s="149"/>
      <c r="O232" s="149"/>
      <c r="P232" s="149"/>
      <c r="Q232" s="149"/>
      <c r="R232" s="149"/>
      <c r="S232" s="149"/>
      <c r="T232" s="149"/>
      <c r="U232" s="149"/>
      <c r="V232" s="149"/>
      <c r="W232" s="149"/>
      <c r="X232" s="149"/>
      <c r="Y232" s="149"/>
      <c r="Z232" s="149"/>
    </row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7" footer="0.0" header="0.0" left="0.25" right="0.25" top="1.03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 fitToPage="1"/>
  </sheetPr>
  <sheetViews>
    <sheetView workbookViewId="0"/>
  </sheetViews>
  <sheetFormatPr customHeight="1" defaultColWidth="12.63" defaultRowHeight="15.0"/>
  <cols>
    <col customWidth="1" min="1" max="1" width="14.75"/>
    <col customWidth="1" min="2" max="2" width="7.63"/>
    <col customWidth="1" min="3" max="3" width="10.38"/>
    <col customWidth="1" min="4" max="4" width="7.63"/>
    <col customWidth="1" min="5" max="5" width="11.13"/>
    <col customWidth="1" min="6" max="6" width="11.63"/>
    <col customWidth="1" min="7" max="7" width="11.25"/>
    <col customWidth="1" min="8" max="8" width="9.13"/>
    <col customWidth="1" min="9" max="9" width="8.63"/>
    <col customWidth="1" min="10" max="10" width="8.0"/>
    <col customWidth="1" min="11" max="11" width="11.38"/>
    <col customWidth="1" min="12" max="12" width="12.13"/>
    <col customWidth="1" min="13" max="13" width="9.0"/>
    <col customWidth="1" min="14" max="14" width="12.13"/>
    <col customWidth="1" min="15" max="26" width="9.13"/>
  </cols>
  <sheetData>
    <row r="1" ht="11.25" customHeight="1">
      <c r="A1" s="186"/>
      <c r="B1" s="229" t="s">
        <v>582</v>
      </c>
      <c r="C1" s="230"/>
      <c r="D1" s="230"/>
      <c r="E1" s="230"/>
      <c r="F1" s="231"/>
      <c r="G1" s="232" t="s">
        <v>583</v>
      </c>
      <c r="H1" s="230"/>
      <c r="I1" s="230"/>
      <c r="J1" s="230"/>
      <c r="K1" s="230"/>
      <c r="L1" s="230"/>
      <c r="M1" s="230"/>
      <c r="N1" s="231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</row>
    <row r="2" ht="11.25" customHeight="1">
      <c r="A2" s="184" t="s">
        <v>515</v>
      </c>
      <c r="B2" s="184" t="s">
        <v>584</v>
      </c>
      <c r="C2" s="184" t="s">
        <v>568</v>
      </c>
      <c r="D2" s="184" t="s">
        <v>569</v>
      </c>
      <c r="E2" s="184" t="s">
        <v>585</v>
      </c>
      <c r="F2" s="184" t="s">
        <v>565</v>
      </c>
      <c r="G2" s="184" t="s">
        <v>584</v>
      </c>
      <c r="H2" s="184" t="s">
        <v>586</v>
      </c>
      <c r="I2" s="184" t="s">
        <v>43</v>
      </c>
      <c r="J2" s="184" t="s">
        <v>509</v>
      </c>
      <c r="K2" s="184" t="s">
        <v>587</v>
      </c>
      <c r="L2" s="184" t="s">
        <v>588</v>
      </c>
      <c r="M2" s="184" t="s">
        <v>581</v>
      </c>
      <c r="N2" s="184" t="s">
        <v>38</v>
      </c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</row>
    <row r="3" ht="11.25" customHeight="1">
      <c r="A3" s="233" t="s">
        <v>10</v>
      </c>
      <c r="B3" s="234"/>
      <c r="C3" s="234"/>
      <c r="D3" s="234"/>
      <c r="E3" s="235"/>
      <c r="F3" s="235"/>
      <c r="G3" s="234"/>
      <c r="H3" s="234"/>
      <c r="I3" s="234"/>
      <c r="J3" s="234"/>
      <c r="K3" s="235"/>
      <c r="L3" s="235"/>
      <c r="M3" s="235"/>
      <c r="N3" s="234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</row>
    <row r="4" ht="11.25" customHeight="1">
      <c r="A4" s="186" t="s">
        <v>543</v>
      </c>
      <c r="B4" s="191"/>
      <c r="C4" s="191"/>
      <c r="D4" s="236"/>
      <c r="E4" s="237"/>
      <c r="F4" s="237"/>
      <c r="G4" s="191"/>
      <c r="H4" s="191"/>
      <c r="I4" s="191"/>
      <c r="J4" s="236"/>
      <c r="K4" s="237"/>
      <c r="L4" s="237"/>
      <c r="M4" s="203"/>
      <c r="N4" s="238"/>
      <c r="O4" s="189"/>
      <c r="P4" s="189"/>
      <c r="Q4" s="189"/>
      <c r="R4" s="189"/>
      <c r="S4" s="189"/>
      <c r="T4" s="189"/>
      <c r="U4" s="189"/>
      <c r="V4" s="189"/>
      <c r="W4" s="189"/>
      <c r="X4" s="189"/>
      <c r="Y4" s="189"/>
      <c r="Z4" s="189"/>
    </row>
    <row r="5" ht="11.25" customHeight="1">
      <c r="A5" s="239" t="s">
        <v>544</v>
      </c>
      <c r="B5" s="191"/>
      <c r="C5" s="191"/>
      <c r="D5" s="236"/>
      <c r="E5" s="237"/>
      <c r="F5" s="237"/>
      <c r="G5" s="191"/>
      <c r="H5" s="191"/>
      <c r="I5" s="191"/>
      <c r="J5" s="236"/>
      <c r="K5" s="237"/>
      <c r="L5" s="237"/>
      <c r="M5" s="203"/>
      <c r="N5" s="240"/>
      <c r="O5" s="189"/>
      <c r="P5" s="189"/>
      <c r="Q5" s="189"/>
      <c r="R5" s="189"/>
      <c r="S5" s="189"/>
      <c r="T5" s="189"/>
      <c r="U5" s="189"/>
      <c r="V5" s="189"/>
      <c r="W5" s="189"/>
      <c r="X5" s="189"/>
      <c r="Y5" s="189"/>
      <c r="Z5" s="189"/>
    </row>
    <row r="6" ht="11.25" customHeight="1">
      <c r="A6" s="186" t="s">
        <v>545</v>
      </c>
      <c r="B6" s="191"/>
      <c r="C6" s="191"/>
      <c r="D6" s="236"/>
      <c r="E6" s="237"/>
      <c r="F6" s="237"/>
      <c r="G6" s="191"/>
      <c r="H6" s="191"/>
      <c r="I6" s="191"/>
      <c r="J6" s="236"/>
      <c r="K6" s="237"/>
      <c r="L6" s="237"/>
      <c r="M6" s="203"/>
      <c r="N6" s="238"/>
      <c r="O6" s="189"/>
      <c r="P6" s="189"/>
      <c r="Q6" s="189"/>
      <c r="R6" s="189"/>
      <c r="S6" s="189"/>
      <c r="T6" s="189"/>
      <c r="U6" s="189"/>
      <c r="V6" s="189"/>
      <c r="W6" s="189"/>
      <c r="X6" s="189"/>
      <c r="Y6" s="189"/>
      <c r="Z6" s="189"/>
    </row>
    <row r="7" ht="11.25" customHeight="1">
      <c r="A7" s="186" t="s">
        <v>589</v>
      </c>
      <c r="B7" s="191"/>
      <c r="C7" s="191"/>
      <c r="D7" s="236"/>
      <c r="E7" s="237"/>
      <c r="F7" s="237"/>
      <c r="G7" s="191"/>
      <c r="H7" s="191"/>
      <c r="I7" s="191"/>
      <c r="J7" s="236"/>
      <c r="K7" s="237"/>
      <c r="L7" s="237"/>
      <c r="M7" s="203"/>
      <c r="N7" s="238"/>
      <c r="O7" s="189"/>
      <c r="P7" s="189"/>
      <c r="Q7" s="189"/>
      <c r="R7" s="189"/>
      <c r="S7" s="189"/>
      <c r="T7" s="189"/>
      <c r="U7" s="189"/>
      <c r="V7" s="189"/>
      <c r="W7" s="189"/>
      <c r="X7" s="189"/>
      <c r="Y7" s="189"/>
      <c r="Z7" s="189"/>
    </row>
    <row r="8" ht="11.25" customHeight="1">
      <c r="A8" s="186" t="s">
        <v>547</v>
      </c>
      <c r="B8" s="191"/>
      <c r="C8" s="191"/>
      <c r="D8" s="236"/>
      <c r="E8" s="237"/>
      <c r="F8" s="237"/>
      <c r="G8" s="191"/>
      <c r="H8" s="191"/>
      <c r="I8" s="191"/>
      <c r="J8" s="236"/>
      <c r="K8" s="237"/>
      <c r="L8" s="237"/>
      <c r="M8" s="203"/>
      <c r="N8" s="238"/>
      <c r="O8" s="189"/>
      <c r="P8" s="189"/>
      <c r="Q8" s="189"/>
      <c r="R8" s="189"/>
      <c r="S8" s="189"/>
      <c r="T8" s="189"/>
      <c r="U8" s="189"/>
      <c r="V8" s="189"/>
      <c r="W8" s="189"/>
      <c r="X8" s="189"/>
      <c r="Y8" s="189"/>
      <c r="Z8" s="189"/>
    </row>
    <row r="9" ht="11.25" customHeight="1">
      <c r="A9" s="241" t="s">
        <v>541</v>
      </c>
      <c r="B9" s="242"/>
      <c r="C9" s="242"/>
      <c r="D9" s="243"/>
      <c r="E9" s="244"/>
      <c r="F9" s="244"/>
      <c r="G9" s="242"/>
      <c r="H9" s="242"/>
      <c r="I9" s="242"/>
      <c r="J9" s="243"/>
      <c r="K9" s="244"/>
      <c r="L9" s="244"/>
      <c r="M9" s="220"/>
      <c r="N9" s="245"/>
      <c r="O9" s="189"/>
      <c r="P9" s="189"/>
      <c r="Q9" s="189"/>
      <c r="R9" s="189"/>
      <c r="S9" s="189"/>
      <c r="T9" s="189"/>
      <c r="U9" s="189"/>
      <c r="V9" s="189"/>
      <c r="W9" s="189"/>
      <c r="X9" s="189"/>
      <c r="Y9" s="189"/>
      <c r="Z9" s="189"/>
    </row>
    <row r="10" ht="11.25" customHeight="1">
      <c r="A10" s="246"/>
      <c r="B10" s="247"/>
      <c r="C10" s="247"/>
      <c r="D10" s="248"/>
      <c r="E10" s="235"/>
      <c r="F10" s="235"/>
      <c r="G10" s="247"/>
      <c r="H10" s="247"/>
      <c r="I10" s="247"/>
      <c r="J10" s="248"/>
      <c r="K10" s="235"/>
      <c r="L10" s="235"/>
      <c r="M10" s="249"/>
      <c r="N10" s="250"/>
      <c r="O10" s="189"/>
      <c r="P10" s="189"/>
      <c r="Q10" s="189"/>
      <c r="R10" s="189"/>
      <c r="S10" s="189"/>
      <c r="T10" s="189"/>
      <c r="U10" s="189"/>
      <c r="V10" s="189"/>
      <c r="W10" s="189"/>
      <c r="X10" s="189"/>
      <c r="Y10" s="189"/>
      <c r="Z10" s="189"/>
    </row>
    <row r="11" ht="11.25" customHeight="1">
      <c r="A11" s="233" t="s">
        <v>13</v>
      </c>
      <c r="B11" s="247"/>
      <c r="C11" s="247"/>
      <c r="D11" s="234"/>
      <c r="E11" s="235"/>
      <c r="F11" s="235"/>
      <c r="G11" s="247"/>
      <c r="H11" s="247"/>
      <c r="I11" s="247"/>
      <c r="J11" s="234"/>
      <c r="K11" s="235"/>
      <c r="L11" s="235"/>
      <c r="M11" s="235"/>
      <c r="N11" s="234"/>
      <c r="O11" s="189"/>
      <c r="P11" s="189"/>
      <c r="Q11" s="189"/>
      <c r="R11" s="189"/>
      <c r="S11" s="189"/>
      <c r="T11" s="189"/>
      <c r="U11" s="189"/>
      <c r="V11" s="189"/>
      <c r="W11" s="189"/>
      <c r="X11" s="189"/>
      <c r="Y11" s="189"/>
      <c r="Z11" s="189"/>
    </row>
    <row r="12" ht="11.25" customHeight="1">
      <c r="A12" s="186" t="s">
        <v>522</v>
      </c>
      <c r="B12" s="191"/>
      <c r="C12" s="191"/>
      <c r="D12" s="236"/>
      <c r="E12" s="237"/>
      <c r="F12" s="237"/>
      <c r="G12" s="191"/>
      <c r="H12" s="191"/>
      <c r="I12" s="191"/>
      <c r="J12" s="236"/>
      <c r="K12" s="237"/>
      <c r="L12" s="237"/>
      <c r="M12" s="237"/>
      <c r="N12" s="238"/>
      <c r="O12" s="189"/>
      <c r="P12" s="189"/>
      <c r="Q12" s="189"/>
      <c r="R12" s="189"/>
      <c r="S12" s="189"/>
      <c r="T12" s="189"/>
      <c r="U12" s="189"/>
      <c r="V12" s="189"/>
      <c r="W12" s="189"/>
      <c r="X12" s="189"/>
      <c r="Y12" s="189"/>
      <c r="Z12" s="189"/>
    </row>
    <row r="13" ht="11.25" customHeight="1">
      <c r="A13" s="186" t="s">
        <v>523</v>
      </c>
      <c r="B13" s="191"/>
      <c r="C13" s="191"/>
      <c r="D13" s="236"/>
      <c r="E13" s="237"/>
      <c r="F13" s="237"/>
      <c r="G13" s="191"/>
      <c r="H13" s="191"/>
      <c r="I13" s="191"/>
      <c r="J13" s="236"/>
      <c r="K13" s="237"/>
      <c r="L13" s="237"/>
      <c r="M13" s="237"/>
      <c r="N13" s="238"/>
      <c r="O13" s="189"/>
      <c r="P13" s="189"/>
      <c r="Q13" s="189"/>
      <c r="R13" s="189"/>
      <c r="S13" s="189"/>
      <c r="T13" s="189"/>
      <c r="U13" s="189"/>
      <c r="V13" s="189"/>
      <c r="W13" s="189"/>
      <c r="X13" s="189"/>
      <c r="Y13" s="189"/>
      <c r="Z13" s="189"/>
    </row>
    <row r="14" ht="11.25" customHeight="1">
      <c r="A14" s="200" t="s">
        <v>524</v>
      </c>
      <c r="B14" s="191"/>
      <c r="C14" s="191"/>
      <c r="D14" s="236"/>
      <c r="E14" s="237"/>
      <c r="F14" s="237"/>
      <c r="G14" s="191"/>
      <c r="H14" s="191"/>
      <c r="I14" s="191"/>
      <c r="J14" s="236"/>
      <c r="K14" s="237"/>
      <c r="L14" s="237"/>
      <c r="M14" s="237"/>
      <c r="N14" s="238"/>
      <c r="O14" s="189"/>
      <c r="P14" s="189"/>
      <c r="Q14" s="189"/>
      <c r="R14" s="189"/>
      <c r="S14" s="189"/>
      <c r="T14" s="189"/>
      <c r="U14" s="189"/>
      <c r="V14" s="189"/>
      <c r="W14" s="189"/>
      <c r="X14" s="189"/>
      <c r="Y14" s="189"/>
      <c r="Z14" s="189"/>
    </row>
    <row r="15" ht="11.25" customHeight="1">
      <c r="A15" s="200" t="s">
        <v>525</v>
      </c>
      <c r="B15" s="191"/>
      <c r="C15" s="191"/>
      <c r="D15" s="236"/>
      <c r="E15" s="237"/>
      <c r="F15" s="237"/>
      <c r="G15" s="191"/>
      <c r="H15" s="191"/>
      <c r="I15" s="191"/>
      <c r="J15" s="236"/>
      <c r="K15" s="237"/>
      <c r="L15" s="237"/>
      <c r="M15" s="203"/>
      <c r="N15" s="238"/>
      <c r="O15" s="189"/>
      <c r="P15" s="189"/>
      <c r="Q15" s="189"/>
      <c r="R15" s="189"/>
      <c r="S15" s="189"/>
      <c r="T15" s="189"/>
      <c r="U15" s="189"/>
      <c r="V15" s="189"/>
      <c r="W15" s="189"/>
      <c r="X15" s="189"/>
      <c r="Y15" s="189"/>
      <c r="Z15" s="189"/>
    </row>
    <row r="16" ht="11.25" customHeight="1">
      <c r="A16" s="186" t="s">
        <v>526</v>
      </c>
      <c r="B16" s="191"/>
      <c r="C16" s="191"/>
      <c r="D16" s="236"/>
      <c r="E16" s="237"/>
      <c r="F16" s="237"/>
      <c r="G16" s="191"/>
      <c r="H16" s="191"/>
      <c r="I16" s="191"/>
      <c r="J16" s="236"/>
      <c r="K16" s="237"/>
      <c r="L16" s="237"/>
      <c r="M16" s="203"/>
      <c r="N16" s="238"/>
      <c r="O16" s="189"/>
      <c r="P16" s="189"/>
      <c r="Q16" s="189"/>
      <c r="R16" s="189"/>
      <c r="S16" s="189"/>
      <c r="T16" s="189"/>
      <c r="U16" s="189"/>
      <c r="V16" s="189"/>
      <c r="W16" s="189"/>
      <c r="X16" s="189"/>
      <c r="Y16" s="189"/>
      <c r="Z16" s="189"/>
    </row>
    <row r="17" ht="11.25" customHeight="1">
      <c r="A17" s="186" t="s">
        <v>529</v>
      </c>
      <c r="B17" s="191"/>
      <c r="C17" s="191"/>
      <c r="D17" s="236"/>
      <c r="E17" s="237"/>
      <c r="F17" s="237"/>
      <c r="G17" s="191"/>
      <c r="H17" s="191"/>
      <c r="I17" s="191"/>
      <c r="J17" s="236"/>
      <c r="K17" s="237"/>
      <c r="L17" s="237"/>
      <c r="M17" s="203"/>
      <c r="N17" s="238"/>
      <c r="O17" s="189"/>
      <c r="P17" s="189"/>
      <c r="Q17" s="189"/>
      <c r="R17" s="189"/>
      <c r="S17" s="189"/>
      <c r="T17" s="189"/>
      <c r="U17" s="189"/>
      <c r="V17" s="189"/>
      <c r="W17" s="189"/>
      <c r="X17" s="189"/>
      <c r="Y17" s="189"/>
      <c r="Z17" s="189"/>
    </row>
    <row r="18" ht="11.25" customHeight="1">
      <c r="A18" s="186" t="s">
        <v>527</v>
      </c>
      <c r="B18" s="191"/>
      <c r="C18" s="191"/>
      <c r="D18" s="236"/>
      <c r="E18" s="237"/>
      <c r="F18" s="237"/>
      <c r="G18" s="191"/>
      <c r="H18" s="191"/>
      <c r="I18" s="191"/>
      <c r="J18" s="236"/>
      <c r="K18" s="237"/>
      <c r="L18" s="237"/>
      <c r="M18" s="203"/>
      <c r="N18" s="238"/>
      <c r="O18" s="189"/>
      <c r="P18" s="189"/>
      <c r="Q18" s="189"/>
      <c r="R18" s="189"/>
      <c r="S18" s="189"/>
      <c r="T18" s="189"/>
      <c r="U18" s="189"/>
      <c r="V18" s="189"/>
      <c r="W18" s="189"/>
      <c r="X18" s="189"/>
      <c r="Y18" s="189"/>
      <c r="Z18" s="189"/>
    </row>
    <row r="19" ht="11.25" customHeight="1">
      <c r="A19" s="200" t="s">
        <v>528</v>
      </c>
      <c r="B19" s="191"/>
      <c r="C19" s="191"/>
      <c r="D19" s="236"/>
      <c r="E19" s="237"/>
      <c r="F19" s="237"/>
      <c r="G19" s="191"/>
      <c r="H19" s="191"/>
      <c r="I19" s="191"/>
      <c r="J19" s="236"/>
      <c r="K19" s="237"/>
      <c r="L19" s="237"/>
      <c r="M19" s="203"/>
      <c r="N19" s="238"/>
      <c r="O19" s="189"/>
      <c r="P19" s="189"/>
      <c r="Q19" s="189"/>
      <c r="R19" s="189"/>
      <c r="S19" s="189"/>
      <c r="T19" s="189"/>
      <c r="U19" s="189"/>
      <c r="V19" s="189"/>
      <c r="W19" s="189"/>
      <c r="X19" s="189"/>
      <c r="Y19" s="189"/>
      <c r="Z19" s="189"/>
    </row>
    <row r="20" ht="11.25" customHeight="1">
      <c r="A20" s="239" t="s">
        <v>530</v>
      </c>
      <c r="B20" s="191"/>
      <c r="C20" s="191"/>
      <c r="D20" s="236"/>
      <c r="E20" s="237"/>
      <c r="F20" s="237"/>
      <c r="G20" s="191"/>
      <c r="H20" s="191"/>
      <c r="I20" s="191"/>
      <c r="J20" s="236"/>
      <c r="K20" s="237"/>
      <c r="L20" s="237"/>
      <c r="M20" s="203"/>
      <c r="N20" s="240"/>
      <c r="O20" s="189"/>
      <c r="P20" s="189"/>
      <c r="Q20" s="189"/>
      <c r="R20" s="189"/>
      <c r="S20" s="189"/>
      <c r="T20" s="189"/>
      <c r="U20" s="189"/>
      <c r="V20" s="189"/>
      <c r="W20" s="189"/>
      <c r="X20" s="189"/>
      <c r="Y20" s="189"/>
      <c r="Z20" s="189"/>
    </row>
    <row r="21" ht="11.25" customHeight="1">
      <c r="A21" s="186" t="s">
        <v>531</v>
      </c>
      <c r="B21" s="191"/>
      <c r="C21" s="191"/>
      <c r="D21" s="236"/>
      <c r="E21" s="237"/>
      <c r="F21" s="237"/>
      <c r="G21" s="191"/>
      <c r="H21" s="191"/>
      <c r="I21" s="191"/>
      <c r="J21" s="236"/>
      <c r="K21" s="237"/>
      <c r="L21" s="237"/>
      <c r="M21" s="203"/>
      <c r="N21" s="238"/>
      <c r="O21" s="189"/>
      <c r="P21" s="189"/>
      <c r="Q21" s="189"/>
      <c r="R21" s="189"/>
      <c r="S21" s="189"/>
      <c r="T21" s="189"/>
      <c r="U21" s="189"/>
      <c r="V21" s="189"/>
      <c r="W21" s="189"/>
      <c r="X21" s="189"/>
      <c r="Y21" s="189"/>
      <c r="Z21" s="189"/>
    </row>
    <row r="22" ht="11.25" customHeight="1">
      <c r="A22" s="186" t="s">
        <v>532</v>
      </c>
      <c r="B22" s="191"/>
      <c r="C22" s="191"/>
      <c r="D22" s="236"/>
      <c r="E22" s="237"/>
      <c r="F22" s="237"/>
      <c r="G22" s="191"/>
      <c r="H22" s="191"/>
      <c r="I22" s="191"/>
      <c r="J22" s="236"/>
      <c r="K22" s="237"/>
      <c r="L22" s="237"/>
      <c r="M22" s="203"/>
      <c r="N22" s="238"/>
      <c r="O22" s="189"/>
      <c r="P22" s="189"/>
      <c r="Q22" s="189"/>
      <c r="R22" s="189"/>
      <c r="S22" s="189"/>
      <c r="T22" s="189"/>
      <c r="U22" s="189"/>
      <c r="V22" s="189"/>
      <c r="W22" s="189"/>
      <c r="X22" s="189"/>
      <c r="Y22" s="189"/>
      <c r="Z22" s="189"/>
    </row>
    <row r="23" ht="11.25" customHeight="1">
      <c r="A23" s="186" t="s">
        <v>533</v>
      </c>
      <c r="B23" s="191"/>
      <c r="C23" s="191"/>
      <c r="D23" s="236"/>
      <c r="E23" s="237"/>
      <c r="F23" s="237"/>
      <c r="G23" s="191"/>
      <c r="H23" s="191"/>
      <c r="I23" s="191"/>
      <c r="J23" s="236"/>
      <c r="K23" s="237"/>
      <c r="L23" s="237"/>
      <c r="M23" s="203"/>
      <c r="N23" s="238"/>
      <c r="O23" s="189"/>
      <c r="P23" s="189"/>
      <c r="Q23" s="189"/>
      <c r="R23" s="189"/>
      <c r="S23" s="189"/>
      <c r="T23" s="189"/>
      <c r="U23" s="189"/>
      <c r="V23" s="189"/>
      <c r="W23" s="189"/>
      <c r="X23" s="189"/>
      <c r="Y23" s="189"/>
      <c r="Z23" s="189"/>
    </row>
    <row r="24" ht="11.25" customHeight="1">
      <c r="A24" s="186" t="s">
        <v>534</v>
      </c>
      <c r="B24" s="191"/>
      <c r="C24" s="191"/>
      <c r="D24" s="236"/>
      <c r="E24" s="237"/>
      <c r="F24" s="237"/>
      <c r="G24" s="191"/>
      <c r="H24" s="191"/>
      <c r="I24" s="191"/>
      <c r="J24" s="236"/>
      <c r="K24" s="237"/>
      <c r="L24" s="237"/>
      <c r="M24" s="203"/>
      <c r="N24" s="238"/>
      <c r="O24" s="189"/>
      <c r="P24" s="189"/>
      <c r="Q24" s="189"/>
      <c r="R24" s="189"/>
      <c r="S24" s="189"/>
      <c r="T24" s="189"/>
      <c r="U24" s="189"/>
      <c r="V24" s="189"/>
      <c r="W24" s="189"/>
      <c r="X24" s="189"/>
      <c r="Y24" s="189"/>
      <c r="Z24" s="189"/>
    </row>
    <row r="25" ht="11.25" customHeight="1">
      <c r="A25" s="239" t="s">
        <v>535</v>
      </c>
      <c r="B25" s="191"/>
      <c r="C25" s="191"/>
      <c r="D25" s="236"/>
      <c r="E25" s="237"/>
      <c r="F25" s="237"/>
      <c r="G25" s="191"/>
      <c r="H25" s="191"/>
      <c r="I25" s="191"/>
      <c r="J25" s="236"/>
      <c r="K25" s="237"/>
      <c r="L25" s="237"/>
      <c r="M25" s="203"/>
      <c r="N25" s="240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</row>
    <row r="26" ht="11.25" customHeight="1">
      <c r="A26" s="186" t="s">
        <v>536</v>
      </c>
      <c r="B26" s="191"/>
      <c r="C26" s="191"/>
      <c r="D26" s="236"/>
      <c r="E26" s="237"/>
      <c r="F26" s="237"/>
      <c r="G26" s="191"/>
      <c r="H26" s="191"/>
      <c r="I26" s="191"/>
      <c r="J26" s="236"/>
      <c r="K26" s="237"/>
      <c r="L26" s="237"/>
      <c r="M26" s="203"/>
      <c r="N26" s="238"/>
      <c r="O26" s="189"/>
      <c r="P26" s="189"/>
      <c r="Q26" s="189"/>
      <c r="R26" s="189"/>
      <c r="S26" s="189"/>
      <c r="T26" s="189"/>
      <c r="U26" s="189"/>
      <c r="V26" s="189"/>
      <c r="W26" s="189"/>
      <c r="X26" s="189"/>
      <c r="Y26" s="189"/>
      <c r="Z26" s="189"/>
    </row>
    <row r="27" ht="11.25" customHeight="1">
      <c r="A27" s="186" t="s">
        <v>537</v>
      </c>
      <c r="B27" s="191"/>
      <c r="C27" s="191"/>
      <c r="D27" s="236"/>
      <c r="E27" s="237"/>
      <c r="F27" s="237"/>
      <c r="G27" s="191"/>
      <c r="H27" s="191"/>
      <c r="I27" s="191"/>
      <c r="J27" s="236"/>
      <c r="K27" s="237"/>
      <c r="L27" s="237"/>
      <c r="M27" s="203"/>
      <c r="N27" s="238"/>
      <c r="O27" s="189"/>
      <c r="P27" s="189"/>
      <c r="Q27" s="189"/>
      <c r="R27" s="189"/>
      <c r="S27" s="189"/>
      <c r="T27" s="189"/>
      <c r="U27" s="189"/>
      <c r="V27" s="189"/>
      <c r="W27" s="189"/>
      <c r="X27" s="189"/>
      <c r="Y27" s="189"/>
      <c r="Z27" s="189"/>
    </row>
    <row r="28" ht="11.25" customHeight="1">
      <c r="A28" s="186" t="s">
        <v>538</v>
      </c>
      <c r="B28" s="191"/>
      <c r="C28" s="191"/>
      <c r="D28" s="236"/>
      <c r="E28" s="237"/>
      <c r="F28" s="237"/>
      <c r="G28" s="191"/>
      <c r="H28" s="191"/>
      <c r="I28" s="191"/>
      <c r="J28" s="236"/>
      <c r="K28" s="237"/>
      <c r="L28" s="237"/>
      <c r="M28" s="203"/>
      <c r="N28" s="238"/>
      <c r="O28" s="189"/>
      <c r="P28" s="189"/>
      <c r="Q28" s="189"/>
      <c r="R28" s="189"/>
      <c r="S28" s="189"/>
      <c r="T28" s="189"/>
      <c r="U28" s="189"/>
      <c r="V28" s="189"/>
      <c r="W28" s="189"/>
      <c r="X28" s="189"/>
      <c r="Y28" s="189"/>
      <c r="Z28" s="189"/>
    </row>
    <row r="29" ht="11.25" customHeight="1">
      <c r="A29" s="241" t="s">
        <v>541</v>
      </c>
      <c r="B29" s="242"/>
      <c r="C29" s="242"/>
      <c r="D29" s="243"/>
      <c r="E29" s="244"/>
      <c r="F29" s="244"/>
      <c r="G29" s="242"/>
      <c r="H29" s="242"/>
      <c r="I29" s="242"/>
      <c r="J29" s="243"/>
      <c r="K29" s="244"/>
      <c r="L29" s="244"/>
      <c r="M29" s="220"/>
      <c r="N29" s="245"/>
      <c r="O29" s="189"/>
      <c r="P29" s="189"/>
      <c r="Q29" s="189"/>
      <c r="R29" s="189"/>
      <c r="S29" s="189"/>
      <c r="T29" s="189"/>
      <c r="U29" s="189"/>
      <c r="V29" s="189"/>
      <c r="W29" s="189"/>
      <c r="X29" s="189"/>
      <c r="Y29" s="189"/>
      <c r="Z29" s="189"/>
    </row>
    <row r="30" ht="11.25" customHeight="1">
      <c r="A30" s="189"/>
      <c r="B30" s="251"/>
      <c r="C30" s="251"/>
      <c r="D30" s="252"/>
      <c r="E30" s="189"/>
      <c r="F30" s="251"/>
      <c r="G30" s="189"/>
      <c r="H30" s="189"/>
      <c r="I30" s="189"/>
      <c r="J30" s="189"/>
      <c r="K30" s="189"/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  <c r="Y30" s="189"/>
      <c r="Z30" s="189"/>
    </row>
    <row r="31" ht="11.25" customHeight="1">
      <c r="A31" s="189"/>
      <c r="B31" s="251"/>
      <c r="C31" s="251"/>
      <c r="D31" s="252"/>
      <c r="E31" s="189"/>
      <c r="F31" s="251"/>
      <c r="G31" s="189"/>
      <c r="H31" s="189"/>
      <c r="I31" s="189"/>
      <c r="J31" s="189"/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  <c r="Y31" s="189"/>
      <c r="Z31" s="189"/>
    </row>
    <row r="32" ht="11.25" customHeight="1">
      <c r="A32" s="189"/>
      <c r="B32" s="251"/>
      <c r="C32" s="251"/>
      <c r="D32" s="252"/>
      <c r="E32" s="189"/>
      <c r="F32" s="251"/>
      <c r="G32" s="189"/>
      <c r="H32" s="189"/>
      <c r="I32" s="189"/>
      <c r="J32" s="189"/>
      <c r="K32" s="189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  <c r="Y32" s="189"/>
      <c r="Z32" s="189"/>
    </row>
    <row r="33" ht="11.25" customHeight="1">
      <c r="A33" s="189"/>
      <c r="B33" s="251"/>
      <c r="C33" s="251"/>
      <c r="D33" s="252"/>
      <c r="E33" s="189"/>
      <c r="F33" s="251"/>
      <c r="G33" s="189"/>
      <c r="H33" s="189"/>
      <c r="I33" s="189"/>
      <c r="J33" s="189"/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  <c r="X33" s="189"/>
      <c r="Y33" s="189"/>
      <c r="Z33" s="189"/>
    </row>
    <row r="34" ht="11.25" customHeight="1">
      <c r="A34" s="189"/>
      <c r="B34" s="251"/>
      <c r="C34" s="251"/>
      <c r="D34" s="252"/>
      <c r="E34" s="189"/>
      <c r="F34" s="251"/>
      <c r="G34" s="189"/>
      <c r="H34" s="189"/>
      <c r="I34" s="189"/>
      <c r="J34" s="189"/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  <c r="Y34" s="189"/>
      <c r="Z34" s="189"/>
    </row>
    <row r="35" ht="11.25" customHeight="1">
      <c r="A35" s="189"/>
      <c r="B35" s="251"/>
      <c r="C35" s="251"/>
      <c r="D35" s="252"/>
      <c r="E35" s="189"/>
      <c r="F35" s="251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</row>
    <row r="36" ht="11.25" customHeight="1">
      <c r="A36" s="189"/>
      <c r="B36" s="251"/>
      <c r="C36" s="251"/>
      <c r="D36" s="252"/>
      <c r="E36" s="189"/>
      <c r="F36" s="251"/>
      <c r="G36" s="189"/>
      <c r="H36" s="189"/>
      <c r="I36" s="189"/>
      <c r="J36" s="189"/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  <c r="Y36" s="189"/>
      <c r="Z36" s="189"/>
    </row>
    <row r="37" ht="11.25" customHeight="1">
      <c r="A37" s="189"/>
      <c r="B37" s="251"/>
      <c r="C37" s="251"/>
      <c r="D37" s="252"/>
      <c r="E37" s="189"/>
      <c r="F37" s="251"/>
      <c r="G37" s="189"/>
      <c r="H37" s="189"/>
      <c r="I37" s="189"/>
      <c r="J37" s="189"/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  <c r="Y37" s="189"/>
      <c r="Z37" s="189"/>
    </row>
    <row r="38" ht="11.25" customHeight="1">
      <c r="A38" s="189"/>
      <c r="B38" s="251"/>
      <c r="C38" s="251"/>
      <c r="D38" s="252"/>
      <c r="E38" s="189"/>
      <c r="F38" s="251"/>
      <c r="G38" s="189"/>
      <c r="H38" s="189"/>
      <c r="I38" s="189"/>
      <c r="J38" s="189"/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  <c r="Y38" s="189"/>
      <c r="Z38" s="189"/>
    </row>
    <row r="39" ht="11.25" customHeight="1">
      <c r="A39" s="189"/>
      <c r="B39" s="251"/>
      <c r="C39" s="251"/>
      <c r="D39" s="252"/>
      <c r="E39" s="189"/>
      <c r="F39" s="251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</row>
    <row r="40" ht="11.25" customHeight="1">
      <c r="A40" s="189"/>
      <c r="B40" s="251"/>
      <c r="C40" s="251"/>
      <c r="D40" s="252"/>
      <c r="E40" s="189"/>
      <c r="F40" s="251"/>
      <c r="G40" s="189"/>
      <c r="H40" s="189"/>
      <c r="I40" s="189"/>
      <c r="J40" s="189"/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  <c r="Y40" s="189"/>
      <c r="Z40" s="189"/>
    </row>
    <row r="41" ht="11.25" customHeight="1">
      <c r="A41" s="189"/>
      <c r="B41" s="251"/>
      <c r="C41" s="251"/>
      <c r="D41" s="252"/>
      <c r="E41" s="189"/>
      <c r="F41" s="251"/>
      <c r="G41" s="189"/>
      <c r="H41" s="189"/>
      <c r="I41" s="189"/>
      <c r="J41" s="189"/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  <c r="Y41" s="189"/>
      <c r="Z41" s="189"/>
    </row>
    <row r="42" ht="11.25" customHeight="1">
      <c r="A42" s="189"/>
      <c r="B42" s="251"/>
      <c r="C42" s="251"/>
      <c r="D42" s="252"/>
      <c r="E42" s="189"/>
      <c r="F42" s="251"/>
      <c r="G42" s="189"/>
      <c r="H42" s="189"/>
      <c r="I42" s="189"/>
      <c r="J42" s="189"/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  <c r="Y42" s="189"/>
      <c r="Z42" s="189"/>
    </row>
    <row r="43" ht="11.25" customHeight="1">
      <c r="A43" s="189"/>
      <c r="B43" s="251"/>
      <c r="C43" s="251"/>
      <c r="D43" s="252"/>
      <c r="E43" s="189"/>
      <c r="F43" s="251"/>
      <c r="G43" s="189"/>
      <c r="H43" s="189"/>
      <c r="I43" s="189"/>
      <c r="J43" s="189"/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  <c r="Y43" s="189"/>
      <c r="Z43" s="189"/>
    </row>
    <row r="44" ht="11.25" customHeight="1">
      <c r="A44" s="189"/>
      <c r="B44" s="251"/>
      <c r="C44" s="251"/>
      <c r="D44" s="252"/>
      <c r="E44" s="189"/>
      <c r="F44" s="251"/>
      <c r="G44" s="189"/>
      <c r="H44" s="189"/>
      <c r="I44" s="189"/>
      <c r="J44" s="189"/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  <c r="Y44" s="189"/>
      <c r="Z44" s="189"/>
    </row>
    <row r="45" ht="11.25" customHeight="1">
      <c r="A45" s="189"/>
      <c r="B45" s="251"/>
      <c r="C45" s="251"/>
      <c r="D45" s="252"/>
      <c r="E45" s="189"/>
      <c r="F45" s="251"/>
      <c r="G45" s="189"/>
      <c r="H45" s="189"/>
      <c r="I45" s="189"/>
      <c r="J45" s="189"/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  <c r="Y45" s="189"/>
      <c r="Z45" s="189"/>
    </row>
    <row r="46" ht="11.25" customHeight="1">
      <c r="A46" s="189"/>
      <c r="B46" s="251"/>
      <c r="C46" s="251"/>
      <c r="D46" s="252"/>
      <c r="E46" s="189"/>
      <c r="F46" s="251"/>
      <c r="G46" s="189"/>
      <c r="H46" s="189"/>
      <c r="I46" s="189"/>
      <c r="J46" s="189"/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  <c r="Y46" s="189"/>
      <c r="Z46" s="189"/>
    </row>
    <row r="47" ht="11.25" customHeight="1">
      <c r="A47" s="189"/>
      <c r="B47" s="251"/>
      <c r="C47" s="251"/>
      <c r="D47" s="252"/>
      <c r="E47" s="189"/>
      <c r="F47" s="251"/>
      <c r="G47" s="189"/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  <c r="Y47" s="189"/>
      <c r="Z47" s="189"/>
    </row>
    <row r="48" ht="11.25" customHeight="1">
      <c r="A48" s="189"/>
      <c r="B48" s="251"/>
      <c r="C48" s="251"/>
      <c r="D48" s="252"/>
      <c r="E48" s="189"/>
      <c r="F48" s="251"/>
      <c r="G48" s="189"/>
      <c r="H48" s="189"/>
      <c r="I48" s="189"/>
      <c r="J48" s="189"/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  <c r="Y48" s="189"/>
      <c r="Z48" s="189"/>
    </row>
    <row r="49" ht="11.25" customHeight="1">
      <c r="A49" s="189"/>
      <c r="B49" s="251"/>
      <c r="C49" s="251"/>
      <c r="D49" s="252"/>
      <c r="E49" s="189"/>
      <c r="F49" s="251"/>
      <c r="G49" s="189"/>
      <c r="H49" s="189"/>
      <c r="I49" s="189"/>
      <c r="J49" s="189"/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  <c r="Y49" s="189"/>
      <c r="Z49" s="189"/>
    </row>
    <row r="50" ht="11.25" customHeight="1">
      <c r="A50" s="189"/>
      <c r="B50" s="251"/>
      <c r="C50" s="251"/>
      <c r="D50" s="252"/>
      <c r="E50" s="189"/>
      <c r="F50" s="251"/>
      <c r="G50" s="189"/>
      <c r="H50" s="189"/>
      <c r="I50" s="189"/>
      <c r="J50" s="189"/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  <c r="Y50" s="189"/>
      <c r="Z50" s="189"/>
    </row>
    <row r="51" ht="11.25" customHeight="1">
      <c r="A51" s="189"/>
      <c r="B51" s="251"/>
      <c r="C51" s="251"/>
      <c r="D51" s="252"/>
      <c r="E51" s="189"/>
      <c r="F51" s="251"/>
      <c r="G51" s="189"/>
      <c r="H51" s="189"/>
      <c r="I51" s="189"/>
      <c r="J51" s="189"/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  <c r="Y51" s="189"/>
      <c r="Z51" s="189"/>
    </row>
    <row r="52" ht="11.25" customHeight="1">
      <c r="A52" s="189"/>
      <c r="B52" s="251"/>
      <c r="C52" s="251"/>
      <c r="D52" s="252"/>
      <c r="E52" s="189"/>
      <c r="F52" s="251"/>
      <c r="G52" s="189"/>
      <c r="H52" s="189"/>
      <c r="I52" s="189"/>
      <c r="J52" s="189"/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  <c r="Y52" s="189"/>
      <c r="Z52" s="189"/>
    </row>
    <row r="53" ht="11.25" customHeight="1">
      <c r="A53" s="189"/>
      <c r="B53" s="251"/>
      <c r="C53" s="251"/>
      <c r="D53" s="252"/>
      <c r="E53" s="189"/>
      <c r="F53" s="251"/>
      <c r="G53" s="189"/>
      <c r="H53" s="189"/>
      <c r="I53" s="189"/>
      <c r="J53" s="189"/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  <c r="Y53" s="189"/>
      <c r="Z53" s="189"/>
    </row>
    <row r="54" ht="11.25" customHeight="1">
      <c r="A54" s="189"/>
      <c r="B54" s="251"/>
      <c r="C54" s="251"/>
      <c r="D54" s="252"/>
      <c r="E54" s="189"/>
      <c r="F54" s="251"/>
      <c r="G54" s="189"/>
      <c r="H54" s="189"/>
      <c r="I54" s="189"/>
      <c r="J54" s="189"/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  <c r="Y54" s="189"/>
      <c r="Z54" s="189"/>
    </row>
    <row r="55" ht="11.25" customHeight="1">
      <c r="A55" s="189"/>
      <c r="B55" s="251"/>
      <c r="C55" s="251"/>
      <c r="D55" s="252"/>
      <c r="E55" s="189"/>
      <c r="F55" s="251"/>
      <c r="G55" s="189"/>
      <c r="H55" s="189"/>
      <c r="I55" s="189"/>
      <c r="J55" s="189"/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  <c r="Y55" s="189"/>
      <c r="Z55" s="189"/>
    </row>
    <row r="56" ht="11.25" customHeight="1">
      <c r="A56" s="189"/>
      <c r="B56" s="251"/>
      <c r="C56" s="251"/>
      <c r="D56" s="252"/>
      <c r="E56" s="189"/>
      <c r="F56" s="251"/>
      <c r="G56" s="189"/>
      <c r="H56" s="189"/>
      <c r="I56" s="189"/>
      <c r="J56" s="189"/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  <c r="Y56" s="189"/>
      <c r="Z56" s="189"/>
    </row>
    <row r="57" ht="11.25" customHeight="1">
      <c r="A57" s="189"/>
      <c r="B57" s="251"/>
      <c r="C57" s="251"/>
      <c r="D57" s="252"/>
      <c r="E57" s="189"/>
      <c r="F57" s="251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  <c r="X57" s="189"/>
      <c r="Y57" s="189"/>
      <c r="Z57" s="189"/>
    </row>
    <row r="58" ht="11.25" customHeight="1">
      <c r="A58" s="189"/>
      <c r="B58" s="251"/>
      <c r="C58" s="251"/>
      <c r="D58" s="252"/>
      <c r="E58" s="189"/>
      <c r="F58" s="251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89"/>
      <c r="Z58" s="189"/>
    </row>
    <row r="59" ht="11.25" customHeight="1">
      <c r="A59" s="189"/>
      <c r="B59" s="251"/>
      <c r="C59" s="251"/>
      <c r="D59" s="252"/>
      <c r="E59" s="189"/>
      <c r="F59" s="251"/>
      <c r="G59" s="189"/>
      <c r="H59" s="189"/>
      <c r="I59" s="189"/>
      <c r="J59" s="189"/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  <c r="Y59" s="189"/>
      <c r="Z59" s="189"/>
    </row>
    <row r="60" ht="11.25" customHeight="1">
      <c r="A60" s="189"/>
      <c r="B60" s="251"/>
      <c r="C60" s="251"/>
      <c r="D60" s="252"/>
      <c r="E60" s="189"/>
      <c r="F60" s="251"/>
      <c r="G60" s="189"/>
      <c r="H60" s="189"/>
      <c r="I60" s="189"/>
      <c r="J60" s="189"/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  <c r="Y60" s="189"/>
      <c r="Z60" s="189"/>
    </row>
    <row r="61" ht="11.25" customHeight="1">
      <c r="A61" s="189"/>
      <c r="B61" s="251"/>
      <c r="C61" s="251"/>
      <c r="D61" s="252"/>
      <c r="E61" s="189"/>
      <c r="F61" s="251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</row>
    <row r="62" ht="11.25" customHeight="1">
      <c r="A62" s="189"/>
      <c r="B62" s="251"/>
      <c r="C62" s="251"/>
      <c r="D62" s="252"/>
      <c r="E62" s="189"/>
      <c r="F62" s="251"/>
      <c r="G62" s="189"/>
      <c r="H62" s="189"/>
      <c r="I62" s="189"/>
      <c r="J62" s="189"/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  <c r="Y62" s="189"/>
      <c r="Z62" s="189"/>
    </row>
    <row r="63" ht="11.25" customHeight="1">
      <c r="A63" s="189"/>
      <c r="B63" s="251"/>
      <c r="C63" s="251"/>
      <c r="D63" s="252"/>
      <c r="E63" s="189"/>
      <c r="F63" s="251"/>
      <c r="G63" s="189"/>
      <c r="H63" s="189"/>
      <c r="I63" s="189"/>
      <c r="J63" s="189"/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  <c r="Y63" s="189"/>
      <c r="Z63" s="189"/>
    </row>
    <row r="64" ht="11.25" customHeight="1">
      <c r="A64" s="189"/>
      <c r="B64" s="251"/>
      <c r="C64" s="251"/>
      <c r="D64" s="252"/>
      <c r="E64" s="189"/>
      <c r="F64" s="251"/>
      <c r="G64" s="189"/>
      <c r="H64" s="189"/>
      <c r="I64" s="189"/>
      <c r="J64" s="189"/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  <c r="Y64" s="189"/>
      <c r="Z64" s="189"/>
    </row>
    <row r="65" ht="11.25" customHeight="1">
      <c r="A65" s="189"/>
      <c r="B65" s="251"/>
      <c r="C65" s="251"/>
      <c r="D65" s="252"/>
      <c r="E65" s="189"/>
      <c r="F65" s="251"/>
      <c r="G65" s="189"/>
      <c r="H65" s="189"/>
      <c r="I65" s="189"/>
      <c r="J65" s="189"/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  <c r="Y65" s="189"/>
      <c r="Z65" s="189"/>
    </row>
    <row r="66" ht="11.25" customHeight="1">
      <c r="A66" s="189"/>
      <c r="B66" s="251"/>
      <c r="C66" s="251"/>
      <c r="D66" s="252"/>
      <c r="E66" s="189"/>
      <c r="F66" s="251"/>
      <c r="G66" s="189"/>
      <c r="H66" s="189"/>
      <c r="I66" s="189"/>
      <c r="J66" s="189"/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  <c r="Y66" s="189"/>
      <c r="Z66" s="189"/>
    </row>
    <row r="67" ht="11.25" customHeight="1">
      <c r="A67" s="189"/>
      <c r="B67" s="251"/>
      <c r="C67" s="251"/>
      <c r="D67" s="252"/>
      <c r="E67" s="189"/>
      <c r="F67" s="251"/>
      <c r="G67" s="189"/>
      <c r="H67" s="189"/>
      <c r="I67" s="189"/>
      <c r="J67" s="189"/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  <c r="Y67" s="189"/>
      <c r="Z67" s="189"/>
    </row>
    <row r="68" ht="11.25" customHeight="1">
      <c r="A68" s="189"/>
      <c r="B68" s="251"/>
      <c r="C68" s="251"/>
      <c r="D68" s="252"/>
      <c r="E68" s="189"/>
      <c r="F68" s="251"/>
      <c r="G68" s="189"/>
      <c r="H68" s="189"/>
      <c r="I68" s="189"/>
      <c r="J68" s="189"/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  <c r="Y68" s="189"/>
      <c r="Z68" s="189"/>
    </row>
    <row r="69" ht="11.25" customHeight="1">
      <c r="A69" s="189"/>
      <c r="B69" s="251"/>
      <c r="C69" s="251"/>
      <c r="D69" s="252"/>
      <c r="E69" s="189"/>
      <c r="F69" s="251"/>
      <c r="G69" s="189"/>
      <c r="H69" s="189"/>
      <c r="I69" s="189"/>
      <c r="J69" s="189"/>
      <c r="K69" s="189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  <c r="X69" s="189"/>
      <c r="Y69" s="189"/>
      <c r="Z69" s="189"/>
    </row>
    <row r="70" ht="11.25" customHeight="1">
      <c r="A70" s="189"/>
      <c r="B70" s="251"/>
      <c r="C70" s="251"/>
      <c r="D70" s="252"/>
      <c r="E70" s="189"/>
      <c r="F70" s="251"/>
      <c r="G70" s="189"/>
      <c r="H70" s="189"/>
      <c r="I70" s="189"/>
      <c r="J70" s="189"/>
      <c r="K70" s="189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  <c r="X70" s="189"/>
      <c r="Y70" s="189"/>
      <c r="Z70" s="189"/>
    </row>
    <row r="71" ht="11.25" customHeight="1">
      <c r="A71" s="189"/>
      <c r="B71" s="251"/>
      <c r="C71" s="251"/>
      <c r="D71" s="252"/>
      <c r="E71" s="189"/>
      <c r="F71" s="251"/>
      <c r="G71" s="189"/>
      <c r="H71" s="189"/>
      <c r="I71" s="189"/>
      <c r="J71" s="189"/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  <c r="Y71" s="189"/>
      <c r="Z71" s="189"/>
    </row>
    <row r="72" ht="11.25" customHeight="1">
      <c r="A72" s="189"/>
      <c r="B72" s="251"/>
      <c r="C72" s="251"/>
      <c r="D72" s="252"/>
      <c r="E72" s="189"/>
      <c r="F72" s="251"/>
      <c r="G72" s="189"/>
      <c r="H72" s="189"/>
      <c r="I72" s="189"/>
      <c r="J72" s="189"/>
      <c r="K72" s="189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  <c r="X72" s="189"/>
      <c r="Y72" s="189"/>
      <c r="Z72" s="189"/>
    </row>
    <row r="73" ht="11.25" customHeight="1">
      <c r="A73" s="189"/>
      <c r="B73" s="251"/>
      <c r="C73" s="251"/>
      <c r="D73" s="252"/>
      <c r="E73" s="189"/>
      <c r="F73" s="251"/>
      <c r="G73" s="189"/>
      <c r="H73" s="189"/>
      <c r="I73" s="189"/>
      <c r="J73" s="189"/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  <c r="Y73" s="189"/>
      <c r="Z73" s="189"/>
    </row>
    <row r="74" ht="11.25" customHeight="1">
      <c r="A74" s="189"/>
      <c r="B74" s="251"/>
      <c r="C74" s="251"/>
      <c r="D74" s="252"/>
      <c r="E74" s="189"/>
      <c r="F74" s="251"/>
      <c r="G74" s="189"/>
      <c r="H74" s="189"/>
      <c r="I74" s="189"/>
      <c r="J74" s="189"/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  <c r="Y74" s="189"/>
      <c r="Z74" s="189"/>
    </row>
    <row r="75" ht="11.25" customHeight="1">
      <c r="A75" s="189"/>
      <c r="B75" s="251"/>
      <c r="C75" s="251"/>
      <c r="D75" s="252"/>
      <c r="E75" s="189"/>
      <c r="F75" s="251"/>
      <c r="G75" s="189"/>
      <c r="H75" s="189"/>
      <c r="I75" s="189"/>
      <c r="J75" s="189"/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  <c r="Y75" s="189"/>
      <c r="Z75" s="189"/>
    </row>
    <row r="76" ht="11.25" customHeight="1">
      <c r="A76" s="189"/>
      <c r="B76" s="251"/>
      <c r="C76" s="251"/>
      <c r="D76" s="252"/>
      <c r="E76" s="189"/>
      <c r="F76" s="251"/>
      <c r="G76" s="189"/>
      <c r="H76" s="189"/>
      <c r="I76" s="189"/>
      <c r="J76" s="189"/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  <c r="Y76" s="189"/>
      <c r="Z76" s="189"/>
    </row>
    <row r="77" ht="11.25" customHeight="1">
      <c r="A77" s="189"/>
      <c r="B77" s="251"/>
      <c r="C77" s="251"/>
      <c r="D77" s="252"/>
      <c r="E77" s="189"/>
      <c r="F77" s="251"/>
      <c r="G77" s="189"/>
      <c r="H77" s="189"/>
      <c r="I77" s="189"/>
      <c r="J77" s="189"/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  <c r="Y77" s="189"/>
      <c r="Z77" s="189"/>
    </row>
    <row r="78" ht="11.25" customHeight="1">
      <c r="A78" s="189"/>
      <c r="B78" s="251"/>
      <c r="C78" s="251"/>
      <c r="D78" s="252"/>
      <c r="E78" s="189"/>
      <c r="F78" s="251"/>
      <c r="G78" s="189"/>
      <c r="H78" s="189"/>
      <c r="I78" s="189"/>
      <c r="J78" s="189"/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  <c r="Y78" s="189"/>
      <c r="Z78" s="189"/>
    </row>
    <row r="79" ht="11.25" customHeight="1">
      <c r="A79" s="189"/>
      <c r="B79" s="251"/>
      <c r="C79" s="251"/>
      <c r="D79" s="252"/>
      <c r="E79" s="189"/>
      <c r="F79" s="251"/>
      <c r="G79" s="189"/>
      <c r="H79" s="189"/>
      <c r="I79" s="189"/>
      <c r="J79" s="189"/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  <c r="Y79" s="189"/>
      <c r="Z79" s="189"/>
    </row>
    <row r="80" ht="11.25" customHeight="1">
      <c r="A80" s="189"/>
      <c r="B80" s="251"/>
      <c r="C80" s="251"/>
      <c r="D80" s="252"/>
      <c r="E80" s="189"/>
      <c r="F80" s="251"/>
      <c r="G80" s="189"/>
      <c r="H80" s="189"/>
      <c r="I80" s="189"/>
      <c r="J80" s="189"/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  <c r="Y80" s="189"/>
      <c r="Z80" s="189"/>
    </row>
    <row r="81" ht="11.25" customHeight="1">
      <c r="A81" s="189"/>
      <c r="B81" s="251"/>
      <c r="C81" s="251"/>
      <c r="D81" s="252"/>
      <c r="E81" s="189"/>
      <c r="F81" s="251"/>
      <c r="G81" s="189"/>
      <c r="H81" s="189"/>
      <c r="I81" s="189"/>
      <c r="J81" s="189"/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  <c r="Y81" s="189"/>
      <c r="Z81" s="189"/>
    </row>
    <row r="82" ht="11.25" customHeight="1">
      <c r="A82" s="189"/>
      <c r="B82" s="251"/>
      <c r="C82" s="251"/>
      <c r="D82" s="252"/>
      <c r="E82" s="189"/>
      <c r="F82" s="251"/>
      <c r="G82" s="189"/>
      <c r="H82" s="189"/>
      <c r="I82" s="189"/>
      <c r="J82" s="189"/>
      <c r="K82" s="189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  <c r="X82" s="189"/>
      <c r="Y82" s="189"/>
      <c r="Z82" s="189"/>
    </row>
    <row r="83" ht="11.25" customHeight="1">
      <c r="A83" s="189"/>
      <c r="B83" s="251"/>
      <c r="C83" s="251"/>
      <c r="D83" s="252"/>
      <c r="E83" s="189"/>
      <c r="F83" s="251"/>
      <c r="G83" s="189"/>
      <c r="H83" s="189"/>
      <c r="I83" s="189"/>
      <c r="J83" s="189"/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  <c r="X83" s="189"/>
      <c r="Y83" s="189"/>
      <c r="Z83" s="189"/>
    </row>
    <row r="84" ht="11.25" customHeight="1">
      <c r="A84" s="189"/>
      <c r="B84" s="251"/>
      <c r="C84" s="251"/>
      <c r="D84" s="252"/>
      <c r="E84" s="189"/>
      <c r="F84" s="251"/>
      <c r="G84" s="189"/>
      <c r="H84" s="189"/>
      <c r="I84" s="189"/>
      <c r="J84" s="189"/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  <c r="Y84" s="189"/>
      <c r="Z84" s="189"/>
    </row>
    <row r="85" ht="11.25" customHeight="1">
      <c r="A85" s="189"/>
      <c r="B85" s="251"/>
      <c r="C85" s="251"/>
      <c r="D85" s="252"/>
      <c r="E85" s="189"/>
      <c r="F85" s="251"/>
      <c r="G85" s="189"/>
      <c r="H85" s="189"/>
      <c r="I85" s="189"/>
      <c r="J85" s="189"/>
      <c r="K85" s="189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  <c r="X85" s="189"/>
      <c r="Y85" s="189"/>
      <c r="Z85" s="189"/>
    </row>
    <row r="86" ht="11.25" customHeight="1">
      <c r="A86" s="189"/>
      <c r="B86" s="251"/>
      <c r="C86" s="251"/>
      <c r="D86" s="252"/>
      <c r="E86" s="189"/>
      <c r="F86" s="251"/>
      <c r="G86" s="189"/>
      <c r="H86" s="189"/>
      <c r="I86" s="189"/>
      <c r="J86" s="189"/>
      <c r="K86" s="189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  <c r="X86" s="189"/>
      <c r="Y86" s="189"/>
      <c r="Z86" s="189"/>
    </row>
    <row r="87" ht="11.25" customHeight="1">
      <c r="A87" s="189"/>
      <c r="B87" s="251"/>
      <c r="C87" s="251"/>
      <c r="D87" s="252"/>
      <c r="E87" s="189"/>
      <c r="F87" s="251"/>
      <c r="G87" s="189"/>
      <c r="H87" s="189"/>
      <c r="I87" s="189"/>
      <c r="J87" s="189"/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  <c r="Y87" s="189"/>
      <c r="Z87" s="189"/>
    </row>
    <row r="88" ht="11.25" customHeight="1">
      <c r="A88" s="189"/>
      <c r="B88" s="251"/>
      <c r="C88" s="251"/>
      <c r="D88" s="252"/>
      <c r="E88" s="189"/>
      <c r="F88" s="251"/>
      <c r="G88" s="189"/>
      <c r="H88" s="189"/>
      <c r="I88" s="189"/>
      <c r="J88" s="189"/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  <c r="Y88" s="189"/>
      <c r="Z88" s="189"/>
    </row>
    <row r="89" ht="11.25" customHeight="1">
      <c r="A89" s="189"/>
      <c r="B89" s="251"/>
      <c r="C89" s="251"/>
      <c r="D89" s="252"/>
      <c r="E89" s="189"/>
      <c r="F89" s="251"/>
      <c r="G89" s="189"/>
      <c r="H89" s="189"/>
      <c r="I89" s="189"/>
      <c r="J89" s="189"/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  <c r="X89" s="189"/>
      <c r="Y89" s="189"/>
      <c r="Z89" s="189"/>
    </row>
    <row r="90" ht="11.25" customHeight="1">
      <c r="A90" s="189"/>
      <c r="B90" s="251"/>
      <c r="C90" s="251"/>
      <c r="D90" s="252"/>
      <c r="E90" s="189"/>
      <c r="F90" s="251"/>
      <c r="G90" s="189"/>
      <c r="H90" s="189"/>
      <c r="I90" s="189"/>
      <c r="J90" s="189"/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  <c r="X90" s="189"/>
      <c r="Y90" s="189"/>
      <c r="Z90" s="189"/>
    </row>
    <row r="91" ht="11.25" customHeight="1">
      <c r="A91" s="189"/>
      <c r="B91" s="251"/>
      <c r="C91" s="251"/>
      <c r="D91" s="252"/>
      <c r="E91" s="189"/>
      <c r="F91" s="251"/>
      <c r="G91" s="189"/>
      <c r="H91" s="189"/>
      <c r="I91" s="189"/>
      <c r="J91" s="189"/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  <c r="Y91" s="189"/>
      <c r="Z91" s="189"/>
    </row>
    <row r="92" ht="11.25" customHeight="1">
      <c r="A92" s="189"/>
      <c r="B92" s="251"/>
      <c r="C92" s="251"/>
      <c r="D92" s="252"/>
      <c r="E92" s="189"/>
      <c r="F92" s="251"/>
      <c r="G92" s="189"/>
      <c r="H92" s="189"/>
      <c r="I92" s="189"/>
      <c r="J92" s="189"/>
      <c r="K92" s="189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  <c r="X92" s="189"/>
      <c r="Y92" s="189"/>
      <c r="Z92" s="189"/>
    </row>
    <row r="93" ht="11.25" customHeight="1">
      <c r="A93" s="189"/>
      <c r="B93" s="251"/>
      <c r="C93" s="251"/>
      <c r="D93" s="252"/>
      <c r="E93" s="189"/>
      <c r="F93" s="251"/>
      <c r="G93" s="189"/>
      <c r="H93" s="189"/>
      <c r="I93" s="189"/>
      <c r="J93" s="189"/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  <c r="Y93" s="189"/>
      <c r="Z93" s="189"/>
    </row>
    <row r="94" ht="11.25" customHeight="1">
      <c r="A94" s="189"/>
      <c r="B94" s="251"/>
      <c r="C94" s="251"/>
      <c r="D94" s="252"/>
      <c r="E94" s="189"/>
      <c r="F94" s="251"/>
      <c r="G94" s="189"/>
      <c r="H94" s="189"/>
      <c r="I94" s="189"/>
      <c r="J94" s="189"/>
      <c r="K94" s="189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  <c r="Y94" s="189"/>
      <c r="Z94" s="189"/>
    </row>
    <row r="95" ht="11.25" customHeight="1">
      <c r="A95" s="189"/>
      <c r="B95" s="251"/>
      <c r="C95" s="251"/>
      <c r="D95" s="252"/>
      <c r="E95" s="189"/>
      <c r="F95" s="251"/>
      <c r="G95" s="189"/>
      <c r="H95" s="189"/>
      <c r="I95" s="189"/>
      <c r="J95" s="189"/>
      <c r="K95" s="189"/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  <c r="X95" s="189"/>
      <c r="Y95" s="189"/>
      <c r="Z95" s="189"/>
    </row>
    <row r="96" ht="11.25" customHeight="1">
      <c r="A96" s="189"/>
      <c r="B96" s="251"/>
      <c r="C96" s="251"/>
      <c r="D96" s="252"/>
      <c r="E96" s="189"/>
      <c r="F96" s="251"/>
      <c r="G96" s="189"/>
      <c r="H96" s="189"/>
      <c r="I96" s="189"/>
      <c r="J96" s="189"/>
      <c r="K96" s="189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  <c r="X96" s="189"/>
      <c r="Y96" s="189"/>
      <c r="Z96" s="189"/>
    </row>
    <row r="97" ht="11.25" customHeight="1">
      <c r="A97" s="189"/>
      <c r="B97" s="251"/>
      <c r="C97" s="251"/>
      <c r="D97" s="252"/>
      <c r="E97" s="189"/>
      <c r="F97" s="251"/>
      <c r="G97" s="189"/>
      <c r="H97" s="189"/>
      <c r="I97" s="189"/>
      <c r="J97" s="189"/>
      <c r="K97" s="189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  <c r="Y97" s="189"/>
      <c r="Z97" s="189"/>
    </row>
    <row r="98" ht="11.25" customHeight="1">
      <c r="A98" s="189"/>
      <c r="B98" s="251"/>
      <c r="C98" s="251"/>
      <c r="D98" s="252"/>
      <c r="E98" s="189"/>
      <c r="F98" s="251"/>
      <c r="G98" s="189"/>
      <c r="H98" s="189"/>
      <c r="I98" s="189"/>
      <c r="J98" s="189"/>
      <c r="K98" s="189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  <c r="Y98" s="189"/>
      <c r="Z98" s="189"/>
    </row>
    <row r="99" ht="11.25" customHeight="1">
      <c r="A99" s="189"/>
      <c r="B99" s="251"/>
      <c r="C99" s="251"/>
      <c r="D99" s="252"/>
      <c r="E99" s="189"/>
      <c r="F99" s="251"/>
      <c r="G99" s="189"/>
      <c r="H99" s="189"/>
      <c r="I99" s="189"/>
      <c r="J99" s="189"/>
      <c r="K99" s="189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  <c r="Y99" s="189"/>
      <c r="Z99" s="189"/>
    </row>
    <row r="100" ht="11.25" customHeight="1">
      <c r="A100" s="189"/>
      <c r="B100" s="251"/>
      <c r="C100" s="251"/>
      <c r="D100" s="252"/>
      <c r="E100" s="189"/>
      <c r="F100" s="251"/>
      <c r="G100" s="189"/>
      <c r="H100" s="189"/>
      <c r="I100" s="189"/>
      <c r="J100" s="189"/>
      <c r="K100" s="189"/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  <c r="Y100" s="189"/>
      <c r="Z100" s="189"/>
    </row>
    <row r="101" ht="11.25" customHeight="1">
      <c r="A101" s="189"/>
      <c r="B101" s="251"/>
      <c r="C101" s="251"/>
      <c r="D101" s="252"/>
      <c r="E101" s="189"/>
      <c r="F101" s="251"/>
      <c r="G101" s="189"/>
      <c r="H101" s="189"/>
      <c r="I101" s="189"/>
      <c r="J101" s="189"/>
      <c r="K101" s="189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  <c r="Y101" s="189"/>
      <c r="Z101" s="189"/>
    </row>
    <row r="102" ht="11.25" customHeight="1">
      <c r="A102" s="189"/>
      <c r="B102" s="251"/>
      <c r="C102" s="251"/>
      <c r="D102" s="252"/>
      <c r="E102" s="189"/>
      <c r="F102" s="251"/>
      <c r="G102" s="189"/>
      <c r="H102" s="189"/>
      <c r="I102" s="189"/>
      <c r="J102" s="189"/>
      <c r="K102" s="189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  <c r="Y102" s="189"/>
      <c r="Z102" s="189"/>
    </row>
    <row r="103" ht="11.25" customHeight="1">
      <c r="A103" s="189"/>
      <c r="B103" s="251"/>
      <c r="C103" s="251"/>
      <c r="D103" s="252"/>
      <c r="E103" s="189"/>
      <c r="F103" s="251"/>
      <c r="G103" s="189"/>
      <c r="H103" s="189"/>
      <c r="I103" s="189"/>
      <c r="J103" s="189"/>
      <c r="K103" s="189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  <c r="Y103" s="189"/>
      <c r="Z103" s="189"/>
    </row>
    <row r="104" ht="11.25" customHeight="1">
      <c r="A104" s="189"/>
      <c r="B104" s="251"/>
      <c r="C104" s="251"/>
      <c r="D104" s="252"/>
      <c r="E104" s="189"/>
      <c r="F104" s="251"/>
      <c r="G104" s="189"/>
      <c r="H104" s="189"/>
      <c r="I104" s="189"/>
      <c r="J104" s="189"/>
      <c r="K104" s="189"/>
      <c r="L104" s="189"/>
      <c r="M104" s="189"/>
      <c r="N104" s="189"/>
      <c r="O104" s="189"/>
      <c r="P104" s="189"/>
      <c r="Q104" s="189"/>
      <c r="R104" s="189"/>
      <c r="S104" s="189"/>
      <c r="T104" s="189"/>
      <c r="U104" s="189"/>
      <c r="V104" s="189"/>
      <c r="W104" s="189"/>
      <c r="X104" s="189"/>
      <c r="Y104" s="189"/>
      <c r="Z104" s="189"/>
    </row>
    <row r="105" ht="11.25" customHeight="1">
      <c r="A105" s="189"/>
      <c r="B105" s="251"/>
      <c r="C105" s="251"/>
      <c r="D105" s="252"/>
      <c r="E105" s="189"/>
      <c r="F105" s="251"/>
      <c r="G105" s="189"/>
      <c r="H105" s="189"/>
      <c r="I105" s="189"/>
      <c r="J105" s="189"/>
      <c r="K105" s="189"/>
      <c r="L105" s="189"/>
      <c r="M105" s="189"/>
      <c r="N105" s="189"/>
      <c r="O105" s="189"/>
      <c r="P105" s="189"/>
      <c r="Q105" s="189"/>
      <c r="R105" s="189"/>
      <c r="S105" s="189"/>
      <c r="T105" s="189"/>
      <c r="U105" s="189"/>
      <c r="V105" s="189"/>
      <c r="W105" s="189"/>
      <c r="X105" s="189"/>
      <c r="Y105" s="189"/>
      <c r="Z105" s="189"/>
    </row>
    <row r="106" ht="11.25" customHeight="1">
      <c r="A106" s="189"/>
      <c r="B106" s="251"/>
      <c r="C106" s="251"/>
      <c r="D106" s="252"/>
      <c r="E106" s="189"/>
      <c r="F106" s="251"/>
      <c r="G106" s="189"/>
      <c r="H106" s="189"/>
      <c r="I106" s="189"/>
      <c r="J106" s="189"/>
      <c r="K106" s="189"/>
      <c r="L106" s="189"/>
      <c r="M106" s="189"/>
      <c r="N106" s="189"/>
      <c r="O106" s="189"/>
      <c r="P106" s="189"/>
      <c r="Q106" s="189"/>
      <c r="R106" s="189"/>
      <c r="S106" s="189"/>
      <c r="T106" s="189"/>
      <c r="U106" s="189"/>
      <c r="V106" s="189"/>
      <c r="W106" s="189"/>
      <c r="X106" s="189"/>
      <c r="Y106" s="189"/>
      <c r="Z106" s="189"/>
    </row>
    <row r="107" ht="11.25" customHeight="1">
      <c r="A107" s="189"/>
      <c r="B107" s="251"/>
      <c r="C107" s="251"/>
      <c r="D107" s="252"/>
      <c r="E107" s="189"/>
      <c r="F107" s="251"/>
      <c r="G107" s="189"/>
      <c r="H107" s="189"/>
      <c r="I107" s="189"/>
      <c r="J107" s="189"/>
      <c r="K107" s="189"/>
      <c r="L107" s="189"/>
      <c r="M107" s="189"/>
      <c r="N107" s="189"/>
      <c r="O107" s="189"/>
      <c r="P107" s="189"/>
      <c r="Q107" s="189"/>
      <c r="R107" s="189"/>
      <c r="S107" s="189"/>
      <c r="T107" s="189"/>
      <c r="U107" s="189"/>
      <c r="V107" s="189"/>
      <c r="W107" s="189"/>
      <c r="X107" s="189"/>
      <c r="Y107" s="189"/>
      <c r="Z107" s="189"/>
    </row>
    <row r="108" ht="11.25" customHeight="1">
      <c r="A108" s="189"/>
      <c r="B108" s="251"/>
      <c r="C108" s="251"/>
      <c r="D108" s="252"/>
      <c r="E108" s="189"/>
      <c r="F108" s="251"/>
      <c r="G108" s="189"/>
      <c r="H108" s="189"/>
      <c r="I108" s="189"/>
      <c r="J108" s="189"/>
      <c r="K108" s="189"/>
      <c r="L108" s="189"/>
      <c r="M108" s="189"/>
      <c r="N108" s="189"/>
      <c r="O108" s="189"/>
      <c r="P108" s="189"/>
      <c r="Q108" s="189"/>
      <c r="R108" s="189"/>
      <c r="S108" s="189"/>
      <c r="T108" s="189"/>
      <c r="U108" s="189"/>
      <c r="V108" s="189"/>
      <c r="W108" s="189"/>
      <c r="X108" s="189"/>
      <c r="Y108" s="189"/>
      <c r="Z108" s="189"/>
    </row>
    <row r="109" ht="11.25" customHeight="1">
      <c r="A109" s="189"/>
      <c r="B109" s="251"/>
      <c r="C109" s="251"/>
      <c r="D109" s="252"/>
      <c r="E109" s="189"/>
      <c r="F109" s="251"/>
      <c r="G109" s="189"/>
      <c r="H109" s="189"/>
      <c r="I109" s="189"/>
      <c r="J109" s="189"/>
      <c r="K109" s="189"/>
      <c r="L109" s="189"/>
      <c r="M109" s="189"/>
      <c r="N109" s="189"/>
      <c r="O109" s="189"/>
      <c r="P109" s="189"/>
      <c r="Q109" s="189"/>
      <c r="R109" s="189"/>
      <c r="S109" s="189"/>
      <c r="T109" s="189"/>
      <c r="U109" s="189"/>
      <c r="V109" s="189"/>
      <c r="W109" s="189"/>
      <c r="X109" s="189"/>
      <c r="Y109" s="189"/>
      <c r="Z109" s="189"/>
    </row>
    <row r="110" ht="11.25" customHeight="1">
      <c r="A110" s="189"/>
      <c r="B110" s="251"/>
      <c r="C110" s="251"/>
      <c r="D110" s="252"/>
      <c r="E110" s="189"/>
      <c r="F110" s="251"/>
      <c r="G110" s="189"/>
      <c r="H110" s="189"/>
      <c r="I110" s="189"/>
      <c r="J110" s="189"/>
      <c r="K110" s="189"/>
      <c r="L110" s="189"/>
      <c r="M110" s="189"/>
      <c r="N110" s="189"/>
      <c r="O110" s="189"/>
      <c r="P110" s="189"/>
      <c r="Q110" s="189"/>
      <c r="R110" s="189"/>
      <c r="S110" s="189"/>
      <c r="T110" s="189"/>
      <c r="U110" s="189"/>
      <c r="V110" s="189"/>
      <c r="W110" s="189"/>
      <c r="X110" s="189"/>
      <c r="Y110" s="189"/>
      <c r="Z110" s="189"/>
    </row>
    <row r="111" ht="11.25" customHeight="1">
      <c r="A111" s="189"/>
      <c r="B111" s="251"/>
      <c r="C111" s="251"/>
      <c r="D111" s="252"/>
      <c r="E111" s="189"/>
      <c r="F111" s="251"/>
      <c r="G111" s="189"/>
      <c r="H111" s="189"/>
      <c r="I111" s="189"/>
      <c r="J111" s="189"/>
      <c r="K111" s="189"/>
      <c r="L111" s="189"/>
      <c r="M111" s="189"/>
      <c r="N111" s="189"/>
      <c r="O111" s="189"/>
      <c r="P111" s="189"/>
      <c r="Q111" s="189"/>
      <c r="R111" s="189"/>
      <c r="S111" s="189"/>
      <c r="T111" s="189"/>
      <c r="U111" s="189"/>
      <c r="V111" s="189"/>
      <c r="W111" s="189"/>
      <c r="X111" s="189"/>
      <c r="Y111" s="189"/>
      <c r="Z111" s="189"/>
    </row>
    <row r="112" ht="11.25" customHeight="1">
      <c r="A112" s="189"/>
      <c r="B112" s="251"/>
      <c r="C112" s="251"/>
      <c r="D112" s="252"/>
      <c r="E112" s="189"/>
      <c r="F112" s="251"/>
      <c r="G112" s="189"/>
      <c r="H112" s="189"/>
      <c r="I112" s="189"/>
      <c r="J112" s="189"/>
      <c r="K112" s="189"/>
      <c r="L112" s="189"/>
      <c r="M112" s="189"/>
      <c r="N112" s="189"/>
      <c r="O112" s="189"/>
      <c r="P112" s="189"/>
      <c r="Q112" s="189"/>
      <c r="R112" s="189"/>
      <c r="S112" s="189"/>
      <c r="T112" s="189"/>
      <c r="U112" s="189"/>
      <c r="V112" s="189"/>
      <c r="W112" s="189"/>
      <c r="X112" s="189"/>
      <c r="Y112" s="189"/>
      <c r="Z112" s="189"/>
    </row>
    <row r="113" ht="11.25" customHeight="1">
      <c r="A113" s="189"/>
      <c r="B113" s="251"/>
      <c r="C113" s="251"/>
      <c r="D113" s="252"/>
      <c r="E113" s="189"/>
      <c r="F113" s="251"/>
      <c r="G113" s="189"/>
      <c r="H113" s="189"/>
      <c r="I113" s="189"/>
      <c r="J113" s="189"/>
      <c r="K113" s="189"/>
      <c r="L113" s="189"/>
      <c r="M113" s="189"/>
      <c r="N113" s="189"/>
      <c r="O113" s="189"/>
      <c r="P113" s="189"/>
      <c r="Q113" s="189"/>
      <c r="R113" s="189"/>
      <c r="S113" s="189"/>
      <c r="T113" s="189"/>
      <c r="U113" s="189"/>
      <c r="V113" s="189"/>
      <c r="W113" s="189"/>
      <c r="X113" s="189"/>
      <c r="Y113" s="189"/>
      <c r="Z113" s="189"/>
    </row>
    <row r="114" ht="11.25" customHeight="1">
      <c r="A114" s="189"/>
      <c r="B114" s="251"/>
      <c r="C114" s="251"/>
      <c r="D114" s="252"/>
      <c r="E114" s="189"/>
      <c r="F114" s="251"/>
      <c r="G114" s="189"/>
      <c r="H114" s="189"/>
      <c r="I114" s="189"/>
      <c r="J114" s="189"/>
      <c r="K114" s="189"/>
      <c r="L114" s="189"/>
      <c r="M114" s="189"/>
      <c r="N114" s="189"/>
      <c r="O114" s="189"/>
      <c r="P114" s="189"/>
      <c r="Q114" s="189"/>
      <c r="R114" s="189"/>
      <c r="S114" s="189"/>
      <c r="T114" s="189"/>
      <c r="U114" s="189"/>
      <c r="V114" s="189"/>
      <c r="W114" s="189"/>
      <c r="X114" s="189"/>
      <c r="Y114" s="189"/>
      <c r="Z114" s="189"/>
    </row>
    <row r="115" ht="11.25" customHeight="1">
      <c r="A115" s="189"/>
      <c r="B115" s="251"/>
      <c r="C115" s="251"/>
      <c r="D115" s="252"/>
      <c r="E115" s="189"/>
      <c r="F115" s="251"/>
      <c r="G115" s="189"/>
      <c r="H115" s="189"/>
      <c r="I115" s="189"/>
      <c r="J115" s="189"/>
      <c r="K115" s="189"/>
      <c r="L115" s="189"/>
      <c r="M115" s="189"/>
      <c r="N115" s="189"/>
      <c r="O115" s="189"/>
      <c r="P115" s="189"/>
      <c r="Q115" s="189"/>
      <c r="R115" s="189"/>
      <c r="S115" s="189"/>
      <c r="T115" s="189"/>
      <c r="U115" s="189"/>
      <c r="V115" s="189"/>
      <c r="W115" s="189"/>
      <c r="X115" s="189"/>
      <c r="Y115" s="189"/>
      <c r="Z115" s="189"/>
    </row>
    <row r="116" ht="11.25" customHeight="1">
      <c r="A116" s="189"/>
      <c r="B116" s="251"/>
      <c r="C116" s="251"/>
      <c r="D116" s="252"/>
      <c r="E116" s="189"/>
      <c r="F116" s="251"/>
      <c r="G116" s="189"/>
      <c r="H116" s="189"/>
      <c r="I116" s="189"/>
      <c r="J116" s="189"/>
      <c r="K116" s="189"/>
      <c r="L116" s="189"/>
      <c r="M116" s="189"/>
      <c r="N116" s="189"/>
      <c r="O116" s="189"/>
      <c r="P116" s="189"/>
      <c r="Q116" s="189"/>
      <c r="R116" s="189"/>
      <c r="S116" s="189"/>
      <c r="T116" s="189"/>
      <c r="U116" s="189"/>
      <c r="V116" s="189"/>
      <c r="W116" s="189"/>
      <c r="X116" s="189"/>
      <c r="Y116" s="189"/>
      <c r="Z116" s="189"/>
    </row>
    <row r="117" ht="11.25" customHeight="1">
      <c r="A117" s="189"/>
      <c r="B117" s="251"/>
      <c r="C117" s="251"/>
      <c r="D117" s="252"/>
      <c r="E117" s="189"/>
      <c r="F117" s="251"/>
      <c r="G117" s="189"/>
      <c r="H117" s="189"/>
      <c r="I117" s="189"/>
      <c r="J117" s="189"/>
      <c r="K117" s="189"/>
      <c r="L117" s="189"/>
      <c r="M117" s="189"/>
      <c r="N117" s="189"/>
      <c r="O117" s="189"/>
      <c r="P117" s="189"/>
      <c r="Q117" s="189"/>
      <c r="R117" s="189"/>
      <c r="S117" s="189"/>
      <c r="T117" s="189"/>
      <c r="U117" s="189"/>
      <c r="V117" s="189"/>
      <c r="W117" s="189"/>
      <c r="X117" s="189"/>
      <c r="Y117" s="189"/>
      <c r="Z117" s="189"/>
    </row>
    <row r="118" ht="11.25" customHeight="1">
      <c r="A118" s="189"/>
      <c r="B118" s="251"/>
      <c r="C118" s="251"/>
      <c r="D118" s="252"/>
      <c r="E118" s="189"/>
      <c r="F118" s="251"/>
      <c r="G118" s="189"/>
      <c r="H118" s="189"/>
      <c r="I118" s="189"/>
      <c r="J118" s="189"/>
      <c r="K118" s="189"/>
      <c r="L118" s="189"/>
      <c r="M118" s="189"/>
      <c r="N118" s="189"/>
      <c r="O118" s="189"/>
      <c r="P118" s="189"/>
      <c r="Q118" s="189"/>
      <c r="R118" s="189"/>
      <c r="S118" s="189"/>
      <c r="T118" s="189"/>
      <c r="U118" s="189"/>
      <c r="V118" s="189"/>
      <c r="W118" s="189"/>
      <c r="X118" s="189"/>
      <c r="Y118" s="189"/>
      <c r="Z118" s="189"/>
    </row>
    <row r="119" ht="11.25" customHeight="1">
      <c r="A119" s="189"/>
      <c r="B119" s="251"/>
      <c r="C119" s="251"/>
      <c r="D119" s="252"/>
      <c r="E119" s="189"/>
      <c r="F119" s="251"/>
      <c r="G119" s="189"/>
      <c r="H119" s="189"/>
      <c r="I119" s="189"/>
      <c r="J119" s="189"/>
      <c r="K119" s="189"/>
      <c r="L119" s="189"/>
      <c r="M119" s="189"/>
      <c r="N119" s="189"/>
      <c r="O119" s="189"/>
      <c r="P119" s="189"/>
      <c r="Q119" s="189"/>
      <c r="R119" s="189"/>
      <c r="S119" s="189"/>
      <c r="T119" s="189"/>
      <c r="U119" s="189"/>
      <c r="V119" s="189"/>
      <c r="W119" s="189"/>
      <c r="X119" s="189"/>
      <c r="Y119" s="189"/>
      <c r="Z119" s="189"/>
    </row>
    <row r="120" ht="11.25" customHeight="1">
      <c r="A120" s="189"/>
      <c r="B120" s="251"/>
      <c r="C120" s="251"/>
      <c r="D120" s="252"/>
      <c r="E120" s="189"/>
      <c r="F120" s="251"/>
      <c r="G120" s="189"/>
      <c r="H120" s="189"/>
      <c r="I120" s="189"/>
      <c r="J120" s="189"/>
      <c r="K120" s="189"/>
      <c r="L120" s="189"/>
      <c r="M120" s="189"/>
      <c r="N120" s="189"/>
      <c r="O120" s="189"/>
      <c r="P120" s="189"/>
      <c r="Q120" s="189"/>
      <c r="R120" s="189"/>
      <c r="S120" s="189"/>
      <c r="T120" s="189"/>
      <c r="U120" s="189"/>
      <c r="V120" s="189"/>
      <c r="W120" s="189"/>
      <c r="X120" s="189"/>
      <c r="Y120" s="189"/>
      <c r="Z120" s="189"/>
    </row>
    <row r="121" ht="11.25" customHeight="1">
      <c r="A121" s="189"/>
      <c r="B121" s="251"/>
      <c r="C121" s="251"/>
      <c r="D121" s="252"/>
      <c r="E121" s="189"/>
      <c r="F121" s="251"/>
      <c r="G121" s="189"/>
      <c r="H121" s="189"/>
      <c r="I121" s="189"/>
      <c r="J121" s="189"/>
      <c r="K121" s="189"/>
      <c r="L121" s="189"/>
      <c r="M121" s="189"/>
      <c r="N121" s="189"/>
      <c r="O121" s="189"/>
      <c r="P121" s="189"/>
      <c r="Q121" s="189"/>
      <c r="R121" s="189"/>
      <c r="S121" s="189"/>
      <c r="T121" s="189"/>
      <c r="U121" s="189"/>
      <c r="V121" s="189"/>
      <c r="W121" s="189"/>
      <c r="X121" s="189"/>
      <c r="Y121" s="189"/>
      <c r="Z121" s="189"/>
    </row>
    <row r="122" ht="11.25" customHeight="1">
      <c r="A122" s="189"/>
      <c r="B122" s="251"/>
      <c r="C122" s="251"/>
      <c r="D122" s="252"/>
      <c r="E122" s="189"/>
      <c r="F122" s="251"/>
      <c r="G122" s="189"/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R122" s="189"/>
      <c r="S122" s="189"/>
      <c r="T122" s="189"/>
      <c r="U122" s="189"/>
      <c r="V122" s="189"/>
      <c r="W122" s="189"/>
      <c r="X122" s="189"/>
      <c r="Y122" s="189"/>
      <c r="Z122" s="189"/>
    </row>
    <row r="123" ht="11.25" customHeight="1">
      <c r="A123" s="189"/>
      <c r="B123" s="251"/>
      <c r="C123" s="251"/>
      <c r="D123" s="252"/>
      <c r="E123" s="189"/>
      <c r="F123" s="251"/>
      <c r="G123" s="189"/>
      <c r="H123" s="189"/>
      <c r="I123" s="189"/>
      <c r="J123" s="189"/>
      <c r="K123" s="189"/>
      <c r="L123" s="189"/>
      <c r="M123" s="189"/>
      <c r="N123" s="189"/>
      <c r="O123" s="189"/>
      <c r="P123" s="189"/>
      <c r="Q123" s="189"/>
      <c r="R123" s="189"/>
      <c r="S123" s="189"/>
      <c r="T123" s="189"/>
      <c r="U123" s="189"/>
      <c r="V123" s="189"/>
      <c r="W123" s="189"/>
      <c r="X123" s="189"/>
      <c r="Y123" s="189"/>
      <c r="Z123" s="189"/>
    </row>
    <row r="124" ht="11.25" customHeight="1">
      <c r="A124" s="189"/>
      <c r="B124" s="251"/>
      <c r="C124" s="251"/>
      <c r="D124" s="252"/>
      <c r="E124" s="189"/>
      <c r="F124" s="251"/>
      <c r="G124" s="189"/>
      <c r="H124" s="189"/>
      <c r="I124" s="189"/>
      <c r="J124" s="189"/>
      <c r="K124" s="189"/>
      <c r="L124" s="189"/>
      <c r="M124" s="189"/>
      <c r="N124" s="189"/>
      <c r="O124" s="189"/>
      <c r="P124" s="189"/>
      <c r="Q124" s="189"/>
      <c r="R124" s="189"/>
      <c r="S124" s="189"/>
      <c r="T124" s="189"/>
      <c r="U124" s="189"/>
      <c r="V124" s="189"/>
      <c r="W124" s="189"/>
      <c r="X124" s="189"/>
      <c r="Y124" s="189"/>
      <c r="Z124" s="189"/>
    </row>
    <row r="125" ht="11.25" customHeight="1">
      <c r="A125" s="189"/>
      <c r="B125" s="251"/>
      <c r="C125" s="251"/>
      <c r="D125" s="252"/>
      <c r="E125" s="189"/>
      <c r="F125" s="251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</row>
    <row r="126" ht="11.25" customHeight="1">
      <c r="A126" s="189"/>
      <c r="B126" s="251"/>
      <c r="C126" s="251"/>
      <c r="D126" s="252"/>
      <c r="E126" s="189"/>
      <c r="F126" s="251"/>
      <c r="G126" s="189"/>
      <c r="H126" s="189"/>
      <c r="I126" s="189"/>
      <c r="J126" s="189"/>
      <c r="K126" s="189"/>
      <c r="L126" s="189"/>
      <c r="M126" s="189"/>
      <c r="N126" s="189"/>
      <c r="O126" s="189"/>
      <c r="P126" s="189"/>
      <c r="Q126" s="189"/>
      <c r="R126" s="189"/>
      <c r="S126" s="189"/>
      <c r="T126" s="189"/>
      <c r="U126" s="189"/>
      <c r="V126" s="189"/>
      <c r="W126" s="189"/>
      <c r="X126" s="189"/>
      <c r="Y126" s="189"/>
      <c r="Z126" s="189"/>
    </row>
    <row r="127" ht="11.25" customHeight="1">
      <c r="A127" s="189"/>
      <c r="B127" s="251"/>
      <c r="C127" s="251"/>
      <c r="D127" s="252"/>
      <c r="E127" s="189"/>
      <c r="F127" s="251"/>
      <c r="G127" s="189"/>
      <c r="H127" s="189"/>
      <c r="I127" s="189"/>
      <c r="J127" s="189"/>
      <c r="K127" s="189"/>
      <c r="L127" s="189"/>
      <c r="M127" s="189"/>
      <c r="N127" s="189"/>
      <c r="O127" s="189"/>
      <c r="P127" s="189"/>
      <c r="Q127" s="189"/>
      <c r="R127" s="189"/>
      <c r="S127" s="189"/>
      <c r="T127" s="189"/>
      <c r="U127" s="189"/>
      <c r="V127" s="189"/>
      <c r="W127" s="189"/>
      <c r="X127" s="189"/>
      <c r="Y127" s="189"/>
      <c r="Z127" s="189"/>
    </row>
    <row r="128" ht="11.25" customHeight="1">
      <c r="A128" s="189"/>
      <c r="B128" s="251"/>
      <c r="C128" s="251"/>
      <c r="D128" s="252"/>
      <c r="E128" s="189"/>
      <c r="F128" s="251"/>
      <c r="G128" s="189"/>
      <c r="H128" s="189"/>
      <c r="I128" s="189"/>
      <c r="J128" s="189"/>
      <c r="K128" s="189"/>
      <c r="L128" s="189"/>
      <c r="M128" s="189"/>
      <c r="N128" s="189"/>
      <c r="O128" s="189"/>
      <c r="P128" s="189"/>
      <c r="Q128" s="189"/>
      <c r="R128" s="189"/>
      <c r="S128" s="189"/>
      <c r="T128" s="189"/>
      <c r="U128" s="189"/>
      <c r="V128" s="189"/>
      <c r="W128" s="189"/>
      <c r="X128" s="189"/>
      <c r="Y128" s="189"/>
      <c r="Z128" s="189"/>
    </row>
    <row r="129" ht="11.25" customHeight="1">
      <c r="A129" s="189"/>
      <c r="B129" s="251"/>
      <c r="C129" s="251"/>
      <c r="D129" s="252"/>
      <c r="E129" s="189"/>
      <c r="F129" s="251"/>
      <c r="G129" s="189"/>
      <c r="H129" s="189"/>
      <c r="I129" s="189"/>
      <c r="J129" s="189"/>
      <c r="K129" s="189"/>
      <c r="L129" s="189"/>
      <c r="M129" s="189"/>
      <c r="N129" s="189"/>
      <c r="O129" s="189"/>
      <c r="P129" s="189"/>
      <c r="Q129" s="189"/>
      <c r="R129" s="189"/>
      <c r="S129" s="189"/>
      <c r="T129" s="189"/>
      <c r="U129" s="189"/>
      <c r="V129" s="189"/>
      <c r="W129" s="189"/>
      <c r="X129" s="189"/>
      <c r="Y129" s="189"/>
      <c r="Z129" s="189"/>
    </row>
    <row r="130" ht="11.25" customHeight="1">
      <c r="A130" s="189"/>
      <c r="B130" s="251"/>
      <c r="C130" s="251"/>
      <c r="D130" s="252"/>
      <c r="E130" s="189"/>
      <c r="F130" s="251"/>
      <c r="G130" s="189"/>
      <c r="H130" s="189"/>
      <c r="I130" s="189"/>
      <c r="J130" s="189"/>
      <c r="K130" s="189"/>
      <c r="L130" s="189"/>
      <c r="M130" s="189"/>
      <c r="N130" s="189"/>
      <c r="O130" s="189"/>
      <c r="P130" s="189"/>
      <c r="Q130" s="189"/>
      <c r="R130" s="189"/>
      <c r="S130" s="189"/>
      <c r="T130" s="189"/>
      <c r="U130" s="189"/>
      <c r="V130" s="189"/>
      <c r="W130" s="189"/>
      <c r="X130" s="189"/>
      <c r="Y130" s="189"/>
      <c r="Z130" s="189"/>
    </row>
    <row r="131" ht="11.25" customHeight="1">
      <c r="A131" s="189"/>
      <c r="B131" s="251"/>
      <c r="C131" s="251"/>
      <c r="D131" s="252"/>
      <c r="E131" s="189"/>
      <c r="F131" s="251"/>
      <c r="G131" s="189"/>
      <c r="H131" s="189"/>
      <c r="I131" s="189"/>
      <c r="J131" s="189"/>
      <c r="K131" s="189"/>
      <c r="L131" s="189"/>
      <c r="M131" s="189"/>
      <c r="N131" s="189"/>
      <c r="O131" s="189"/>
      <c r="P131" s="189"/>
      <c r="Q131" s="189"/>
      <c r="R131" s="189"/>
      <c r="S131" s="189"/>
      <c r="T131" s="189"/>
      <c r="U131" s="189"/>
      <c r="V131" s="189"/>
      <c r="W131" s="189"/>
      <c r="X131" s="189"/>
      <c r="Y131" s="189"/>
      <c r="Z131" s="189"/>
    </row>
    <row r="132" ht="11.25" customHeight="1">
      <c r="A132" s="189"/>
      <c r="B132" s="251"/>
      <c r="C132" s="251"/>
      <c r="D132" s="252"/>
      <c r="E132" s="189"/>
      <c r="F132" s="251"/>
      <c r="G132" s="189"/>
      <c r="H132" s="189"/>
      <c r="I132" s="189"/>
      <c r="J132" s="189"/>
      <c r="K132" s="189"/>
      <c r="L132" s="189"/>
      <c r="M132" s="189"/>
      <c r="N132" s="189"/>
      <c r="O132" s="189"/>
      <c r="P132" s="189"/>
      <c r="Q132" s="189"/>
      <c r="R132" s="189"/>
      <c r="S132" s="189"/>
      <c r="T132" s="189"/>
      <c r="U132" s="189"/>
      <c r="V132" s="189"/>
      <c r="W132" s="189"/>
      <c r="X132" s="189"/>
      <c r="Y132" s="189"/>
      <c r="Z132" s="189"/>
    </row>
    <row r="133" ht="11.25" customHeight="1">
      <c r="A133" s="189"/>
      <c r="B133" s="251"/>
      <c r="C133" s="251"/>
      <c r="D133" s="252"/>
      <c r="E133" s="189"/>
      <c r="F133" s="251"/>
      <c r="G133" s="189"/>
      <c r="H133" s="189"/>
      <c r="I133" s="189"/>
      <c r="J133" s="189"/>
      <c r="K133" s="189"/>
      <c r="L133" s="189"/>
      <c r="M133" s="189"/>
      <c r="N133" s="189"/>
      <c r="O133" s="189"/>
      <c r="P133" s="189"/>
      <c r="Q133" s="189"/>
      <c r="R133" s="189"/>
      <c r="S133" s="189"/>
      <c r="T133" s="189"/>
      <c r="U133" s="189"/>
      <c r="V133" s="189"/>
      <c r="W133" s="189"/>
      <c r="X133" s="189"/>
      <c r="Y133" s="189"/>
      <c r="Z133" s="189"/>
    </row>
    <row r="134" ht="11.25" customHeight="1">
      <c r="A134" s="189"/>
      <c r="B134" s="251"/>
      <c r="C134" s="251"/>
      <c r="D134" s="252"/>
      <c r="E134" s="189"/>
      <c r="F134" s="251"/>
      <c r="G134" s="189"/>
      <c r="H134" s="189"/>
      <c r="I134" s="189"/>
      <c r="J134" s="189"/>
      <c r="K134" s="189"/>
      <c r="L134" s="189"/>
      <c r="M134" s="189"/>
      <c r="N134" s="189"/>
      <c r="O134" s="189"/>
      <c r="P134" s="189"/>
      <c r="Q134" s="189"/>
      <c r="R134" s="189"/>
      <c r="S134" s="189"/>
      <c r="T134" s="189"/>
      <c r="U134" s="189"/>
      <c r="V134" s="189"/>
      <c r="W134" s="189"/>
      <c r="X134" s="189"/>
      <c r="Y134" s="189"/>
      <c r="Z134" s="189"/>
    </row>
    <row r="135" ht="11.25" customHeight="1">
      <c r="A135" s="189"/>
      <c r="B135" s="251"/>
      <c r="C135" s="251"/>
      <c r="D135" s="252"/>
      <c r="E135" s="189"/>
      <c r="F135" s="251"/>
      <c r="G135" s="189"/>
      <c r="H135" s="189"/>
      <c r="I135" s="189"/>
      <c r="J135" s="189"/>
      <c r="K135" s="189"/>
      <c r="L135" s="189"/>
      <c r="M135" s="189"/>
      <c r="N135" s="189"/>
      <c r="O135" s="189"/>
      <c r="P135" s="189"/>
      <c r="Q135" s="189"/>
      <c r="R135" s="189"/>
      <c r="S135" s="189"/>
      <c r="T135" s="189"/>
      <c r="U135" s="189"/>
      <c r="V135" s="189"/>
      <c r="W135" s="189"/>
      <c r="X135" s="189"/>
      <c r="Y135" s="189"/>
      <c r="Z135" s="189"/>
    </row>
    <row r="136" ht="11.25" customHeight="1">
      <c r="A136" s="189"/>
      <c r="B136" s="251"/>
      <c r="C136" s="251"/>
      <c r="D136" s="252"/>
      <c r="E136" s="189"/>
      <c r="F136" s="251"/>
      <c r="G136" s="189"/>
      <c r="H136" s="189"/>
      <c r="I136" s="189"/>
      <c r="J136" s="189"/>
      <c r="K136" s="189"/>
      <c r="L136" s="189"/>
      <c r="M136" s="189"/>
      <c r="N136" s="189"/>
      <c r="O136" s="189"/>
      <c r="P136" s="189"/>
      <c r="Q136" s="189"/>
      <c r="R136" s="189"/>
      <c r="S136" s="189"/>
      <c r="T136" s="189"/>
      <c r="U136" s="189"/>
      <c r="V136" s="189"/>
      <c r="W136" s="189"/>
      <c r="X136" s="189"/>
      <c r="Y136" s="189"/>
      <c r="Z136" s="189"/>
    </row>
    <row r="137" ht="11.25" customHeight="1">
      <c r="A137" s="189"/>
      <c r="B137" s="251"/>
      <c r="C137" s="251"/>
      <c r="D137" s="252"/>
      <c r="E137" s="189"/>
      <c r="F137" s="251"/>
      <c r="G137" s="189"/>
      <c r="H137" s="189"/>
      <c r="I137" s="189"/>
      <c r="J137" s="189"/>
      <c r="K137" s="189"/>
      <c r="L137" s="189"/>
      <c r="M137" s="189"/>
      <c r="N137" s="189"/>
      <c r="O137" s="189"/>
      <c r="P137" s="189"/>
      <c r="Q137" s="189"/>
      <c r="R137" s="189"/>
      <c r="S137" s="189"/>
      <c r="T137" s="189"/>
      <c r="U137" s="189"/>
      <c r="V137" s="189"/>
      <c r="W137" s="189"/>
      <c r="X137" s="189"/>
      <c r="Y137" s="189"/>
      <c r="Z137" s="189"/>
    </row>
    <row r="138" ht="11.25" customHeight="1">
      <c r="A138" s="189"/>
      <c r="B138" s="251"/>
      <c r="C138" s="251"/>
      <c r="D138" s="252"/>
      <c r="E138" s="189"/>
      <c r="F138" s="251"/>
      <c r="G138" s="189"/>
      <c r="H138" s="189"/>
      <c r="I138" s="189"/>
      <c r="J138" s="189"/>
      <c r="K138" s="189"/>
      <c r="L138" s="189"/>
      <c r="M138" s="189"/>
      <c r="N138" s="189"/>
      <c r="O138" s="189"/>
      <c r="P138" s="189"/>
      <c r="Q138" s="189"/>
      <c r="R138" s="189"/>
      <c r="S138" s="189"/>
      <c r="T138" s="189"/>
      <c r="U138" s="189"/>
      <c r="V138" s="189"/>
      <c r="W138" s="189"/>
      <c r="X138" s="189"/>
      <c r="Y138" s="189"/>
      <c r="Z138" s="189"/>
    </row>
    <row r="139" ht="11.25" customHeight="1">
      <c r="A139" s="189"/>
      <c r="B139" s="251"/>
      <c r="C139" s="251"/>
      <c r="D139" s="252"/>
      <c r="E139" s="189"/>
      <c r="F139" s="251"/>
      <c r="G139" s="189"/>
      <c r="H139" s="189"/>
      <c r="I139" s="189"/>
      <c r="J139" s="189"/>
      <c r="K139" s="189"/>
      <c r="L139" s="189"/>
      <c r="M139" s="189"/>
      <c r="N139" s="189"/>
      <c r="O139" s="189"/>
      <c r="P139" s="189"/>
      <c r="Q139" s="189"/>
      <c r="R139" s="189"/>
      <c r="S139" s="189"/>
      <c r="T139" s="189"/>
      <c r="U139" s="189"/>
      <c r="V139" s="189"/>
      <c r="W139" s="189"/>
      <c r="X139" s="189"/>
      <c r="Y139" s="189"/>
      <c r="Z139" s="189"/>
    </row>
    <row r="140" ht="11.25" customHeight="1">
      <c r="A140" s="189"/>
      <c r="B140" s="251"/>
      <c r="C140" s="251"/>
      <c r="D140" s="252"/>
      <c r="E140" s="189"/>
      <c r="F140" s="251"/>
      <c r="G140" s="189"/>
      <c r="H140" s="189"/>
      <c r="I140" s="189"/>
      <c r="J140" s="189"/>
      <c r="K140" s="189"/>
      <c r="L140" s="189"/>
      <c r="M140" s="189"/>
      <c r="N140" s="189"/>
      <c r="O140" s="189"/>
      <c r="P140" s="189"/>
      <c r="Q140" s="189"/>
      <c r="R140" s="189"/>
      <c r="S140" s="189"/>
      <c r="T140" s="189"/>
      <c r="U140" s="189"/>
      <c r="V140" s="189"/>
      <c r="W140" s="189"/>
      <c r="X140" s="189"/>
      <c r="Y140" s="189"/>
      <c r="Z140" s="189"/>
    </row>
    <row r="141" ht="11.25" customHeight="1">
      <c r="A141" s="189"/>
      <c r="B141" s="251"/>
      <c r="C141" s="251"/>
      <c r="D141" s="252"/>
      <c r="E141" s="189"/>
      <c r="F141" s="251"/>
      <c r="G141" s="189"/>
      <c r="H141" s="189"/>
      <c r="I141" s="189"/>
      <c r="J141" s="189"/>
      <c r="K141" s="189"/>
      <c r="L141" s="189"/>
      <c r="M141" s="189"/>
      <c r="N141" s="189"/>
      <c r="O141" s="189"/>
      <c r="P141" s="189"/>
      <c r="Q141" s="189"/>
      <c r="R141" s="189"/>
      <c r="S141" s="189"/>
      <c r="T141" s="189"/>
      <c r="U141" s="189"/>
      <c r="V141" s="189"/>
      <c r="W141" s="189"/>
      <c r="X141" s="189"/>
      <c r="Y141" s="189"/>
      <c r="Z141" s="189"/>
    </row>
    <row r="142" ht="11.25" customHeight="1">
      <c r="A142" s="189"/>
      <c r="B142" s="251"/>
      <c r="C142" s="251"/>
      <c r="D142" s="252"/>
      <c r="E142" s="189"/>
      <c r="F142" s="251"/>
      <c r="G142" s="189"/>
      <c r="H142" s="189"/>
      <c r="I142" s="189"/>
      <c r="J142" s="189"/>
      <c r="K142" s="189"/>
      <c r="L142" s="189"/>
      <c r="M142" s="189"/>
      <c r="N142" s="189"/>
      <c r="O142" s="189"/>
      <c r="P142" s="189"/>
      <c r="Q142" s="189"/>
      <c r="R142" s="189"/>
      <c r="S142" s="189"/>
      <c r="T142" s="189"/>
      <c r="U142" s="189"/>
      <c r="V142" s="189"/>
      <c r="W142" s="189"/>
      <c r="X142" s="189"/>
      <c r="Y142" s="189"/>
      <c r="Z142" s="189"/>
    </row>
    <row r="143" ht="11.25" customHeight="1">
      <c r="A143" s="189"/>
      <c r="B143" s="251"/>
      <c r="C143" s="251"/>
      <c r="D143" s="252"/>
      <c r="E143" s="189"/>
      <c r="F143" s="251"/>
      <c r="G143" s="189"/>
      <c r="H143" s="189"/>
      <c r="I143" s="189"/>
      <c r="J143" s="189"/>
      <c r="K143" s="189"/>
      <c r="L143" s="189"/>
      <c r="M143" s="189"/>
      <c r="N143" s="189"/>
      <c r="O143" s="189"/>
      <c r="P143" s="189"/>
      <c r="Q143" s="189"/>
      <c r="R143" s="189"/>
      <c r="S143" s="189"/>
      <c r="T143" s="189"/>
      <c r="U143" s="189"/>
      <c r="V143" s="189"/>
      <c r="W143" s="189"/>
      <c r="X143" s="189"/>
      <c r="Y143" s="189"/>
      <c r="Z143" s="189"/>
    </row>
    <row r="144" ht="11.25" customHeight="1">
      <c r="A144" s="189"/>
      <c r="B144" s="251"/>
      <c r="C144" s="251"/>
      <c r="D144" s="252"/>
      <c r="E144" s="189"/>
      <c r="F144" s="251"/>
      <c r="G144" s="189"/>
      <c r="H144" s="189"/>
      <c r="I144" s="189"/>
      <c r="J144" s="189"/>
      <c r="K144" s="189"/>
      <c r="L144" s="189"/>
      <c r="M144" s="189"/>
      <c r="N144" s="189"/>
      <c r="O144" s="189"/>
      <c r="P144" s="189"/>
      <c r="Q144" s="189"/>
      <c r="R144" s="189"/>
      <c r="S144" s="189"/>
      <c r="T144" s="189"/>
      <c r="U144" s="189"/>
      <c r="V144" s="189"/>
      <c r="W144" s="189"/>
      <c r="X144" s="189"/>
      <c r="Y144" s="189"/>
      <c r="Z144" s="189"/>
    </row>
    <row r="145" ht="11.25" customHeight="1">
      <c r="A145" s="189"/>
      <c r="B145" s="251"/>
      <c r="C145" s="251"/>
      <c r="D145" s="252"/>
      <c r="E145" s="189"/>
      <c r="F145" s="251"/>
      <c r="G145" s="189"/>
      <c r="H145" s="189"/>
      <c r="I145" s="189"/>
      <c r="J145" s="189"/>
      <c r="K145" s="189"/>
      <c r="L145" s="189"/>
      <c r="M145" s="189"/>
      <c r="N145" s="189"/>
      <c r="O145" s="189"/>
      <c r="P145" s="189"/>
      <c r="Q145" s="189"/>
      <c r="R145" s="189"/>
      <c r="S145" s="189"/>
      <c r="T145" s="189"/>
      <c r="U145" s="189"/>
      <c r="V145" s="189"/>
      <c r="W145" s="189"/>
      <c r="X145" s="189"/>
      <c r="Y145" s="189"/>
      <c r="Z145" s="189"/>
    </row>
    <row r="146" ht="11.25" customHeight="1">
      <c r="A146" s="189"/>
      <c r="B146" s="251"/>
      <c r="C146" s="251"/>
      <c r="D146" s="252"/>
      <c r="E146" s="189"/>
      <c r="F146" s="251"/>
      <c r="G146" s="189"/>
      <c r="H146" s="189"/>
      <c r="I146" s="189"/>
      <c r="J146" s="189"/>
      <c r="K146" s="189"/>
      <c r="L146" s="189"/>
      <c r="M146" s="189"/>
      <c r="N146" s="189"/>
      <c r="O146" s="189"/>
      <c r="P146" s="189"/>
      <c r="Q146" s="189"/>
      <c r="R146" s="189"/>
      <c r="S146" s="189"/>
      <c r="T146" s="189"/>
      <c r="U146" s="189"/>
      <c r="V146" s="189"/>
      <c r="W146" s="189"/>
      <c r="X146" s="189"/>
      <c r="Y146" s="189"/>
      <c r="Z146" s="189"/>
    </row>
    <row r="147" ht="11.25" customHeight="1">
      <c r="A147" s="189"/>
      <c r="B147" s="251"/>
      <c r="C147" s="251"/>
      <c r="D147" s="252"/>
      <c r="E147" s="189"/>
      <c r="F147" s="251"/>
      <c r="G147" s="189"/>
      <c r="H147" s="189"/>
      <c r="I147" s="189"/>
      <c r="J147" s="189"/>
      <c r="K147" s="189"/>
      <c r="L147" s="189"/>
      <c r="M147" s="189"/>
      <c r="N147" s="189"/>
      <c r="O147" s="189"/>
      <c r="P147" s="189"/>
      <c r="Q147" s="189"/>
      <c r="R147" s="189"/>
      <c r="S147" s="189"/>
      <c r="T147" s="189"/>
      <c r="U147" s="189"/>
      <c r="V147" s="189"/>
      <c r="W147" s="189"/>
      <c r="X147" s="189"/>
      <c r="Y147" s="189"/>
      <c r="Z147" s="189"/>
    </row>
    <row r="148" ht="11.25" customHeight="1">
      <c r="A148" s="189"/>
      <c r="B148" s="251"/>
      <c r="C148" s="251"/>
      <c r="D148" s="252"/>
      <c r="E148" s="189"/>
      <c r="F148" s="251"/>
      <c r="G148" s="189"/>
      <c r="H148" s="189"/>
      <c r="I148" s="189"/>
      <c r="J148" s="189"/>
      <c r="K148" s="189"/>
      <c r="L148" s="189"/>
      <c r="M148" s="189"/>
      <c r="N148" s="189"/>
      <c r="O148" s="189"/>
      <c r="P148" s="189"/>
      <c r="Q148" s="189"/>
      <c r="R148" s="189"/>
      <c r="S148" s="189"/>
      <c r="T148" s="189"/>
      <c r="U148" s="189"/>
      <c r="V148" s="189"/>
      <c r="W148" s="189"/>
      <c r="X148" s="189"/>
      <c r="Y148" s="189"/>
      <c r="Z148" s="189"/>
    </row>
    <row r="149" ht="11.25" customHeight="1">
      <c r="A149" s="189"/>
      <c r="B149" s="251"/>
      <c r="C149" s="251"/>
      <c r="D149" s="252"/>
      <c r="E149" s="189"/>
      <c r="F149" s="251"/>
      <c r="G149" s="189"/>
      <c r="H149" s="189"/>
      <c r="I149" s="189"/>
      <c r="J149" s="189"/>
      <c r="K149" s="189"/>
      <c r="L149" s="189"/>
      <c r="M149" s="189"/>
      <c r="N149" s="189"/>
      <c r="O149" s="189"/>
      <c r="P149" s="189"/>
      <c r="Q149" s="189"/>
      <c r="R149" s="189"/>
      <c r="S149" s="189"/>
      <c r="T149" s="189"/>
      <c r="U149" s="189"/>
      <c r="V149" s="189"/>
      <c r="W149" s="189"/>
      <c r="X149" s="189"/>
      <c r="Y149" s="189"/>
      <c r="Z149" s="189"/>
    </row>
    <row r="150" ht="11.25" customHeight="1">
      <c r="A150" s="189"/>
      <c r="B150" s="251"/>
      <c r="C150" s="251"/>
      <c r="D150" s="252"/>
      <c r="E150" s="189"/>
      <c r="F150" s="251"/>
      <c r="G150" s="189"/>
      <c r="H150" s="189"/>
      <c r="I150" s="189"/>
      <c r="J150" s="189"/>
      <c r="K150" s="189"/>
      <c r="L150" s="189"/>
      <c r="M150" s="189"/>
      <c r="N150" s="189"/>
      <c r="O150" s="189"/>
      <c r="P150" s="189"/>
      <c r="Q150" s="189"/>
      <c r="R150" s="189"/>
      <c r="S150" s="189"/>
      <c r="T150" s="189"/>
      <c r="U150" s="189"/>
      <c r="V150" s="189"/>
      <c r="W150" s="189"/>
      <c r="X150" s="189"/>
      <c r="Y150" s="189"/>
      <c r="Z150" s="189"/>
    </row>
    <row r="151" ht="11.25" customHeight="1">
      <c r="A151" s="189"/>
      <c r="B151" s="251"/>
      <c r="C151" s="251"/>
      <c r="D151" s="252"/>
      <c r="E151" s="189"/>
      <c r="F151" s="251"/>
      <c r="G151" s="189"/>
      <c r="H151" s="189"/>
      <c r="I151" s="189"/>
      <c r="J151" s="189"/>
      <c r="K151" s="189"/>
      <c r="L151" s="189"/>
      <c r="M151" s="189"/>
      <c r="N151" s="189"/>
      <c r="O151" s="189"/>
      <c r="P151" s="189"/>
      <c r="Q151" s="189"/>
      <c r="R151" s="189"/>
      <c r="S151" s="189"/>
      <c r="T151" s="189"/>
      <c r="U151" s="189"/>
      <c r="V151" s="189"/>
      <c r="W151" s="189"/>
      <c r="X151" s="189"/>
      <c r="Y151" s="189"/>
      <c r="Z151" s="189"/>
    </row>
    <row r="152" ht="11.25" customHeight="1">
      <c r="A152" s="189"/>
      <c r="B152" s="251"/>
      <c r="C152" s="251"/>
      <c r="D152" s="252"/>
      <c r="E152" s="189"/>
      <c r="F152" s="251"/>
      <c r="G152" s="189"/>
      <c r="H152" s="189"/>
      <c r="I152" s="189"/>
      <c r="J152" s="189"/>
      <c r="K152" s="189"/>
      <c r="L152" s="189"/>
      <c r="M152" s="189"/>
      <c r="N152" s="189"/>
      <c r="O152" s="189"/>
      <c r="P152" s="189"/>
      <c r="Q152" s="189"/>
      <c r="R152" s="189"/>
      <c r="S152" s="189"/>
      <c r="T152" s="189"/>
      <c r="U152" s="189"/>
      <c r="V152" s="189"/>
      <c r="W152" s="189"/>
      <c r="X152" s="189"/>
      <c r="Y152" s="189"/>
      <c r="Z152" s="189"/>
    </row>
    <row r="153" ht="11.25" customHeight="1">
      <c r="A153" s="189"/>
      <c r="B153" s="251"/>
      <c r="C153" s="251"/>
      <c r="D153" s="252"/>
      <c r="E153" s="189"/>
      <c r="F153" s="251"/>
      <c r="G153" s="189"/>
      <c r="H153" s="189"/>
      <c r="I153" s="189"/>
      <c r="J153" s="189"/>
      <c r="K153" s="189"/>
      <c r="L153" s="189"/>
      <c r="M153" s="189"/>
      <c r="N153" s="189"/>
      <c r="O153" s="189"/>
      <c r="P153" s="189"/>
      <c r="Q153" s="189"/>
      <c r="R153" s="189"/>
      <c r="S153" s="189"/>
      <c r="T153" s="189"/>
      <c r="U153" s="189"/>
      <c r="V153" s="189"/>
      <c r="W153" s="189"/>
      <c r="X153" s="189"/>
      <c r="Y153" s="189"/>
      <c r="Z153" s="189"/>
    </row>
    <row r="154" ht="11.25" customHeight="1">
      <c r="A154" s="189"/>
      <c r="B154" s="251"/>
      <c r="C154" s="251"/>
      <c r="D154" s="252"/>
      <c r="E154" s="189"/>
      <c r="F154" s="251"/>
      <c r="G154" s="189"/>
      <c r="H154" s="189"/>
      <c r="I154" s="189"/>
      <c r="J154" s="189"/>
      <c r="K154" s="189"/>
      <c r="L154" s="189"/>
      <c r="M154" s="189"/>
      <c r="N154" s="189"/>
      <c r="O154" s="189"/>
      <c r="P154" s="189"/>
      <c r="Q154" s="189"/>
      <c r="R154" s="189"/>
      <c r="S154" s="189"/>
      <c r="T154" s="189"/>
      <c r="U154" s="189"/>
      <c r="V154" s="189"/>
      <c r="W154" s="189"/>
      <c r="X154" s="189"/>
      <c r="Y154" s="189"/>
      <c r="Z154" s="189"/>
    </row>
    <row r="155" ht="11.25" customHeight="1">
      <c r="A155" s="189"/>
      <c r="B155" s="251"/>
      <c r="C155" s="251"/>
      <c r="D155" s="252"/>
      <c r="E155" s="189"/>
      <c r="F155" s="251"/>
      <c r="G155" s="189"/>
      <c r="H155" s="189"/>
      <c r="I155" s="189"/>
      <c r="J155" s="189"/>
      <c r="K155" s="189"/>
      <c r="L155" s="189"/>
      <c r="M155" s="189"/>
      <c r="N155" s="189"/>
      <c r="O155" s="189"/>
      <c r="P155" s="189"/>
      <c r="Q155" s="189"/>
      <c r="R155" s="189"/>
      <c r="S155" s="189"/>
      <c r="T155" s="189"/>
      <c r="U155" s="189"/>
      <c r="V155" s="189"/>
      <c r="W155" s="189"/>
      <c r="X155" s="189"/>
      <c r="Y155" s="189"/>
      <c r="Z155" s="189"/>
    </row>
    <row r="156" ht="11.25" customHeight="1">
      <c r="A156" s="189"/>
      <c r="B156" s="251"/>
      <c r="C156" s="251"/>
      <c r="D156" s="252"/>
      <c r="E156" s="189"/>
      <c r="F156" s="251"/>
      <c r="G156" s="189"/>
      <c r="H156" s="189"/>
      <c r="I156" s="189"/>
      <c r="J156" s="189"/>
      <c r="K156" s="189"/>
      <c r="L156" s="189"/>
      <c r="M156" s="189"/>
      <c r="N156" s="189"/>
      <c r="O156" s="189"/>
      <c r="P156" s="189"/>
      <c r="Q156" s="189"/>
      <c r="R156" s="189"/>
      <c r="S156" s="189"/>
      <c r="T156" s="189"/>
      <c r="U156" s="189"/>
      <c r="V156" s="189"/>
      <c r="W156" s="189"/>
      <c r="X156" s="189"/>
      <c r="Y156" s="189"/>
      <c r="Z156" s="189"/>
    </row>
    <row r="157" ht="11.25" customHeight="1">
      <c r="A157" s="189"/>
      <c r="B157" s="251"/>
      <c r="C157" s="251"/>
      <c r="D157" s="252"/>
      <c r="E157" s="189"/>
      <c r="F157" s="251"/>
      <c r="G157" s="189"/>
      <c r="H157" s="189"/>
      <c r="I157" s="189"/>
      <c r="J157" s="189"/>
      <c r="K157" s="189"/>
      <c r="L157" s="189"/>
      <c r="M157" s="189"/>
      <c r="N157" s="189"/>
      <c r="O157" s="189"/>
      <c r="P157" s="189"/>
      <c r="Q157" s="189"/>
      <c r="R157" s="189"/>
      <c r="S157" s="189"/>
      <c r="T157" s="189"/>
      <c r="U157" s="189"/>
      <c r="V157" s="189"/>
      <c r="W157" s="189"/>
      <c r="X157" s="189"/>
      <c r="Y157" s="189"/>
      <c r="Z157" s="189"/>
    </row>
    <row r="158" ht="11.25" customHeight="1">
      <c r="A158" s="189"/>
      <c r="B158" s="251"/>
      <c r="C158" s="251"/>
      <c r="D158" s="252"/>
      <c r="E158" s="189"/>
      <c r="F158" s="251"/>
      <c r="G158" s="189"/>
      <c r="H158" s="189"/>
      <c r="I158" s="189"/>
      <c r="J158" s="189"/>
      <c r="K158" s="189"/>
      <c r="L158" s="189"/>
      <c r="M158" s="189"/>
      <c r="N158" s="189"/>
      <c r="O158" s="189"/>
      <c r="P158" s="189"/>
      <c r="Q158" s="189"/>
      <c r="R158" s="189"/>
      <c r="S158" s="189"/>
      <c r="T158" s="189"/>
      <c r="U158" s="189"/>
      <c r="V158" s="189"/>
      <c r="W158" s="189"/>
      <c r="X158" s="189"/>
      <c r="Y158" s="189"/>
      <c r="Z158" s="189"/>
    </row>
    <row r="159" ht="11.25" customHeight="1">
      <c r="A159" s="189"/>
      <c r="B159" s="251"/>
      <c r="C159" s="251"/>
      <c r="D159" s="252"/>
      <c r="E159" s="189"/>
      <c r="F159" s="251"/>
      <c r="G159" s="189"/>
      <c r="H159" s="189"/>
      <c r="I159" s="189"/>
      <c r="J159" s="189"/>
      <c r="K159" s="189"/>
      <c r="L159" s="189"/>
      <c r="M159" s="189"/>
      <c r="N159" s="189"/>
      <c r="O159" s="189"/>
      <c r="P159" s="189"/>
      <c r="Q159" s="189"/>
      <c r="R159" s="189"/>
      <c r="S159" s="189"/>
      <c r="T159" s="189"/>
      <c r="U159" s="189"/>
      <c r="V159" s="189"/>
      <c r="W159" s="189"/>
      <c r="X159" s="189"/>
      <c r="Y159" s="189"/>
      <c r="Z159" s="189"/>
    </row>
    <row r="160" ht="11.25" customHeight="1">
      <c r="A160" s="189"/>
      <c r="B160" s="251"/>
      <c r="C160" s="251"/>
      <c r="D160" s="252"/>
      <c r="E160" s="189"/>
      <c r="F160" s="251"/>
      <c r="G160" s="189"/>
      <c r="H160" s="189"/>
      <c r="I160" s="189"/>
      <c r="J160" s="189"/>
      <c r="K160" s="189"/>
      <c r="L160" s="189"/>
      <c r="M160" s="189"/>
      <c r="N160" s="189"/>
      <c r="O160" s="189"/>
      <c r="P160" s="189"/>
      <c r="Q160" s="189"/>
      <c r="R160" s="189"/>
      <c r="S160" s="189"/>
      <c r="T160" s="189"/>
      <c r="U160" s="189"/>
      <c r="V160" s="189"/>
      <c r="W160" s="189"/>
      <c r="X160" s="189"/>
      <c r="Y160" s="189"/>
      <c r="Z160" s="189"/>
    </row>
    <row r="161" ht="11.25" customHeight="1">
      <c r="A161" s="189"/>
      <c r="B161" s="251"/>
      <c r="C161" s="251"/>
      <c r="D161" s="252"/>
      <c r="E161" s="189"/>
      <c r="F161" s="251"/>
      <c r="G161" s="189"/>
      <c r="H161" s="189"/>
      <c r="I161" s="189"/>
      <c r="J161" s="189"/>
      <c r="K161" s="189"/>
      <c r="L161" s="189"/>
      <c r="M161" s="189"/>
      <c r="N161" s="189"/>
      <c r="O161" s="189"/>
      <c r="P161" s="189"/>
      <c r="Q161" s="189"/>
      <c r="R161" s="189"/>
      <c r="S161" s="189"/>
      <c r="T161" s="189"/>
      <c r="U161" s="189"/>
      <c r="V161" s="189"/>
      <c r="W161" s="189"/>
      <c r="X161" s="189"/>
      <c r="Y161" s="189"/>
      <c r="Z161" s="189"/>
    </row>
    <row r="162" ht="11.25" customHeight="1">
      <c r="A162" s="189"/>
      <c r="B162" s="251"/>
      <c r="C162" s="251"/>
      <c r="D162" s="252"/>
      <c r="E162" s="189"/>
      <c r="F162" s="251"/>
      <c r="G162" s="189"/>
      <c r="H162" s="189"/>
      <c r="I162" s="189"/>
      <c r="J162" s="189"/>
      <c r="K162" s="189"/>
      <c r="L162" s="189"/>
      <c r="M162" s="189"/>
      <c r="N162" s="189"/>
      <c r="O162" s="189"/>
      <c r="P162" s="189"/>
      <c r="Q162" s="189"/>
      <c r="R162" s="189"/>
      <c r="S162" s="189"/>
      <c r="T162" s="189"/>
      <c r="U162" s="189"/>
      <c r="V162" s="189"/>
      <c r="W162" s="189"/>
      <c r="X162" s="189"/>
      <c r="Y162" s="189"/>
      <c r="Z162" s="189"/>
    </row>
    <row r="163" ht="11.25" customHeight="1">
      <c r="A163" s="189"/>
      <c r="B163" s="251"/>
      <c r="C163" s="251"/>
      <c r="D163" s="252"/>
      <c r="E163" s="189"/>
      <c r="F163" s="251"/>
      <c r="G163" s="189"/>
      <c r="H163" s="189"/>
      <c r="I163" s="189"/>
      <c r="J163" s="189"/>
      <c r="K163" s="189"/>
      <c r="L163" s="189"/>
      <c r="M163" s="189"/>
      <c r="N163" s="189"/>
      <c r="O163" s="189"/>
      <c r="P163" s="189"/>
      <c r="Q163" s="189"/>
      <c r="R163" s="189"/>
      <c r="S163" s="189"/>
      <c r="T163" s="189"/>
      <c r="U163" s="189"/>
      <c r="V163" s="189"/>
      <c r="W163" s="189"/>
      <c r="X163" s="189"/>
      <c r="Y163" s="189"/>
      <c r="Z163" s="189"/>
    </row>
    <row r="164" ht="11.25" customHeight="1">
      <c r="A164" s="189"/>
      <c r="B164" s="251"/>
      <c r="C164" s="251"/>
      <c r="D164" s="252"/>
      <c r="E164" s="189"/>
      <c r="F164" s="251"/>
      <c r="G164" s="189"/>
      <c r="H164" s="189"/>
      <c r="I164" s="189"/>
      <c r="J164" s="189"/>
      <c r="K164" s="189"/>
      <c r="L164" s="189"/>
      <c r="M164" s="189"/>
      <c r="N164" s="189"/>
      <c r="O164" s="189"/>
      <c r="P164" s="189"/>
      <c r="Q164" s="189"/>
      <c r="R164" s="189"/>
      <c r="S164" s="189"/>
      <c r="T164" s="189"/>
      <c r="U164" s="189"/>
      <c r="V164" s="189"/>
      <c r="W164" s="189"/>
      <c r="X164" s="189"/>
      <c r="Y164" s="189"/>
      <c r="Z164" s="189"/>
    </row>
    <row r="165" ht="11.25" customHeight="1">
      <c r="A165" s="189"/>
      <c r="B165" s="251"/>
      <c r="C165" s="251"/>
      <c r="D165" s="252"/>
      <c r="E165" s="189"/>
      <c r="F165" s="251"/>
      <c r="G165" s="189"/>
      <c r="H165" s="189"/>
      <c r="I165" s="189"/>
      <c r="J165" s="189"/>
      <c r="K165" s="189"/>
      <c r="L165" s="189"/>
      <c r="M165" s="189"/>
      <c r="N165" s="189"/>
      <c r="O165" s="189"/>
      <c r="P165" s="189"/>
      <c r="Q165" s="189"/>
      <c r="R165" s="189"/>
      <c r="S165" s="189"/>
      <c r="T165" s="189"/>
      <c r="U165" s="189"/>
      <c r="V165" s="189"/>
      <c r="W165" s="189"/>
      <c r="X165" s="189"/>
      <c r="Y165" s="189"/>
      <c r="Z165" s="189"/>
    </row>
    <row r="166" ht="11.25" customHeight="1">
      <c r="A166" s="189"/>
      <c r="B166" s="251"/>
      <c r="C166" s="251"/>
      <c r="D166" s="252"/>
      <c r="E166" s="189"/>
      <c r="F166" s="251"/>
      <c r="G166" s="189"/>
      <c r="H166" s="189"/>
      <c r="I166" s="189"/>
      <c r="J166" s="189"/>
      <c r="K166" s="189"/>
      <c r="L166" s="189"/>
      <c r="M166" s="189"/>
      <c r="N166" s="189"/>
      <c r="O166" s="189"/>
      <c r="P166" s="189"/>
      <c r="Q166" s="189"/>
      <c r="R166" s="189"/>
      <c r="S166" s="189"/>
      <c r="T166" s="189"/>
      <c r="U166" s="189"/>
      <c r="V166" s="189"/>
      <c r="W166" s="189"/>
      <c r="X166" s="189"/>
      <c r="Y166" s="189"/>
      <c r="Z166" s="189"/>
    </row>
    <row r="167" ht="11.25" customHeight="1">
      <c r="A167" s="189"/>
      <c r="B167" s="251"/>
      <c r="C167" s="251"/>
      <c r="D167" s="252"/>
      <c r="E167" s="189"/>
      <c r="F167" s="251"/>
      <c r="G167" s="189"/>
      <c r="H167" s="189"/>
      <c r="I167" s="189"/>
      <c r="J167" s="189"/>
      <c r="K167" s="189"/>
      <c r="L167" s="189"/>
      <c r="M167" s="189"/>
      <c r="N167" s="189"/>
      <c r="O167" s="189"/>
      <c r="P167" s="189"/>
      <c r="Q167" s="189"/>
      <c r="R167" s="189"/>
      <c r="S167" s="189"/>
      <c r="T167" s="189"/>
      <c r="U167" s="189"/>
      <c r="V167" s="189"/>
      <c r="W167" s="189"/>
      <c r="X167" s="189"/>
      <c r="Y167" s="189"/>
      <c r="Z167" s="189"/>
    </row>
    <row r="168" ht="11.25" customHeight="1">
      <c r="A168" s="189"/>
      <c r="B168" s="251"/>
      <c r="C168" s="251"/>
      <c r="D168" s="252"/>
      <c r="E168" s="189"/>
      <c r="F168" s="251"/>
      <c r="G168" s="189"/>
      <c r="H168" s="189"/>
      <c r="I168" s="189"/>
      <c r="J168" s="189"/>
      <c r="K168" s="189"/>
      <c r="L168" s="189"/>
      <c r="M168" s="189"/>
      <c r="N168" s="189"/>
      <c r="O168" s="189"/>
      <c r="P168" s="189"/>
      <c r="Q168" s="189"/>
      <c r="R168" s="189"/>
      <c r="S168" s="189"/>
      <c r="T168" s="189"/>
      <c r="U168" s="189"/>
      <c r="V168" s="189"/>
      <c r="W168" s="189"/>
      <c r="X168" s="189"/>
      <c r="Y168" s="189"/>
      <c r="Z168" s="189"/>
    </row>
    <row r="169" ht="11.25" customHeight="1">
      <c r="A169" s="189"/>
      <c r="B169" s="251"/>
      <c r="C169" s="251"/>
      <c r="D169" s="252"/>
      <c r="E169" s="189"/>
      <c r="F169" s="251"/>
      <c r="G169" s="189"/>
      <c r="H169" s="189"/>
      <c r="I169" s="189"/>
      <c r="J169" s="189"/>
      <c r="K169" s="189"/>
      <c r="L169" s="189"/>
      <c r="M169" s="189"/>
      <c r="N169" s="189"/>
      <c r="O169" s="189"/>
      <c r="P169" s="189"/>
      <c r="Q169" s="189"/>
      <c r="R169" s="189"/>
      <c r="S169" s="189"/>
      <c r="T169" s="189"/>
      <c r="U169" s="189"/>
      <c r="V169" s="189"/>
      <c r="W169" s="189"/>
      <c r="X169" s="189"/>
      <c r="Y169" s="189"/>
      <c r="Z169" s="189"/>
    </row>
    <row r="170" ht="11.25" customHeight="1">
      <c r="A170" s="189"/>
      <c r="B170" s="251"/>
      <c r="C170" s="251"/>
      <c r="D170" s="252"/>
      <c r="E170" s="189"/>
      <c r="F170" s="251"/>
      <c r="G170" s="189"/>
      <c r="H170" s="189"/>
      <c r="I170" s="189"/>
      <c r="J170" s="189"/>
      <c r="K170" s="189"/>
      <c r="L170" s="189"/>
      <c r="M170" s="189"/>
      <c r="N170" s="189"/>
      <c r="O170" s="189"/>
      <c r="P170" s="189"/>
      <c r="Q170" s="189"/>
      <c r="R170" s="189"/>
      <c r="S170" s="189"/>
      <c r="T170" s="189"/>
      <c r="U170" s="189"/>
      <c r="V170" s="189"/>
      <c r="W170" s="189"/>
      <c r="X170" s="189"/>
      <c r="Y170" s="189"/>
      <c r="Z170" s="189"/>
    </row>
    <row r="171" ht="11.25" customHeight="1">
      <c r="A171" s="189"/>
      <c r="B171" s="251"/>
      <c r="C171" s="251"/>
      <c r="D171" s="252"/>
      <c r="E171" s="189"/>
      <c r="F171" s="251"/>
      <c r="G171" s="189"/>
      <c r="H171" s="189"/>
      <c r="I171" s="189"/>
      <c r="J171" s="189"/>
      <c r="K171" s="189"/>
      <c r="L171" s="189"/>
      <c r="M171" s="189"/>
      <c r="N171" s="189"/>
      <c r="O171" s="189"/>
      <c r="P171" s="189"/>
      <c r="Q171" s="189"/>
      <c r="R171" s="189"/>
      <c r="S171" s="189"/>
      <c r="T171" s="189"/>
      <c r="U171" s="189"/>
      <c r="V171" s="189"/>
      <c r="W171" s="189"/>
      <c r="X171" s="189"/>
      <c r="Y171" s="189"/>
      <c r="Z171" s="189"/>
    </row>
    <row r="172" ht="11.25" customHeight="1">
      <c r="A172" s="189"/>
      <c r="B172" s="251"/>
      <c r="C172" s="251"/>
      <c r="D172" s="252"/>
      <c r="E172" s="189"/>
      <c r="F172" s="251"/>
      <c r="G172" s="189"/>
      <c r="H172" s="189"/>
      <c r="I172" s="189"/>
      <c r="J172" s="189"/>
      <c r="K172" s="189"/>
      <c r="L172" s="189"/>
      <c r="M172" s="189"/>
      <c r="N172" s="189"/>
      <c r="O172" s="189"/>
      <c r="P172" s="189"/>
      <c r="Q172" s="189"/>
      <c r="R172" s="189"/>
      <c r="S172" s="189"/>
      <c r="T172" s="189"/>
      <c r="U172" s="189"/>
      <c r="V172" s="189"/>
      <c r="W172" s="189"/>
      <c r="X172" s="189"/>
      <c r="Y172" s="189"/>
      <c r="Z172" s="189"/>
    </row>
    <row r="173" ht="11.25" customHeight="1">
      <c r="A173" s="189"/>
      <c r="B173" s="251"/>
      <c r="C173" s="251"/>
      <c r="D173" s="252"/>
      <c r="E173" s="189"/>
      <c r="F173" s="251"/>
      <c r="G173" s="189"/>
      <c r="H173" s="189"/>
      <c r="I173" s="189"/>
      <c r="J173" s="189"/>
      <c r="K173" s="189"/>
      <c r="L173" s="189"/>
      <c r="M173" s="189"/>
      <c r="N173" s="189"/>
      <c r="O173" s="189"/>
      <c r="P173" s="189"/>
      <c r="Q173" s="189"/>
      <c r="R173" s="189"/>
      <c r="S173" s="189"/>
      <c r="T173" s="189"/>
      <c r="U173" s="189"/>
      <c r="V173" s="189"/>
      <c r="W173" s="189"/>
      <c r="X173" s="189"/>
      <c r="Y173" s="189"/>
      <c r="Z173" s="189"/>
    </row>
    <row r="174" ht="11.25" customHeight="1">
      <c r="A174" s="189"/>
      <c r="B174" s="251"/>
      <c r="C174" s="251"/>
      <c r="D174" s="252"/>
      <c r="E174" s="189"/>
      <c r="F174" s="251"/>
      <c r="G174" s="189"/>
      <c r="H174" s="189"/>
      <c r="I174" s="189"/>
      <c r="J174" s="189"/>
      <c r="K174" s="189"/>
      <c r="L174" s="189"/>
      <c r="M174" s="189"/>
      <c r="N174" s="189"/>
      <c r="O174" s="189"/>
      <c r="P174" s="189"/>
      <c r="Q174" s="189"/>
      <c r="R174" s="189"/>
      <c r="S174" s="189"/>
      <c r="T174" s="189"/>
      <c r="U174" s="189"/>
      <c r="V174" s="189"/>
      <c r="W174" s="189"/>
      <c r="X174" s="189"/>
      <c r="Y174" s="189"/>
      <c r="Z174" s="189"/>
    </row>
    <row r="175" ht="11.25" customHeight="1">
      <c r="A175" s="189"/>
      <c r="B175" s="251"/>
      <c r="C175" s="251"/>
      <c r="D175" s="252"/>
      <c r="E175" s="189"/>
      <c r="F175" s="251"/>
      <c r="G175" s="189"/>
      <c r="H175" s="189"/>
      <c r="I175" s="189"/>
      <c r="J175" s="189"/>
      <c r="K175" s="189"/>
      <c r="L175" s="189"/>
      <c r="M175" s="189"/>
      <c r="N175" s="189"/>
      <c r="O175" s="189"/>
      <c r="P175" s="189"/>
      <c r="Q175" s="189"/>
      <c r="R175" s="189"/>
      <c r="S175" s="189"/>
      <c r="T175" s="189"/>
      <c r="U175" s="189"/>
      <c r="V175" s="189"/>
      <c r="W175" s="189"/>
      <c r="X175" s="189"/>
      <c r="Y175" s="189"/>
      <c r="Z175" s="189"/>
    </row>
    <row r="176" ht="11.25" customHeight="1">
      <c r="A176" s="189"/>
      <c r="B176" s="251"/>
      <c r="C176" s="251"/>
      <c r="D176" s="252"/>
      <c r="E176" s="189"/>
      <c r="F176" s="251"/>
      <c r="G176" s="189"/>
      <c r="H176" s="189"/>
      <c r="I176" s="189"/>
      <c r="J176" s="189"/>
      <c r="K176" s="189"/>
      <c r="L176" s="189"/>
      <c r="M176" s="189"/>
      <c r="N176" s="189"/>
      <c r="O176" s="189"/>
      <c r="P176" s="189"/>
      <c r="Q176" s="189"/>
      <c r="R176" s="189"/>
      <c r="S176" s="189"/>
      <c r="T176" s="189"/>
      <c r="U176" s="189"/>
      <c r="V176" s="189"/>
      <c r="W176" s="189"/>
      <c r="X176" s="189"/>
      <c r="Y176" s="189"/>
      <c r="Z176" s="189"/>
    </row>
    <row r="177" ht="11.25" customHeight="1">
      <c r="A177" s="189"/>
      <c r="B177" s="251"/>
      <c r="C177" s="251"/>
      <c r="D177" s="252"/>
      <c r="E177" s="189"/>
      <c r="F177" s="251"/>
      <c r="G177" s="189"/>
      <c r="H177" s="189"/>
      <c r="I177" s="189"/>
      <c r="J177" s="189"/>
      <c r="K177" s="189"/>
      <c r="L177" s="189"/>
      <c r="M177" s="189"/>
      <c r="N177" s="189"/>
      <c r="O177" s="189"/>
      <c r="P177" s="189"/>
      <c r="Q177" s="189"/>
      <c r="R177" s="189"/>
      <c r="S177" s="189"/>
      <c r="T177" s="189"/>
      <c r="U177" s="189"/>
      <c r="V177" s="189"/>
      <c r="W177" s="189"/>
      <c r="X177" s="189"/>
      <c r="Y177" s="189"/>
      <c r="Z177" s="189"/>
    </row>
    <row r="178" ht="11.25" customHeight="1">
      <c r="A178" s="189"/>
      <c r="B178" s="251"/>
      <c r="C178" s="251"/>
      <c r="D178" s="252"/>
      <c r="E178" s="189"/>
      <c r="F178" s="251"/>
      <c r="G178" s="189"/>
      <c r="H178" s="189"/>
      <c r="I178" s="189"/>
      <c r="J178" s="189"/>
      <c r="K178" s="189"/>
      <c r="L178" s="189"/>
      <c r="M178" s="189"/>
      <c r="N178" s="189"/>
      <c r="O178" s="189"/>
      <c r="P178" s="189"/>
      <c r="Q178" s="189"/>
      <c r="R178" s="189"/>
      <c r="S178" s="189"/>
      <c r="T178" s="189"/>
      <c r="U178" s="189"/>
      <c r="V178" s="189"/>
      <c r="W178" s="189"/>
      <c r="X178" s="189"/>
      <c r="Y178" s="189"/>
      <c r="Z178" s="189"/>
    </row>
    <row r="179" ht="11.25" customHeight="1">
      <c r="A179" s="189"/>
      <c r="B179" s="251"/>
      <c r="C179" s="251"/>
      <c r="D179" s="252"/>
      <c r="E179" s="189"/>
      <c r="F179" s="251"/>
      <c r="G179" s="189"/>
      <c r="H179" s="189"/>
      <c r="I179" s="189"/>
      <c r="J179" s="189"/>
      <c r="K179" s="189"/>
      <c r="L179" s="189"/>
      <c r="M179" s="189"/>
      <c r="N179" s="189"/>
      <c r="O179" s="189"/>
      <c r="P179" s="189"/>
      <c r="Q179" s="189"/>
      <c r="R179" s="189"/>
      <c r="S179" s="189"/>
      <c r="T179" s="189"/>
      <c r="U179" s="189"/>
      <c r="V179" s="189"/>
      <c r="W179" s="189"/>
      <c r="X179" s="189"/>
      <c r="Y179" s="189"/>
      <c r="Z179" s="189"/>
    </row>
    <row r="180" ht="11.25" customHeight="1">
      <c r="A180" s="189"/>
      <c r="B180" s="251"/>
      <c r="C180" s="251"/>
      <c r="D180" s="252"/>
      <c r="E180" s="189"/>
      <c r="F180" s="251"/>
      <c r="G180" s="189"/>
      <c r="H180" s="189"/>
      <c r="I180" s="189"/>
      <c r="J180" s="189"/>
      <c r="K180" s="189"/>
      <c r="L180" s="189"/>
      <c r="M180" s="189"/>
      <c r="N180" s="189"/>
      <c r="O180" s="189"/>
      <c r="P180" s="189"/>
      <c r="Q180" s="189"/>
      <c r="R180" s="189"/>
      <c r="S180" s="189"/>
      <c r="T180" s="189"/>
      <c r="U180" s="189"/>
      <c r="V180" s="189"/>
      <c r="W180" s="189"/>
      <c r="X180" s="189"/>
      <c r="Y180" s="189"/>
      <c r="Z180" s="189"/>
    </row>
    <row r="181" ht="11.25" customHeight="1">
      <c r="A181" s="189"/>
      <c r="B181" s="251"/>
      <c r="C181" s="251"/>
      <c r="D181" s="252"/>
      <c r="E181" s="189"/>
      <c r="F181" s="251"/>
      <c r="G181" s="189"/>
      <c r="H181" s="189"/>
      <c r="I181" s="189"/>
      <c r="J181" s="189"/>
      <c r="K181" s="189"/>
      <c r="L181" s="189"/>
      <c r="M181" s="189"/>
      <c r="N181" s="189"/>
      <c r="O181" s="189"/>
      <c r="P181" s="189"/>
      <c r="Q181" s="189"/>
      <c r="R181" s="189"/>
      <c r="S181" s="189"/>
      <c r="T181" s="189"/>
      <c r="U181" s="189"/>
      <c r="V181" s="189"/>
      <c r="W181" s="189"/>
      <c r="X181" s="189"/>
      <c r="Y181" s="189"/>
      <c r="Z181" s="189"/>
    </row>
    <row r="182" ht="11.25" customHeight="1">
      <c r="A182" s="189"/>
      <c r="B182" s="251"/>
      <c r="C182" s="251"/>
      <c r="D182" s="252"/>
      <c r="E182" s="189"/>
      <c r="F182" s="251"/>
      <c r="G182" s="189"/>
      <c r="H182" s="189"/>
      <c r="I182" s="189"/>
      <c r="J182" s="189"/>
      <c r="K182" s="189"/>
      <c r="L182" s="189"/>
      <c r="M182" s="189"/>
      <c r="N182" s="189"/>
      <c r="O182" s="189"/>
      <c r="P182" s="189"/>
      <c r="Q182" s="189"/>
      <c r="R182" s="189"/>
      <c r="S182" s="189"/>
      <c r="T182" s="189"/>
      <c r="U182" s="189"/>
      <c r="V182" s="189"/>
      <c r="W182" s="189"/>
      <c r="X182" s="189"/>
      <c r="Y182" s="189"/>
      <c r="Z182" s="189"/>
    </row>
    <row r="183" ht="11.25" customHeight="1">
      <c r="A183" s="189"/>
      <c r="B183" s="251"/>
      <c r="C183" s="251"/>
      <c r="D183" s="252"/>
      <c r="E183" s="189"/>
      <c r="F183" s="251"/>
      <c r="G183" s="189"/>
      <c r="H183" s="189"/>
      <c r="I183" s="189"/>
      <c r="J183" s="189"/>
      <c r="K183" s="189"/>
      <c r="L183" s="189"/>
      <c r="M183" s="189"/>
      <c r="N183" s="189"/>
      <c r="O183" s="189"/>
      <c r="P183" s="189"/>
      <c r="Q183" s="189"/>
      <c r="R183" s="189"/>
      <c r="S183" s="189"/>
      <c r="T183" s="189"/>
      <c r="U183" s="189"/>
      <c r="V183" s="189"/>
      <c r="W183" s="189"/>
      <c r="X183" s="189"/>
      <c r="Y183" s="189"/>
      <c r="Z183" s="189"/>
    </row>
    <row r="184" ht="11.25" customHeight="1">
      <c r="A184" s="189"/>
      <c r="B184" s="251"/>
      <c r="C184" s="251"/>
      <c r="D184" s="252"/>
      <c r="E184" s="189"/>
      <c r="F184" s="251"/>
      <c r="G184" s="189"/>
      <c r="H184" s="189"/>
      <c r="I184" s="189"/>
      <c r="J184" s="189"/>
      <c r="K184" s="189"/>
      <c r="L184" s="189"/>
      <c r="M184" s="189"/>
      <c r="N184" s="189"/>
      <c r="O184" s="189"/>
      <c r="P184" s="189"/>
      <c r="Q184" s="189"/>
      <c r="R184" s="189"/>
      <c r="S184" s="189"/>
      <c r="T184" s="189"/>
      <c r="U184" s="189"/>
      <c r="V184" s="189"/>
      <c r="W184" s="189"/>
      <c r="X184" s="189"/>
      <c r="Y184" s="189"/>
      <c r="Z184" s="189"/>
    </row>
    <row r="185" ht="11.25" customHeight="1">
      <c r="A185" s="189"/>
      <c r="B185" s="251"/>
      <c r="C185" s="251"/>
      <c r="D185" s="252"/>
      <c r="E185" s="189"/>
      <c r="F185" s="251"/>
      <c r="G185" s="189"/>
      <c r="H185" s="189"/>
      <c r="I185" s="189"/>
      <c r="J185" s="189"/>
      <c r="K185" s="189"/>
      <c r="L185" s="189"/>
      <c r="M185" s="189"/>
      <c r="N185" s="189"/>
      <c r="O185" s="189"/>
      <c r="P185" s="189"/>
      <c r="Q185" s="189"/>
      <c r="R185" s="189"/>
      <c r="S185" s="189"/>
      <c r="T185" s="189"/>
      <c r="U185" s="189"/>
      <c r="V185" s="189"/>
      <c r="W185" s="189"/>
      <c r="X185" s="189"/>
      <c r="Y185" s="189"/>
      <c r="Z185" s="189"/>
    </row>
    <row r="186" ht="11.25" customHeight="1">
      <c r="A186" s="189"/>
      <c r="B186" s="251"/>
      <c r="C186" s="251"/>
      <c r="D186" s="252"/>
      <c r="E186" s="189"/>
      <c r="F186" s="251"/>
      <c r="G186" s="189"/>
      <c r="H186" s="189"/>
      <c r="I186" s="189"/>
      <c r="J186" s="189"/>
      <c r="K186" s="189"/>
      <c r="L186" s="189"/>
      <c r="M186" s="189"/>
      <c r="N186" s="189"/>
      <c r="O186" s="189"/>
      <c r="P186" s="189"/>
      <c r="Q186" s="189"/>
      <c r="R186" s="189"/>
      <c r="S186" s="189"/>
      <c r="T186" s="189"/>
      <c r="U186" s="189"/>
      <c r="V186" s="189"/>
      <c r="W186" s="189"/>
      <c r="X186" s="189"/>
      <c r="Y186" s="189"/>
      <c r="Z186" s="189"/>
    </row>
    <row r="187" ht="11.25" customHeight="1">
      <c r="A187" s="189"/>
      <c r="B187" s="251"/>
      <c r="C187" s="251"/>
      <c r="D187" s="252"/>
      <c r="E187" s="189"/>
      <c r="F187" s="251"/>
      <c r="G187" s="189"/>
      <c r="H187" s="189"/>
      <c r="I187" s="189"/>
      <c r="J187" s="189"/>
      <c r="K187" s="189"/>
      <c r="L187" s="189"/>
      <c r="M187" s="189"/>
      <c r="N187" s="189"/>
      <c r="O187" s="189"/>
      <c r="P187" s="189"/>
      <c r="Q187" s="189"/>
      <c r="R187" s="189"/>
      <c r="S187" s="189"/>
      <c r="T187" s="189"/>
      <c r="U187" s="189"/>
      <c r="V187" s="189"/>
      <c r="W187" s="189"/>
      <c r="X187" s="189"/>
      <c r="Y187" s="189"/>
      <c r="Z187" s="189"/>
    </row>
    <row r="188" ht="11.25" customHeight="1">
      <c r="A188" s="189"/>
      <c r="B188" s="251"/>
      <c r="C188" s="251"/>
      <c r="D188" s="252"/>
      <c r="E188" s="189"/>
      <c r="F188" s="251"/>
      <c r="G188" s="189"/>
      <c r="H188" s="189"/>
      <c r="I188" s="189"/>
      <c r="J188" s="189"/>
      <c r="K188" s="189"/>
      <c r="L188" s="189"/>
      <c r="M188" s="189"/>
      <c r="N188" s="189"/>
      <c r="O188" s="189"/>
      <c r="P188" s="189"/>
      <c r="Q188" s="189"/>
      <c r="R188" s="189"/>
      <c r="S188" s="189"/>
      <c r="T188" s="189"/>
      <c r="U188" s="189"/>
      <c r="V188" s="189"/>
      <c r="W188" s="189"/>
      <c r="X188" s="189"/>
      <c r="Y188" s="189"/>
      <c r="Z188" s="189"/>
    </row>
    <row r="189" ht="11.25" customHeight="1">
      <c r="A189" s="189"/>
      <c r="B189" s="251"/>
      <c r="C189" s="251"/>
      <c r="D189" s="252"/>
      <c r="E189" s="189"/>
      <c r="F189" s="251"/>
      <c r="G189" s="189"/>
      <c r="H189" s="189"/>
      <c r="I189" s="189"/>
      <c r="J189" s="189"/>
      <c r="K189" s="189"/>
      <c r="L189" s="189"/>
      <c r="M189" s="189"/>
      <c r="N189" s="189"/>
      <c r="O189" s="189"/>
      <c r="P189" s="189"/>
      <c r="Q189" s="189"/>
      <c r="R189" s="189"/>
      <c r="S189" s="189"/>
      <c r="T189" s="189"/>
      <c r="U189" s="189"/>
      <c r="V189" s="189"/>
      <c r="W189" s="189"/>
      <c r="X189" s="189"/>
      <c r="Y189" s="189"/>
      <c r="Z189" s="189"/>
    </row>
    <row r="190" ht="11.25" customHeight="1">
      <c r="A190" s="189"/>
      <c r="B190" s="251"/>
      <c r="C190" s="251"/>
      <c r="D190" s="252"/>
      <c r="E190" s="189"/>
      <c r="F190" s="251"/>
      <c r="G190" s="189"/>
      <c r="H190" s="189"/>
      <c r="I190" s="189"/>
      <c r="J190" s="189"/>
      <c r="K190" s="189"/>
      <c r="L190" s="189"/>
      <c r="M190" s="189"/>
      <c r="N190" s="189"/>
      <c r="O190" s="189"/>
      <c r="P190" s="189"/>
      <c r="Q190" s="189"/>
      <c r="R190" s="189"/>
      <c r="S190" s="189"/>
      <c r="T190" s="189"/>
      <c r="U190" s="189"/>
      <c r="V190" s="189"/>
      <c r="W190" s="189"/>
      <c r="X190" s="189"/>
      <c r="Y190" s="189"/>
      <c r="Z190" s="189"/>
    </row>
    <row r="191" ht="11.25" customHeight="1">
      <c r="A191" s="189"/>
      <c r="B191" s="251"/>
      <c r="C191" s="251"/>
      <c r="D191" s="252"/>
      <c r="E191" s="189"/>
      <c r="F191" s="251"/>
      <c r="G191" s="189"/>
      <c r="H191" s="189"/>
      <c r="I191" s="189"/>
      <c r="J191" s="189"/>
      <c r="K191" s="189"/>
      <c r="L191" s="189"/>
      <c r="M191" s="189"/>
      <c r="N191" s="189"/>
      <c r="O191" s="189"/>
      <c r="P191" s="189"/>
      <c r="Q191" s="189"/>
      <c r="R191" s="189"/>
      <c r="S191" s="189"/>
      <c r="T191" s="189"/>
      <c r="U191" s="189"/>
      <c r="V191" s="189"/>
      <c r="W191" s="189"/>
      <c r="X191" s="189"/>
      <c r="Y191" s="189"/>
      <c r="Z191" s="189"/>
    </row>
    <row r="192" ht="11.25" customHeight="1">
      <c r="A192" s="189"/>
      <c r="B192" s="251"/>
      <c r="C192" s="251"/>
      <c r="D192" s="252"/>
      <c r="E192" s="189"/>
      <c r="F192" s="251"/>
      <c r="G192" s="189"/>
      <c r="H192" s="189"/>
      <c r="I192" s="189"/>
      <c r="J192" s="189"/>
      <c r="K192" s="189"/>
      <c r="L192" s="189"/>
      <c r="M192" s="189"/>
      <c r="N192" s="189"/>
      <c r="O192" s="189"/>
      <c r="P192" s="189"/>
      <c r="Q192" s="189"/>
      <c r="R192" s="189"/>
      <c r="S192" s="189"/>
      <c r="T192" s="189"/>
      <c r="U192" s="189"/>
      <c r="V192" s="189"/>
      <c r="W192" s="189"/>
      <c r="X192" s="189"/>
      <c r="Y192" s="189"/>
      <c r="Z192" s="189"/>
    </row>
    <row r="193" ht="11.25" customHeight="1">
      <c r="A193" s="189"/>
      <c r="B193" s="251"/>
      <c r="C193" s="251"/>
      <c r="D193" s="252"/>
      <c r="E193" s="189"/>
      <c r="F193" s="251"/>
      <c r="G193" s="189"/>
      <c r="H193" s="189"/>
      <c r="I193" s="189"/>
      <c r="J193" s="189"/>
      <c r="K193" s="189"/>
      <c r="L193" s="189"/>
      <c r="M193" s="189"/>
      <c r="N193" s="189"/>
      <c r="O193" s="189"/>
      <c r="P193" s="189"/>
      <c r="Q193" s="189"/>
      <c r="R193" s="189"/>
      <c r="S193" s="189"/>
      <c r="T193" s="189"/>
      <c r="U193" s="189"/>
      <c r="V193" s="189"/>
      <c r="W193" s="189"/>
      <c r="X193" s="189"/>
      <c r="Y193" s="189"/>
      <c r="Z193" s="189"/>
    </row>
    <row r="194" ht="11.25" customHeight="1">
      <c r="A194" s="189"/>
      <c r="B194" s="251"/>
      <c r="C194" s="251"/>
      <c r="D194" s="252"/>
      <c r="E194" s="189"/>
      <c r="F194" s="251"/>
      <c r="G194" s="189"/>
      <c r="H194" s="189"/>
      <c r="I194" s="189"/>
      <c r="J194" s="189"/>
      <c r="K194" s="189"/>
      <c r="L194" s="189"/>
      <c r="M194" s="189"/>
      <c r="N194" s="189"/>
      <c r="O194" s="189"/>
      <c r="P194" s="189"/>
      <c r="Q194" s="189"/>
      <c r="R194" s="189"/>
      <c r="S194" s="189"/>
      <c r="T194" s="189"/>
      <c r="U194" s="189"/>
      <c r="V194" s="189"/>
      <c r="W194" s="189"/>
      <c r="X194" s="189"/>
      <c r="Y194" s="189"/>
      <c r="Z194" s="189"/>
    </row>
    <row r="195" ht="11.25" customHeight="1">
      <c r="A195" s="189"/>
      <c r="B195" s="251"/>
      <c r="C195" s="251"/>
      <c r="D195" s="252"/>
      <c r="E195" s="189"/>
      <c r="F195" s="251"/>
      <c r="G195" s="189"/>
      <c r="H195" s="189"/>
      <c r="I195" s="189"/>
      <c r="J195" s="189"/>
      <c r="K195" s="189"/>
      <c r="L195" s="189"/>
      <c r="M195" s="189"/>
      <c r="N195" s="189"/>
      <c r="O195" s="189"/>
      <c r="P195" s="189"/>
      <c r="Q195" s="189"/>
      <c r="R195" s="189"/>
      <c r="S195" s="189"/>
      <c r="T195" s="189"/>
      <c r="U195" s="189"/>
      <c r="V195" s="189"/>
      <c r="W195" s="189"/>
      <c r="X195" s="189"/>
      <c r="Y195" s="189"/>
      <c r="Z195" s="189"/>
    </row>
    <row r="196" ht="11.25" customHeight="1">
      <c r="A196" s="189"/>
      <c r="B196" s="251"/>
      <c r="C196" s="251"/>
      <c r="D196" s="252"/>
      <c r="E196" s="189"/>
      <c r="F196" s="251"/>
      <c r="G196" s="189"/>
      <c r="H196" s="189"/>
      <c r="I196" s="189"/>
      <c r="J196" s="189"/>
      <c r="K196" s="189"/>
      <c r="L196" s="189"/>
      <c r="M196" s="189"/>
      <c r="N196" s="189"/>
      <c r="O196" s="189"/>
      <c r="P196" s="189"/>
      <c r="Q196" s="189"/>
      <c r="R196" s="189"/>
      <c r="S196" s="189"/>
      <c r="T196" s="189"/>
      <c r="U196" s="189"/>
      <c r="V196" s="189"/>
      <c r="W196" s="189"/>
      <c r="X196" s="189"/>
      <c r="Y196" s="189"/>
      <c r="Z196" s="189"/>
    </row>
    <row r="197" ht="11.25" customHeight="1">
      <c r="A197" s="189"/>
      <c r="B197" s="251"/>
      <c r="C197" s="251"/>
      <c r="D197" s="252"/>
      <c r="E197" s="189"/>
      <c r="F197" s="251"/>
      <c r="G197" s="189"/>
      <c r="H197" s="189"/>
      <c r="I197" s="189"/>
      <c r="J197" s="189"/>
      <c r="K197" s="189"/>
      <c r="L197" s="189"/>
      <c r="M197" s="189"/>
      <c r="N197" s="189"/>
      <c r="O197" s="189"/>
      <c r="P197" s="189"/>
      <c r="Q197" s="189"/>
      <c r="R197" s="189"/>
      <c r="S197" s="189"/>
      <c r="T197" s="189"/>
      <c r="U197" s="189"/>
      <c r="V197" s="189"/>
      <c r="W197" s="189"/>
      <c r="X197" s="189"/>
      <c r="Y197" s="189"/>
      <c r="Z197" s="189"/>
    </row>
    <row r="198" ht="11.25" customHeight="1">
      <c r="A198" s="189"/>
      <c r="B198" s="251"/>
      <c r="C198" s="251"/>
      <c r="D198" s="252"/>
      <c r="E198" s="189"/>
      <c r="F198" s="251"/>
      <c r="G198" s="189"/>
      <c r="H198" s="189"/>
      <c r="I198" s="189"/>
      <c r="J198" s="189"/>
      <c r="K198" s="189"/>
      <c r="L198" s="189"/>
      <c r="M198" s="189"/>
      <c r="N198" s="189"/>
      <c r="O198" s="189"/>
      <c r="P198" s="189"/>
      <c r="Q198" s="189"/>
      <c r="R198" s="189"/>
      <c r="S198" s="189"/>
      <c r="T198" s="189"/>
      <c r="U198" s="189"/>
      <c r="V198" s="189"/>
      <c r="W198" s="189"/>
      <c r="X198" s="189"/>
      <c r="Y198" s="189"/>
      <c r="Z198" s="189"/>
    </row>
    <row r="199" ht="11.25" customHeight="1">
      <c r="A199" s="189"/>
      <c r="B199" s="251"/>
      <c r="C199" s="251"/>
      <c r="D199" s="252"/>
      <c r="E199" s="189"/>
      <c r="F199" s="251"/>
      <c r="G199" s="189"/>
      <c r="H199" s="189"/>
      <c r="I199" s="189"/>
      <c r="J199" s="189"/>
      <c r="K199" s="189"/>
      <c r="L199" s="189"/>
      <c r="M199" s="189"/>
      <c r="N199" s="189"/>
      <c r="O199" s="189"/>
      <c r="P199" s="189"/>
      <c r="Q199" s="189"/>
      <c r="R199" s="189"/>
      <c r="S199" s="189"/>
      <c r="T199" s="189"/>
      <c r="U199" s="189"/>
      <c r="V199" s="189"/>
      <c r="W199" s="189"/>
      <c r="X199" s="189"/>
      <c r="Y199" s="189"/>
      <c r="Z199" s="189"/>
    </row>
    <row r="200" ht="11.25" customHeight="1">
      <c r="A200" s="189"/>
      <c r="B200" s="251"/>
      <c r="C200" s="251"/>
      <c r="D200" s="252"/>
      <c r="E200" s="189"/>
      <c r="F200" s="251"/>
      <c r="G200" s="189"/>
      <c r="H200" s="189"/>
      <c r="I200" s="189"/>
      <c r="J200" s="189"/>
      <c r="K200" s="189"/>
      <c r="L200" s="189"/>
      <c r="M200" s="189"/>
      <c r="N200" s="189"/>
      <c r="O200" s="189"/>
      <c r="P200" s="189"/>
      <c r="Q200" s="189"/>
      <c r="R200" s="189"/>
      <c r="S200" s="189"/>
      <c r="T200" s="189"/>
      <c r="U200" s="189"/>
      <c r="V200" s="189"/>
      <c r="W200" s="189"/>
      <c r="X200" s="189"/>
      <c r="Y200" s="189"/>
      <c r="Z200" s="189"/>
    </row>
    <row r="201" ht="11.25" customHeight="1">
      <c r="A201" s="189"/>
      <c r="B201" s="251"/>
      <c r="C201" s="251"/>
      <c r="D201" s="252"/>
      <c r="E201" s="189"/>
      <c r="F201" s="251"/>
      <c r="G201" s="189"/>
      <c r="H201" s="189"/>
      <c r="I201" s="189"/>
      <c r="J201" s="189"/>
      <c r="K201" s="189"/>
      <c r="L201" s="189"/>
      <c r="M201" s="189"/>
      <c r="N201" s="189"/>
      <c r="O201" s="189"/>
      <c r="P201" s="189"/>
      <c r="Q201" s="189"/>
      <c r="R201" s="189"/>
      <c r="S201" s="189"/>
      <c r="T201" s="189"/>
      <c r="U201" s="189"/>
      <c r="V201" s="189"/>
      <c r="W201" s="189"/>
      <c r="X201" s="189"/>
      <c r="Y201" s="189"/>
      <c r="Z201" s="189"/>
    </row>
    <row r="202" ht="11.25" customHeight="1">
      <c r="A202" s="189"/>
      <c r="B202" s="251"/>
      <c r="C202" s="251"/>
      <c r="D202" s="252"/>
      <c r="E202" s="189"/>
      <c r="F202" s="251"/>
      <c r="G202" s="189"/>
      <c r="H202" s="189"/>
      <c r="I202" s="189"/>
      <c r="J202" s="189"/>
      <c r="K202" s="189"/>
      <c r="L202" s="189"/>
      <c r="M202" s="189"/>
      <c r="N202" s="189"/>
      <c r="O202" s="189"/>
      <c r="P202" s="189"/>
      <c r="Q202" s="189"/>
      <c r="R202" s="189"/>
      <c r="S202" s="189"/>
      <c r="T202" s="189"/>
      <c r="U202" s="189"/>
      <c r="V202" s="189"/>
      <c r="W202" s="189"/>
      <c r="X202" s="189"/>
      <c r="Y202" s="189"/>
      <c r="Z202" s="189"/>
    </row>
    <row r="203" ht="11.25" customHeight="1">
      <c r="A203" s="189"/>
      <c r="B203" s="251"/>
      <c r="C203" s="251"/>
      <c r="D203" s="252"/>
      <c r="E203" s="189"/>
      <c r="F203" s="251"/>
      <c r="G203" s="189"/>
      <c r="H203" s="189"/>
      <c r="I203" s="189"/>
      <c r="J203" s="189"/>
      <c r="K203" s="189"/>
      <c r="L203" s="189"/>
      <c r="M203" s="189"/>
      <c r="N203" s="189"/>
      <c r="O203" s="189"/>
      <c r="P203" s="189"/>
      <c r="Q203" s="189"/>
      <c r="R203" s="189"/>
      <c r="S203" s="189"/>
      <c r="T203" s="189"/>
      <c r="U203" s="189"/>
      <c r="V203" s="189"/>
      <c r="W203" s="189"/>
      <c r="X203" s="189"/>
      <c r="Y203" s="189"/>
      <c r="Z203" s="189"/>
    </row>
    <row r="204" ht="11.25" customHeight="1">
      <c r="A204" s="189"/>
      <c r="B204" s="251"/>
      <c r="C204" s="251"/>
      <c r="D204" s="252"/>
      <c r="E204" s="189"/>
      <c r="F204" s="251"/>
      <c r="G204" s="189"/>
      <c r="H204" s="189"/>
      <c r="I204" s="189"/>
      <c r="J204" s="189"/>
      <c r="K204" s="189"/>
      <c r="L204" s="189"/>
      <c r="M204" s="189"/>
      <c r="N204" s="189"/>
      <c r="O204" s="189"/>
      <c r="P204" s="189"/>
      <c r="Q204" s="189"/>
      <c r="R204" s="189"/>
      <c r="S204" s="189"/>
      <c r="T204" s="189"/>
      <c r="U204" s="189"/>
      <c r="V204" s="189"/>
      <c r="W204" s="189"/>
      <c r="X204" s="189"/>
      <c r="Y204" s="189"/>
      <c r="Z204" s="189"/>
    </row>
    <row r="205" ht="11.25" customHeight="1">
      <c r="A205" s="189"/>
      <c r="B205" s="251"/>
      <c r="C205" s="251"/>
      <c r="D205" s="252"/>
      <c r="E205" s="189"/>
      <c r="F205" s="251"/>
      <c r="G205" s="189"/>
      <c r="H205" s="189"/>
      <c r="I205" s="189"/>
      <c r="J205" s="189"/>
      <c r="K205" s="189"/>
      <c r="L205" s="189"/>
      <c r="M205" s="189"/>
      <c r="N205" s="189"/>
      <c r="O205" s="189"/>
      <c r="P205" s="189"/>
      <c r="Q205" s="189"/>
      <c r="R205" s="189"/>
      <c r="S205" s="189"/>
      <c r="T205" s="189"/>
      <c r="U205" s="189"/>
      <c r="V205" s="189"/>
      <c r="W205" s="189"/>
      <c r="X205" s="189"/>
      <c r="Y205" s="189"/>
      <c r="Z205" s="189"/>
    </row>
    <row r="206" ht="11.25" customHeight="1">
      <c r="A206" s="189"/>
      <c r="B206" s="251"/>
      <c r="C206" s="251"/>
      <c r="D206" s="252"/>
      <c r="E206" s="189"/>
      <c r="F206" s="251"/>
      <c r="G206" s="189"/>
      <c r="H206" s="189"/>
      <c r="I206" s="189"/>
      <c r="J206" s="189"/>
      <c r="K206" s="189"/>
      <c r="L206" s="189"/>
      <c r="M206" s="189"/>
      <c r="N206" s="189"/>
      <c r="O206" s="189"/>
      <c r="P206" s="189"/>
      <c r="Q206" s="189"/>
      <c r="R206" s="189"/>
      <c r="S206" s="189"/>
      <c r="T206" s="189"/>
      <c r="U206" s="189"/>
      <c r="V206" s="189"/>
      <c r="W206" s="189"/>
      <c r="X206" s="189"/>
      <c r="Y206" s="189"/>
      <c r="Z206" s="189"/>
    </row>
    <row r="207" ht="11.25" customHeight="1">
      <c r="A207" s="189"/>
      <c r="B207" s="251"/>
      <c r="C207" s="251"/>
      <c r="D207" s="252"/>
      <c r="E207" s="189"/>
      <c r="F207" s="251"/>
      <c r="G207" s="189"/>
      <c r="H207" s="189"/>
      <c r="I207" s="189"/>
      <c r="J207" s="189"/>
      <c r="K207" s="189"/>
      <c r="L207" s="189"/>
      <c r="M207" s="189"/>
      <c r="N207" s="189"/>
      <c r="O207" s="189"/>
      <c r="P207" s="189"/>
      <c r="Q207" s="189"/>
      <c r="R207" s="189"/>
      <c r="S207" s="189"/>
      <c r="T207" s="189"/>
      <c r="U207" s="189"/>
      <c r="V207" s="189"/>
      <c r="W207" s="189"/>
      <c r="X207" s="189"/>
      <c r="Y207" s="189"/>
      <c r="Z207" s="189"/>
    </row>
    <row r="208" ht="11.25" customHeight="1">
      <c r="A208" s="189"/>
      <c r="B208" s="251"/>
      <c r="C208" s="251"/>
      <c r="D208" s="252"/>
      <c r="E208" s="189"/>
      <c r="F208" s="251"/>
      <c r="G208" s="189"/>
      <c r="H208" s="189"/>
      <c r="I208" s="189"/>
      <c r="J208" s="189"/>
      <c r="K208" s="189"/>
      <c r="L208" s="189"/>
      <c r="M208" s="189"/>
      <c r="N208" s="189"/>
      <c r="O208" s="189"/>
      <c r="P208" s="189"/>
      <c r="Q208" s="189"/>
      <c r="R208" s="189"/>
      <c r="S208" s="189"/>
      <c r="T208" s="189"/>
      <c r="U208" s="189"/>
      <c r="V208" s="189"/>
      <c r="W208" s="189"/>
      <c r="X208" s="189"/>
      <c r="Y208" s="189"/>
      <c r="Z208" s="189"/>
    </row>
    <row r="209" ht="11.25" customHeight="1">
      <c r="A209" s="189"/>
      <c r="B209" s="251"/>
      <c r="C209" s="251"/>
      <c r="D209" s="252"/>
      <c r="E209" s="189"/>
      <c r="F209" s="251"/>
      <c r="G209" s="189"/>
      <c r="H209" s="189"/>
      <c r="I209" s="189"/>
      <c r="J209" s="189"/>
      <c r="K209" s="189"/>
      <c r="L209" s="189"/>
      <c r="M209" s="189"/>
      <c r="N209" s="189"/>
      <c r="O209" s="189"/>
      <c r="P209" s="189"/>
      <c r="Q209" s="189"/>
      <c r="R209" s="189"/>
      <c r="S209" s="189"/>
      <c r="T209" s="189"/>
      <c r="U209" s="189"/>
      <c r="V209" s="189"/>
      <c r="W209" s="189"/>
      <c r="X209" s="189"/>
      <c r="Y209" s="189"/>
      <c r="Z209" s="189"/>
    </row>
    <row r="210" ht="11.25" customHeight="1">
      <c r="A210" s="189"/>
      <c r="B210" s="251"/>
      <c r="C210" s="251"/>
      <c r="D210" s="252"/>
      <c r="E210" s="189"/>
      <c r="F210" s="251"/>
      <c r="G210" s="189"/>
      <c r="H210" s="189"/>
      <c r="I210" s="189"/>
      <c r="J210" s="189"/>
      <c r="K210" s="189"/>
      <c r="L210" s="189"/>
      <c r="M210" s="189"/>
      <c r="N210" s="189"/>
      <c r="O210" s="189"/>
      <c r="P210" s="189"/>
      <c r="Q210" s="189"/>
      <c r="R210" s="189"/>
      <c r="S210" s="189"/>
      <c r="T210" s="189"/>
      <c r="U210" s="189"/>
      <c r="V210" s="189"/>
      <c r="W210" s="189"/>
      <c r="X210" s="189"/>
      <c r="Y210" s="189"/>
      <c r="Z210" s="189"/>
    </row>
    <row r="211" ht="11.25" customHeight="1">
      <c r="A211" s="189"/>
      <c r="B211" s="251"/>
      <c r="C211" s="251"/>
      <c r="D211" s="252"/>
      <c r="E211" s="189"/>
      <c r="F211" s="251"/>
      <c r="G211" s="189"/>
      <c r="H211" s="189"/>
      <c r="I211" s="189"/>
      <c r="J211" s="189"/>
      <c r="K211" s="189"/>
      <c r="L211" s="189"/>
      <c r="M211" s="189"/>
      <c r="N211" s="189"/>
      <c r="O211" s="189"/>
      <c r="P211" s="189"/>
      <c r="Q211" s="189"/>
      <c r="R211" s="189"/>
      <c r="S211" s="189"/>
      <c r="T211" s="189"/>
      <c r="U211" s="189"/>
      <c r="V211" s="189"/>
      <c r="W211" s="189"/>
      <c r="X211" s="189"/>
      <c r="Y211" s="189"/>
      <c r="Z211" s="189"/>
    </row>
    <row r="212" ht="11.25" customHeight="1">
      <c r="A212" s="189"/>
      <c r="B212" s="251"/>
      <c r="C212" s="251"/>
      <c r="D212" s="252"/>
      <c r="E212" s="189"/>
      <c r="F212" s="251"/>
      <c r="G212" s="189"/>
      <c r="H212" s="189"/>
      <c r="I212" s="189"/>
      <c r="J212" s="189"/>
      <c r="K212" s="189"/>
      <c r="L212" s="189"/>
      <c r="M212" s="189"/>
      <c r="N212" s="189"/>
      <c r="O212" s="189"/>
      <c r="P212" s="189"/>
      <c r="Q212" s="189"/>
      <c r="R212" s="189"/>
      <c r="S212" s="189"/>
      <c r="T212" s="189"/>
      <c r="U212" s="189"/>
      <c r="V212" s="189"/>
      <c r="W212" s="189"/>
      <c r="X212" s="189"/>
      <c r="Y212" s="189"/>
      <c r="Z212" s="189"/>
    </row>
    <row r="213" ht="11.25" customHeight="1">
      <c r="A213" s="189"/>
      <c r="B213" s="251"/>
      <c r="C213" s="251"/>
      <c r="D213" s="252"/>
      <c r="E213" s="189"/>
      <c r="F213" s="251"/>
      <c r="G213" s="189"/>
      <c r="H213" s="189"/>
      <c r="I213" s="189"/>
      <c r="J213" s="189"/>
      <c r="K213" s="189"/>
      <c r="L213" s="189"/>
      <c r="M213" s="189"/>
      <c r="N213" s="189"/>
      <c r="O213" s="189"/>
      <c r="P213" s="189"/>
      <c r="Q213" s="189"/>
      <c r="R213" s="189"/>
      <c r="S213" s="189"/>
      <c r="T213" s="189"/>
      <c r="U213" s="189"/>
      <c r="V213" s="189"/>
      <c r="W213" s="189"/>
      <c r="X213" s="189"/>
      <c r="Y213" s="189"/>
      <c r="Z213" s="189"/>
    </row>
    <row r="214" ht="11.25" customHeight="1">
      <c r="A214" s="189"/>
      <c r="B214" s="251"/>
      <c r="C214" s="251"/>
      <c r="D214" s="252"/>
      <c r="E214" s="189"/>
      <c r="F214" s="251"/>
      <c r="G214" s="189"/>
      <c r="H214" s="189"/>
      <c r="I214" s="189"/>
      <c r="J214" s="189"/>
      <c r="K214" s="189"/>
      <c r="L214" s="189"/>
      <c r="M214" s="189"/>
      <c r="N214" s="189"/>
      <c r="O214" s="189"/>
      <c r="P214" s="189"/>
      <c r="Q214" s="189"/>
      <c r="R214" s="189"/>
      <c r="S214" s="189"/>
      <c r="T214" s="189"/>
      <c r="U214" s="189"/>
      <c r="V214" s="189"/>
      <c r="W214" s="189"/>
      <c r="X214" s="189"/>
      <c r="Y214" s="189"/>
      <c r="Z214" s="189"/>
    </row>
    <row r="215" ht="11.25" customHeight="1">
      <c r="A215" s="189"/>
      <c r="B215" s="251"/>
      <c r="C215" s="251"/>
      <c r="D215" s="252"/>
      <c r="E215" s="189"/>
      <c r="F215" s="251"/>
      <c r="G215" s="189"/>
      <c r="H215" s="189"/>
      <c r="I215" s="189"/>
      <c r="J215" s="189"/>
      <c r="K215" s="189"/>
      <c r="L215" s="189"/>
      <c r="M215" s="189"/>
      <c r="N215" s="189"/>
      <c r="O215" s="189"/>
      <c r="P215" s="189"/>
      <c r="Q215" s="189"/>
      <c r="R215" s="189"/>
      <c r="S215" s="189"/>
      <c r="T215" s="189"/>
      <c r="U215" s="189"/>
      <c r="V215" s="189"/>
      <c r="W215" s="189"/>
      <c r="X215" s="189"/>
      <c r="Y215" s="189"/>
      <c r="Z215" s="189"/>
    </row>
    <row r="216" ht="11.25" customHeight="1">
      <c r="A216" s="189"/>
      <c r="B216" s="251"/>
      <c r="C216" s="251"/>
      <c r="D216" s="252"/>
      <c r="E216" s="189"/>
      <c r="F216" s="251"/>
      <c r="G216" s="189"/>
      <c r="H216" s="189"/>
      <c r="I216" s="189"/>
      <c r="J216" s="189"/>
      <c r="K216" s="189"/>
      <c r="L216" s="189"/>
      <c r="M216" s="189"/>
      <c r="N216" s="189"/>
      <c r="O216" s="189"/>
      <c r="P216" s="189"/>
      <c r="Q216" s="189"/>
      <c r="R216" s="189"/>
      <c r="S216" s="189"/>
      <c r="T216" s="189"/>
      <c r="U216" s="189"/>
      <c r="V216" s="189"/>
      <c r="W216" s="189"/>
      <c r="X216" s="189"/>
      <c r="Y216" s="189"/>
      <c r="Z216" s="189"/>
    </row>
    <row r="217" ht="11.25" customHeight="1">
      <c r="A217" s="189"/>
      <c r="B217" s="251"/>
      <c r="C217" s="251"/>
      <c r="D217" s="252"/>
      <c r="E217" s="189"/>
      <c r="F217" s="251"/>
      <c r="G217" s="189"/>
      <c r="H217" s="189"/>
      <c r="I217" s="189"/>
      <c r="J217" s="189"/>
      <c r="K217" s="189"/>
      <c r="L217" s="189"/>
      <c r="M217" s="189"/>
      <c r="N217" s="189"/>
      <c r="O217" s="189"/>
      <c r="P217" s="189"/>
      <c r="Q217" s="189"/>
      <c r="R217" s="189"/>
      <c r="S217" s="189"/>
      <c r="T217" s="189"/>
      <c r="U217" s="189"/>
      <c r="V217" s="189"/>
      <c r="W217" s="189"/>
      <c r="X217" s="189"/>
      <c r="Y217" s="189"/>
      <c r="Z217" s="189"/>
    </row>
    <row r="218" ht="11.25" customHeight="1">
      <c r="A218" s="189"/>
      <c r="B218" s="251"/>
      <c r="C218" s="251"/>
      <c r="D218" s="252"/>
      <c r="E218" s="189"/>
      <c r="F218" s="251"/>
      <c r="G218" s="189"/>
      <c r="H218" s="189"/>
      <c r="I218" s="189"/>
      <c r="J218" s="189"/>
      <c r="K218" s="189"/>
      <c r="L218" s="189"/>
      <c r="M218" s="189"/>
      <c r="N218" s="189"/>
      <c r="O218" s="189"/>
      <c r="P218" s="189"/>
      <c r="Q218" s="189"/>
      <c r="R218" s="189"/>
      <c r="S218" s="189"/>
      <c r="T218" s="189"/>
      <c r="U218" s="189"/>
      <c r="V218" s="189"/>
      <c r="W218" s="189"/>
      <c r="X218" s="189"/>
      <c r="Y218" s="189"/>
      <c r="Z218" s="189"/>
    </row>
    <row r="219" ht="11.25" customHeight="1">
      <c r="A219" s="189"/>
      <c r="B219" s="251"/>
      <c r="C219" s="251"/>
      <c r="D219" s="252"/>
      <c r="E219" s="189"/>
      <c r="F219" s="251"/>
      <c r="G219" s="189"/>
      <c r="H219" s="189"/>
      <c r="I219" s="189"/>
      <c r="J219" s="189"/>
      <c r="K219" s="189"/>
      <c r="L219" s="189"/>
      <c r="M219" s="189"/>
      <c r="N219" s="189"/>
      <c r="O219" s="189"/>
      <c r="P219" s="189"/>
      <c r="Q219" s="189"/>
      <c r="R219" s="189"/>
      <c r="S219" s="189"/>
      <c r="T219" s="189"/>
      <c r="U219" s="189"/>
      <c r="V219" s="189"/>
      <c r="W219" s="189"/>
      <c r="X219" s="189"/>
      <c r="Y219" s="189"/>
      <c r="Z219" s="189"/>
    </row>
    <row r="220" ht="11.25" customHeight="1">
      <c r="A220" s="189"/>
      <c r="B220" s="251"/>
      <c r="C220" s="251"/>
      <c r="D220" s="252"/>
      <c r="E220" s="189"/>
      <c r="F220" s="251"/>
      <c r="G220" s="189"/>
      <c r="H220" s="189"/>
      <c r="I220" s="189"/>
      <c r="J220" s="189"/>
      <c r="K220" s="189"/>
      <c r="L220" s="189"/>
      <c r="M220" s="189"/>
      <c r="N220" s="189"/>
      <c r="O220" s="189"/>
      <c r="P220" s="189"/>
      <c r="Q220" s="189"/>
      <c r="R220" s="189"/>
      <c r="S220" s="189"/>
      <c r="T220" s="189"/>
      <c r="U220" s="189"/>
      <c r="V220" s="189"/>
      <c r="W220" s="189"/>
      <c r="X220" s="189"/>
      <c r="Y220" s="189"/>
      <c r="Z220" s="189"/>
    </row>
    <row r="221" ht="11.25" customHeight="1">
      <c r="A221" s="189"/>
      <c r="B221" s="251"/>
      <c r="C221" s="251"/>
      <c r="D221" s="252"/>
      <c r="E221" s="189"/>
      <c r="F221" s="251"/>
      <c r="G221" s="189"/>
      <c r="H221" s="189"/>
      <c r="I221" s="189"/>
      <c r="J221" s="189"/>
      <c r="K221" s="189"/>
      <c r="L221" s="189"/>
      <c r="M221" s="189"/>
      <c r="N221" s="189"/>
      <c r="O221" s="189"/>
      <c r="P221" s="189"/>
      <c r="Q221" s="189"/>
      <c r="R221" s="189"/>
      <c r="S221" s="189"/>
      <c r="T221" s="189"/>
      <c r="U221" s="189"/>
      <c r="V221" s="189"/>
      <c r="W221" s="189"/>
      <c r="X221" s="189"/>
      <c r="Y221" s="189"/>
      <c r="Z221" s="189"/>
    </row>
    <row r="222" ht="11.25" customHeight="1">
      <c r="A222" s="189"/>
      <c r="B222" s="251"/>
      <c r="C222" s="251"/>
      <c r="D222" s="252"/>
      <c r="E222" s="189"/>
      <c r="F222" s="251"/>
      <c r="G222" s="189"/>
      <c r="H222" s="189"/>
      <c r="I222" s="189"/>
      <c r="J222" s="189"/>
      <c r="K222" s="189"/>
      <c r="L222" s="189"/>
      <c r="M222" s="189"/>
      <c r="N222" s="189"/>
      <c r="O222" s="189"/>
      <c r="P222" s="189"/>
      <c r="Q222" s="189"/>
      <c r="R222" s="189"/>
      <c r="S222" s="189"/>
      <c r="T222" s="189"/>
      <c r="U222" s="189"/>
      <c r="V222" s="189"/>
      <c r="W222" s="189"/>
      <c r="X222" s="189"/>
      <c r="Y222" s="189"/>
      <c r="Z222" s="189"/>
    </row>
    <row r="223" ht="11.25" customHeight="1">
      <c r="A223" s="189"/>
      <c r="B223" s="251"/>
      <c r="C223" s="251"/>
      <c r="D223" s="252"/>
      <c r="E223" s="189"/>
      <c r="F223" s="251"/>
      <c r="G223" s="189"/>
      <c r="H223" s="189"/>
      <c r="I223" s="189"/>
      <c r="J223" s="189"/>
      <c r="K223" s="189"/>
      <c r="L223" s="189"/>
      <c r="M223" s="189"/>
      <c r="N223" s="189"/>
      <c r="O223" s="189"/>
      <c r="P223" s="189"/>
      <c r="Q223" s="189"/>
      <c r="R223" s="189"/>
      <c r="S223" s="189"/>
      <c r="T223" s="189"/>
      <c r="U223" s="189"/>
      <c r="V223" s="189"/>
      <c r="W223" s="189"/>
      <c r="X223" s="189"/>
      <c r="Y223" s="189"/>
      <c r="Z223" s="189"/>
    </row>
    <row r="224" ht="11.25" customHeight="1">
      <c r="A224" s="189"/>
      <c r="B224" s="251"/>
      <c r="C224" s="251"/>
      <c r="D224" s="252"/>
      <c r="E224" s="189"/>
      <c r="F224" s="251"/>
      <c r="G224" s="189"/>
      <c r="H224" s="189"/>
      <c r="I224" s="189"/>
      <c r="J224" s="189"/>
      <c r="K224" s="189"/>
      <c r="L224" s="189"/>
      <c r="M224" s="189"/>
      <c r="N224" s="189"/>
      <c r="O224" s="189"/>
      <c r="P224" s="189"/>
      <c r="Q224" s="189"/>
      <c r="R224" s="189"/>
      <c r="S224" s="189"/>
      <c r="T224" s="189"/>
      <c r="U224" s="189"/>
      <c r="V224" s="189"/>
      <c r="W224" s="189"/>
      <c r="X224" s="189"/>
      <c r="Y224" s="189"/>
      <c r="Z224" s="189"/>
    </row>
    <row r="225" ht="11.25" customHeight="1">
      <c r="A225" s="189"/>
      <c r="B225" s="251"/>
      <c r="C225" s="251"/>
      <c r="D225" s="252"/>
      <c r="E225" s="189"/>
      <c r="F225" s="251"/>
      <c r="G225" s="189"/>
      <c r="H225" s="189"/>
      <c r="I225" s="189"/>
      <c r="J225" s="189"/>
      <c r="K225" s="189"/>
      <c r="L225" s="189"/>
      <c r="M225" s="189"/>
      <c r="N225" s="189"/>
      <c r="O225" s="189"/>
      <c r="P225" s="189"/>
      <c r="Q225" s="189"/>
      <c r="R225" s="189"/>
      <c r="S225" s="189"/>
      <c r="T225" s="189"/>
      <c r="U225" s="189"/>
      <c r="V225" s="189"/>
      <c r="W225" s="189"/>
      <c r="X225" s="189"/>
      <c r="Y225" s="189"/>
      <c r="Z225" s="189"/>
    </row>
    <row r="226" ht="11.25" customHeight="1">
      <c r="A226" s="189"/>
      <c r="B226" s="251"/>
      <c r="C226" s="251"/>
      <c r="D226" s="252"/>
      <c r="E226" s="189"/>
      <c r="F226" s="251"/>
      <c r="G226" s="189"/>
      <c r="H226" s="189"/>
      <c r="I226" s="189"/>
      <c r="J226" s="189"/>
      <c r="K226" s="189"/>
      <c r="L226" s="189"/>
      <c r="M226" s="189"/>
      <c r="N226" s="189"/>
      <c r="O226" s="189"/>
      <c r="P226" s="189"/>
      <c r="Q226" s="189"/>
      <c r="R226" s="189"/>
      <c r="S226" s="189"/>
      <c r="T226" s="189"/>
      <c r="U226" s="189"/>
      <c r="V226" s="189"/>
      <c r="W226" s="189"/>
      <c r="X226" s="189"/>
      <c r="Y226" s="189"/>
      <c r="Z226" s="189"/>
    </row>
    <row r="227" ht="11.25" customHeight="1">
      <c r="A227" s="189"/>
      <c r="B227" s="251"/>
      <c r="C227" s="251"/>
      <c r="D227" s="252"/>
      <c r="E227" s="189"/>
      <c r="F227" s="251"/>
      <c r="G227" s="189"/>
      <c r="H227" s="189"/>
      <c r="I227" s="189"/>
      <c r="J227" s="189"/>
      <c r="K227" s="189"/>
      <c r="L227" s="189"/>
      <c r="M227" s="189"/>
      <c r="N227" s="189"/>
      <c r="O227" s="189"/>
      <c r="P227" s="189"/>
      <c r="Q227" s="189"/>
      <c r="R227" s="189"/>
      <c r="S227" s="189"/>
      <c r="T227" s="189"/>
      <c r="U227" s="189"/>
      <c r="V227" s="189"/>
      <c r="W227" s="189"/>
      <c r="X227" s="189"/>
      <c r="Y227" s="189"/>
      <c r="Z227" s="189"/>
    </row>
    <row r="228" ht="11.25" customHeight="1">
      <c r="A228" s="189"/>
      <c r="B228" s="251"/>
      <c r="C228" s="251"/>
      <c r="D228" s="252"/>
      <c r="E228" s="189"/>
      <c r="F228" s="251"/>
      <c r="G228" s="189"/>
      <c r="H228" s="189"/>
      <c r="I228" s="189"/>
      <c r="J228" s="189"/>
      <c r="K228" s="189"/>
      <c r="L228" s="189"/>
      <c r="M228" s="189"/>
      <c r="N228" s="189"/>
      <c r="O228" s="189"/>
      <c r="P228" s="189"/>
      <c r="Q228" s="189"/>
      <c r="R228" s="189"/>
      <c r="S228" s="189"/>
      <c r="T228" s="189"/>
      <c r="U228" s="189"/>
      <c r="V228" s="189"/>
      <c r="W228" s="189"/>
      <c r="X228" s="189"/>
      <c r="Y228" s="189"/>
      <c r="Z228" s="189"/>
    </row>
    <row r="229" ht="11.25" customHeight="1">
      <c r="A229" s="189"/>
      <c r="B229" s="251"/>
      <c r="C229" s="251"/>
      <c r="D229" s="252"/>
      <c r="E229" s="189"/>
      <c r="F229" s="251"/>
      <c r="G229" s="189"/>
      <c r="H229" s="189"/>
      <c r="I229" s="189"/>
      <c r="J229" s="189"/>
      <c r="K229" s="189"/>
      <c r="L229" s="189"/>
      <c r="M229" s="189"/>
      <c r="N229" s="189"/>
      <c r="O229" s="189"/>
      <c r="P229" s="189"/>
      <c r="Q229" s="189"/>
      <c r="R229" s="189"/>
      <c r="S229" s="189"/>
      <c r="T229" s="189"/>
      <c r="U229" s="189"/>
      <c r="V229" s="189"/>
      <c r="W229" s="189"/>
      <c r="X229" s="189"/>
      <c r="Y229" s="189"/>
      <c r="Z229" s="189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F1"/>
    <mergeCell ref="G1:N1"/>
  </mergeCells>
  <printOptions horizontalCentered="1"/>
  <pageMargins bottom="0.17" footer="0.0" header="0.0" left="0.25" right="0.25" top="0.68"/>
  <pageSetup fitToHeight="0" orientation="landscape"/>
  <drawing r:id="rId2"/>
  <legacyDrawing r:id="rId3"/>
</worksheet>
</file>